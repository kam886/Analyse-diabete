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Override PartName="/xl/drawings/charts/chart3.xml" ContentType="application/vnd.openxmlformats-officedocument.drawingml.chart+xml"/>
  <Override PartName="/xl/drawings/charts/chart4.xml" ContentType="application/vnd.openxmlformats-officedocument.drawingml.char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756ae1901804846" /></Relationships>
</file>

<file path=xl/workbook.xml><?xml version="1.0" encoding="utf-8"?>
<x:workbook xmlns:x="http://schemas.openxmlformats.org/spreadsheetml/2006/main">
  <x:sheets>
    <x:sheet xmlns:r="http://schemas.openxmlformats.org/officeDocument/2006/relationships" name="Dashboard" sheetId="1" r:id="R151f59cba1af4ce5"/>
    <x:sheet xmlns:r="http://schemas.openxmlformats.org/officeDocument/2006/relationships" name="Synthese nationale" sheetId="2" r:id="Ra6da3ff2c57e4b81"/>
    <x:sheet xmlns:r="http://schemas.openxmlformats.org/officeDocument/2006/relationships" name="Donnees nationales" sheetId="3" r:id="R67a138d541a44a2a"/>
    <x:sheet xmlns:r="http://schemas.openxmlformats.org/officeDocument/2006/relationships" name="Departements 2024" sheetId="4" r:id="R29ba58b59b624f84"/>
    <x:sheet xmlns:r="http://schemas.openxmlformats.org/officeDocument/2006/relationships" name="Donnees departements" sheetId="5" r:id="Rc5f6bc750ca04197"/>
    <x:sheet xmlns:r="http://schemas.openxmlformats.org/officeDocument/2006/relationships" name="Age et sexe" sheetId="6" r:id="R484d20934bad45c0"/>
    <x:sheet xmlns:r="http://schemas.openxmlformats.org/officeDocument/2006/relationships" name="Depenses" sheetId="7" r:id="Rd4247ecc916f4b3c"/>
    <x:sheet xmlns:r="http://schemas.openxmlformats.org/officeDocument/2006/relationships" name="Comorbidites" sheetId="8" r:id="Rd3d065e9ef024c1a"/>
    <x:sheet xmlns:r="http://schemas.openxmlformats.org/officeDocument/2006/relationships" name="Methodologie" sheetId="9" r:id="R130b3f483b664a19"/>
  </x:sheets>
</x:workbook>
</file>

<file path=xl/sharedStrings.xml><?xml version="1.0" encoding="utf-8"?>
<x:sst xmlns:x="http://schemas.openxmlformats.org/spreadsheetml/2006/main">
  <x:si>
    <x:t xml:space="preserve">ANALYSE DU DIABÈTE EN FRANCE | 2015 – 2024</x:t>
  </x:si>
  <x:si>
    <x:t xml:space="preserve">Année</x:t>
  </x:si>
  <x:si>
    <x:t xml:space="preserve">Classe d’âge</x:t>
  </x:si>
  <x:si>
    <x:t xml:space="preserve">Clé</x:t>
  </x:si>
  <x:si>
    <x:t xml:space="preserve">Département</x:t>
  </x:si>
  <x:si>
    <x:t xml:space="preserve">Prévalence</x:t>
  </x:si>
  <x:si>
    <x:t xml:space="preserve">Patients</x:t>
  </x:si>
  <x:si>
    <x:t xml:space="preserve">Région</x:t>
  </x:si>
  <x:si>
    <x:t xml:space="preserve">de 0 à 4 ans</x:t>
  </x:si>
  <x:si>
    <x:t xml:space="preserve">2015-tous sexes-1</x:t>
  </x:si>
  <x:si>
    <x:t xml:space="preserve">Guadeloupe</x:t>
  </x:si>
  <x:si>
    <x:t xml:space="preserve">Prévalence, dynamiques territoriales, dépenses et comorbidités - données Assurance Maladie</x:t>
  </x:si>
  <x:si>
    <x:t xml:space="preserve">de 5 à 9 ans</x:t>
  </x:si>
  <x:si>
    <x:t xml:space="preserve">2015-tous sexes-2</x:t>
  </x:si>
  <x:si>
    <x:t xml:space="preserve">Martinique</x:t>
  </x:si>
  <x:si>
    <x:t xml:space="preserve">Sexe</x:t>
  </x:si>
  <x:si>
    <x:t xml:space="preserve">femmes</x:t>
  </x:si>
  <x:si>
    <x:t xml:space="preserve">de 10 à 14 ans</x:t>
  </x:si>
  <x:si>
    <x:t xml:space="preserve">2015-tous sexes-3</x:t>
  </x:si>
  <x:si>
    <x:t xml:space="preserve">Nièvre</x:t>
  </x:si>
  <x:si>
    <x:t xml:space="preserve">La Réunion</x:t>
  </x:si>
  <x:si>
    <x:t xml:space="preserve">Patients pris en charge</x:t>
  </x:si>
  <x:si>
    <x:t xml:space="preserve">Prévalence nationale</x:t>
  </x:si>
  <x:si>
    <x:t xml:space="preserve">Dépenses remboursées</x:t>
  </x:si>
  <x:si>
    <x:t xml:space="preserve">Dépense / patient</x:t>
  </x:si>
  <x:si>
    <x:t xml:space="preserve">de 15 à 19 ans</x:t>
  </x:si>
  <x:si>
    <x:t xml:space="preserve">2015-tous sexes-4</x:t>
  </x:si>
  <x:si>
    <x:t xml:space="preserve">Grand Est</x:t>
  </x:si>
  <x:si>
    <x:t xml:space="preserve">de 20 à 24 ans</x:t>
  </x:si>
  <x:si>
    <x:t xml:space="preserve">2015-tous sexes-5</x:t>
  </x:si>
  <x:si>
    <x:t xml:space="preserve">Creuse</x:t>
  </x:si>
  <x:si>
    <x:t xml:space="preserve">Hauts-de-France</x:t>
  </x:si>
  <x:si>
    <x:t xml:space="preserve">de 25 à 29 ans</x:t>
  </x:si>
  <x:si>
    <x:t xml:space="preserve">2015-tous sexes-6</x:t>
  </x:si>
  <x:si>
    <x:t xml:space="preserve">Indre</x:t>
  </x:si>
  <x:si>
    <x:t xml:space="preserve">Bourgogne-F.-Comté</x:t>
  </x:si>
  <x:si>
    <x:t xml:space="preserve">de 30 à 34 ans</x:t>
  </x:si>
  <x:si>
    <x:t xml:space="preserve">2015-tous sexes-7</x:t>
  </x:si>
  <x:si>
    <x:t xml:space="preserve">Moselle</x:t>
  </x:si>
  <x:si>
    <x:t xml:space="preserve">Centre-Val de Loire</x:t>
  </x:si>
  <x:si>
    <x:t xml:space="preserve">de 35 à 39 ans</x:t>
  </x:si>
  <x:si>
    <x:t xml:space="preserve">2015-tous sexes-8</x:t>
  </x:si>
  <x:si>
    <x:t xml:space="preserve">Yonne</x:t>
  </x:si>
  <x:si>
    <x:t xml:space="preserve">Corse</x:t>
  </x:si>
  <x:si>
    <x:t xml:space="preserve">de 40 à 44 ans</x:t>
  </x:si>
  <x:si>
    <x:t xml:space="preserve">2015-tous sexes-9</x:t>
  </x:si>
  <x:si>
    <x:t xml:space="preserve">Allier</x:t>
  </x:si>
  <x:si>
    <x:t xml:space="preserve">Provence-Alpes-Côte d'Azur</x:t>
  </x:si>
  <x:si>
    <x:t xml:space="preserve">de 45 à 49 ans</x:t>
  </x:si>
  <x:si>
    <x:t xml:space="preserve">2015-tous sexes-10</x:t>
  </x:si>
  <x:si>
    <x:t xml:space="preserve">Aisne</x:t>
  </x:si>
  <x:si>
    <x:t xml:space="preserve">Nouvelle-Aquitaine</x:t>
  </x:si>
  <x:si>
    <x:t xml:space="preserve">de 50 à 54 ans</x:t>
  </x:si>
  <x:si>
    <x:t xml:space="preserve">2015-hommes-1</x:t>
  </x:si>
  <x:si>
    <x:t xml:space="preserve">2015-tous sexes-11</x:t>
  </x:si>
  <x:si>
    <x:t xml:space="preserve">Normandie</x:t>
  </x:si>
  <x:si>
    <x:t xml:space="preserve">de 55 à 59 ans</x:t>
  </x:si>
  <x:si>
    <x:t xml:space="preserve">2015-hommes-2</x:t>
  </x:si>
  <x:si>
    <x:t xml:space="preserve">2015-tous sexes-12</x:t>
  </x:si>
  <x:si>
    <x:t xml:space="preserve">Occitanie</x:t>
  </x:si>
  <x:si>
    <x:t xml:space="preserve">de 60 à 64 ans</x:t>
  </x:si>
  <x:si>
    <x:t xml:space="preserve">2015-hommes-3</x:t>
  </x:si>
  <x:si>
    <x:t xml:space="preserve">2015-tous sexes-13</x:t>
  </x:si>
  <x:si>
    <x:t xml:space="preserve">Auvergne-Rhône-Alpes</x:t>
  </x:si>
  <x:si>
    <x:t xml:space="preserve">de 65 à 69 ans</x:t>
  </x:si>
  <x:si>
    <x:t xml:space="preserve">2015-hommes-4</x:t>
  </x:si>
  <x:si>
    <x:t xml:space="preserve">2015-tous sexes-14</x:t>
  </x:si>
  <x:si>
    <x:t xml:space="preserve">Guyane</x:t>
  </x:si>
  <x:si>
    <x:t xml:space="preserve">de 70 à 74 ans</x:t>
  </x:si>
  <x:si>
    <x:t xml:space="preserve">2015-hommes-5</x:t>
  </x:si>
  <x:si>
    <x:t xml:space="preserve">2015-tous sexes-15</x:t>
  </x:si>
  <x:si>
    <x:t xml:space="preserve">Île-de-France</x:t>
  </x:si>
  <x:si>
    <x:t xml:space="preserve">de 75 à 79 ans</x:t>
  </x:si>
  <x:si>
    <x:t xml:space="preserve">2015-hommes-6</x:t>
  </x:si>
  <x:si>
    <x:t xml:space="preserve">2015-tous sexes-16</x:t>
  </x:si>
  <x:si>
    <x:t xml:space="preserve">Mayotte</x:t>
  </x:si>
  <x:si>
    <x:t xml:space="preserve">de 80 à 84 ans</x:t>
  </x:si>
  <x:si>
    <x:t xml:space="preserve">2015-hommes-7</x:t>
  </x:si>
  <x:si>
    <x:t xml:space="preserve">2015-tous sexes-17</x:t>
  </x:si>
  <x:si>
    <x:t xml:space="preserve">Pays de la Loire</x:t>
  </x:si>
  <x:si>
    <x:t xml:space="preserve">de 85 à 89 ans</x:t>
  </x:si>
  <x:si>
    <x:t xml:space="preserve">2015-hommes-8</x:t>
  </x:si>
  <x:si>
    <x:t xml:space="preserve">2015-tous sexes-18</x:t>
  </x:si>
  <x:si>
    <x:t xml:space="preserve">Bretagne</x:t>
  </x:si>
  <x:si>
    <x:t xml:space="preserve">de 90 à 94 ans</x:t>
  </x:si>
  <x:si>
    <x:t xml:space="preserve">2015-hommes-9</x:t>
  </x:si>
  <x:si>
    <x:t xml:space="preserve">Cher</x:t>
  </x:si>
  <x:si>
    <x:t xml:space="preserve">plus de 95 ans</x:t>
  </x:si>
  <x:si>
    <x:t xml:space="preserve">2015-hommes-10</x:t>
  </x:si>
  <x:si>
    <x:t xml:space="preserve">Aude</x:t>
  </x:si>
  <x:si>
    <x:t xml:space="preserve">2015-femmes-1</x:t>
  </x:si>
  <x:si>
    <x:t xml:space="preserve">2015-femmes-2</x:t>
  </x:si>
  <x:si>
    <x:t xml:space="preserve">2015-femmes-3</x:t>
  </x:si>
  <x:si>
    <x:t xml:space="preserve">2015-femmes-4</x:t>
  </x:si>
  <x:si>
    <x:t xml:space="preserve">2015-femmes-5</x:t>
  </x:si>
  <x:si>
    <x:t xml:space="preserve">2015-femmes-6</x:t>
  </x:si>
  <x:si>
    <x:t xml:space="preserve">2015-femmes-7</x:t>
  </x:si>
  <x:si>
    <x:t xml:space="preserve">Ardennes</x:t>
  </x:si>
  <x:si>
    <x:t xml:space="preserve">2015-femmes-8</x:t>
  </x:si>
  <x:si>
    <x:t xml:space="preserve">2015-femmes-9</x:t>
  </x:si>
  <x:si>
    <x:t xml:space="preserve">2015-hommes-11</x:t>
  </x:si>
  <x:si>
    <x:t xml:space="preserve">2015-femmes-10</x:t>
  </x:si>
  <x:si>
    <x:t xml:space="preserve">2015-hommes-12</x:t>
  </x:si>
  <x:si>
    <x:t xml:space="preserve">2016-tous sexes-1</x:t>
  </x:si>
  <x:si>
    <x:t xml:space="preserve">2015-hommes-13</x:t>
  </x:si>
  <x:si>
    <x:t xml:space="preserve">2016-tous sexes-2</x:t>
  </x:si>
  <x:si>
    <x:t xml:space="preserve">2015-hommes-14</x:t>
  </x:si>
  <x:si>
    <x:t xml:space="preserve">2016-tous sexes-3</x:t>
  </x:si>
  <x:si>
    <x:t xml:space="preserve">2015-hommes-15</x:t>
  </x:si>
  <x:si>
    <x:t xml:space="preserve">2016-tous sexes-4</x:t>
  </x:si>
  <x:si>
    <x:t xml:space="preserve">2015-hommes-16</x:t>
  </x:si>
  <x:si>
    <x:t xml:space="preserve">2016-tous sexes-5</x:t>
  </x:si>
  <x:si>
    <x:t xml:space="preserve">2015-hommes-17</x:t>
  </x:si>
  <x:si>
    <x:t xml:space="preserve">2016-tous sexes-6</x:t>
  </x:si>
  <x:si>
    <x:t xml:space="preserve">2015-hommes-18</x:t>
  </x:si>
  <x:si>
    <x:t xml:space="preserve">2016-tous sexes-7</x:t>
  </x:si>
  <x:si>
    <x:t xml:space="preserve">2016-tous sexes-8</x:t>
  </x:si>
  <x:si>
    <x:t xml:space="preserve">2016-tous sexes-9</x:t>
  </x:si>
  <x:si>
    <x:t xml:space="preserve">2016-tous sexes-10</x:t>
  </x:si>
  <x:si>
    <x:t xml:space="preserve">2016-hommes-1</x:t>
  </x:si>
  <x:si>
    <x:t xml:space="preserve">2016-hommes-2</x:t>
  </x:si>
  <x:si>
    <x:t xml:space="preserve">2016-hommes-3</x:t>
  </x:si>
  <x:si>
    <x:t xml:space="preserve">2016-hommes-4</x:t>
  </x:si>
  <x:si>
    <x:t xml:space="preserve">2016-hommes-5</x:t>
  </x:si>
  <x:si>
    <x:t xml:space="preserve">2016-hommes-6</x:t>
  </x:si>
  <x:si>
    <x:t xml:space="preserve">5 DERNIÈRES ANNÉES - SEXE SÉLECTIONNÉ</x:t>
  </x:si>
  <x:si>
    <x:t xml:space="preserve">TOP 5 DÉPARTEMENTS - ANNÉE SÉLECTIONNÉE</x:t>
  </x:si>
  <x:si>
    <x:t xml:space="preserve">TOP 5 COMORBIDITÉS - 2024</x:t>
  </x:si>
  <x:si>
    <x:t xml:space="preserve">2016-hommes-7</x:t>
  </x:si>
  <x:si>
    <x:t xml:space="preserve">2015-femmes-11</x:t>
  </x:si>
  <x:si>
    <x:t xml:space="preserve">Évolution</x:t>
  </x:si>
  <x:si>
    <x:t xml:space="preserve">Rang</x:t>
  </x:si>
  <x:si>
    <x:t xml:space="preserve">Comorbidité</x:t>
  </x:si>
  <x:si>
    <x:t xml:space="preserve">Proportion</x:t>
  </x:si>
  <x:si>
    <x:t xml:space="preserve">2016-hommes-8</x:t>
  </x:si>
  <x:si>
    <x:t xml:space="preserve">2015-femmes-12</x:t>
  </x:si>
  <x:si>
    <x:t xml:space="preserve">Maladie coronaire chronique</x:t>
  </x:si>
  <x:si>
    <x:t xml:space="preserve">2016-hommes-9</x:t>
  </x:si>
  <x:si>
    <x:t xml:space="preserve">2015-femmes-13</x:t>
  </x:si>
  <x:si>
    <x:t xml:space="preserve">Maladies respiratoires chroniques (hors mucoviscidose)</x:t>
  </x:si>
  <x:si>
    <x:t xml:space="preserve">2016-hommes-10</x:t>
  </x:si>
  <x:si>
    <x:t xml:space="preserve">2015-femmes-14</x:t>
  </x:si>
  <x:si>
    <x:t xml:space="preserve">Traitements antidépresseurs ou thymorégulateurs (hors pathologies)</x:t>
  </x:si>
  <x:si>
    <x:t xml:space="preserve">2016-femmes-1</x:t>
  </x:si>
  <x:si>
    <x:t xml:space="preserve">2015-femmes-15</x:t>
  </x:si>
  <x:si>
    <x:t xml:space="preserve">Troubles du rythme ou de la conduction cardiaque</x:t>
  </x:si>
  <x:si>
    <x:t xml:space="preserve">2016-femmes-2</x:t>
  </x:si>
  <x:si>
    <x:t xml:space="preserve">2015-femmes-16</x:t>
  </x:si>
  <x:si>
    <x:t xml:space="preserve">Traitements anxiolytiques (hors pathologies)</x:t>
  </x:si>
  <x:si>
    <x:t xml:space="preserve">2016-femmes-3</x:t>
  </x:si>
  <x:si>
    <x:t xml:space="preserve">2015-femmes-17</x:t>
  </x:si>
  <x:si>
    <x:t xml:space="preserve">2016-femmes-4</x:t>
  </x:si>
  <x:si>
    <x:t xml:space="preserve">2015-femmes-18</x:t>
  </x:si>
  <x:si>
    <x:t xml:space="preserve">2016-femmes-10</x:t>
  </x:si>
  <x:si>
    <x:t xml:space="preserve">2017-tous sexes-1</x:t>
  </x:si>
  <x:si>
    <x:t xml:space="preserve">2017-tous sexes-2</x:t>
  </x:si>
  <x:si>
    <x:t xml:space="preserve">2017-tous sexes-3</x:t>
  </x:si>
  <x:si>
    <x:t xml:space="preserve">2017-tous sexes-4</x:t>
  </x:si>
  <x:si>
    <x:t xml:space="preserve">2017-tous sexes-5</x:t>
  </x:si>
  <x:si>
    <x:t xml:space="preserve">2016-tous sexes-11</x:t>
  </x:si>
  <x:si>
    <x:t xml:space="preserve">2017-tous sexes-6</x:t>
  </x:si>
  <x:si>
    <x:t xml:space="preserve">2016-tous sexes-12</x:t>
  </x:si>
  <x:si>
    <x:t xml:space="preserve">2017-tous sexes-7</x:t>
  </x:si>
  <x:si>
    <x:t xml:space="preserve">2016-tous sexes-13</x:t>
  </x:si>
  <x:si>
    <x:t xml:space="preserve">2017-tous sexes-8</x:t>
  </x:si>
  <x:si>
    <x:t xml:space="preserve">2016-tous sexes-14</x:t>
  </x:si>
  <x:si>
    <x:t xml:space="preserve">2017-tous sexes-9</x:t>
  </x:si>
  <x:si>
    <x:t xml:space="preserve">2016-tous sexes-15</x:t>
  </x:si>
  <x:si>
    <x:t xml:space="preserve">2017-tous sexes-10</x:t>
  </x:si>
  <x:si>
    <x:t xml:space="preserve">2016-tous sexes-16</x:t>
  </x:si>
  <x:si>
    <x:t xml:space="preserve">2017-hommes-1</x:t>
  </x:si>
  <x:si>
    <x:t xml:space="preserve">2016-tous sexes-17</x:t>
  </x:si>
  <x:si>
    <x:t xml:space="preserve">2017-hommes-2</x:t>
  </x:si>
  <x:si>
    <x:t xml:space="preserve">2016-tous sexes-18</x:t>
  </x:si>
  <x:si>
    <x:t xml:space="preserve">2017-hommes-3</x:t>
  </x:si>
  <x:si>
    <x:t xml:space="preserve">2017-hommes-4</x:t>
  </x:si>
  <x:si>
    <x:t xml:space="preserve">2017-hommes-5</x:t>
  </x:si>
  <x:si>
    <x:t xml:space="preserve">2017-hommes-6</x:t>
  </x:si>
  <x:si>
    <x:t xml:space="preserve">2017-hommes-7</x:t>
  </x:si>
  <x:si>
    <x:t xml:space="preserve">2017-hommes-8</x:t>
  </x:si>
  <x:si>
    <x:t xml:space="preserve">2017-hommes-9</x:t>
  </x:si>
  <x:si>
    <x:t xml:space="preserve">2017-hommes-10</x:t>
  </x:si>
  <x:si>
    <x:t xml:space="preserve">Haute-Marne</x:t>
  </x:si>
  <x:si>
    <x:t xml:space="preserve">2017-femmes-1</x:t>
  </x:si>
  <x:si>
    <x:t xml:space="preserve">2017-femmes-2</x:t>
  </x:si>
  <x:si>
    <x:t xml:space="preserve">2017-femmes-3</x:t>
  </x:si>
  <x:si>
    <x:t xml:space="preserve">2016-hommes-11</x:t>
  </x:si>
  <x:si>
    <x:t xml:space="preserve">2017-femmes-4</x:t>
  </x:si>
  <x:si>
    <x:t xml:space="preserve">2016-hommes-12</x:t>
  </x:si>
  <x:si>
    <x:t xml:space="preserve">2017-femmes-5</x:t>
  </x:si>
  <x:si>
    <x:t xml:space="preserve">2016-hommes-13</x:t>
  </x:si>
  <x:si>
    <x:t xml:space="preserve">2017-femmes-6</x:t>
  </x:si>
  <x:si>
    <x:t xml:space="preserve">2016-hommes-14</x:t>
  </x:si>
  <x:si>
    <x:t xml:space="preserve">2017-femmes-7</x:t>
  </x:si>
  <x:si>
    <x:t xml:space="preserve">2016-hommes-15</x:t>
  </x:si>
  <x:si>
    <x:t xml:space="preserve">2017-femmes-8</x:t>
  </x:si>
  <x:si>
    <x:t xml:space="preserve">2016-hommes-16</x:t>
  </x:si>
  <x:si>
    <x:t xml:space="preserve">2017-femmes-9</x:t>
  </x:si>
  <x:si>
    <x:t xml:space="preserve">2016-hommes-17</x:t>
  </x:si>
  <x:si>
    <x:t xml:space="preserve">2017-femmes-10</x:t>
  </x:si>
  <x:si>
    <x:t xml:space="preserve">2016-hommes-18</x:t>
  </x:si>
  <x:si>
    <x:t xml:space="preserve">2018-tous sexes-1</x:t>
  </x:si>
  <x:si>
    <x:t xml:space="preserve">2018-tous sexes-2</x:t>
  </x:si>
  <x:si>
    <x:t xml:space="preserve">2018-tous sexes-3</x:t>
  </x:si>
  <x:si>
    <x:t xml:space="preserve">2018-tous sexes-4</x:t>
  </x:si>
  <x:si>
    <x:t xml:space="preserve">2018-tous sexes-5</x:t>
  </x:si>
  <x:si>
    <x:t xml:space="preserve">2016-femmes-5</x:t>
  </x:si>
  <x:si>
    <x:t xml:space="preserve">2018-tous sexes-6</x:t>
  </x:si>
  <x:si>
    <x:t xml:space="preserve">2016-femmes-6</x:t>
  </x:si>
  <x:si>
    <x:t xml:space="preserve">2018-tous sexes-7</x:t>
  </x:si>
  <x:si>
    <x:t xml:space="preserve">2016-femmes-7</x:t>
  </x:si>
  <x:si>
    <x:t xml:space="preserve">2018-tous sexes-8</x:t>
  </x:si>
  <x:si>
    <x:t xml:space="preserve">2016-femmes-8</x:t>
  </x:si>
  <x:si>
    <x:t xml:space="preserve">2018-tous sexes-9</x:t>
  </x:si>
  <x:si>
    <x:t xml:space="preserve">2016-femmes-9</x:t>
  </x:si>
  <x:si>
    <x:t xml:space="preserve">2018-tous sexes-10</x:t>
  </x:si>
  <x:si>
    <x:t xml:space="preserve">2018-hommes-1</x:t>
  </x:si>
  <x:si>
    <x:t xml:space="preserve">2016-femmes-11</x:t>
  </x:si>
  <x:si>
    <x:t xml:space="preserve">2018-hommes-2</x:t>
  </x:si>
  <x:si>
    <x:t xml:space="preserve">2016-femmes-12</x:t>
  </x:si>
  <x:si>
    <x:t xml:space="preserve">2018-hommes-3</x:t>
  </x:si>
  <x:si>
    <x:t xml:space="preserve">2016-femmes-13</x:t>
  </x:si>
  <x:si>
    <x:t xml:space="preserve">2018-hommes-4</x:t>
  </x:si>
  <x:si>
    <x:t xml:space="preserve">2016-femmes-14</x:t>
  </x:si>
  <x:si>
    <x:t xml:space="preserve">2018-hommes-5</x:t>
  </x:si>
  <x:si>
    <x:t xml:space="preserve">2016-femmes-15</x:t>
  </x:si>
  <x:si>
    <x:t xml:space="preserve">2018-hommes-6</x:t>
  </x:si>
  <x:si>
    <x:t xml:space="preserve">2016-femmes-16</x:t>
  </x:si>
  <x:si>
    <x:t xml:space="preserve">2018-hommes-7</x:t>
  </x:si>
  <x:si>
    <x:t xml:space="preserve">2016-femmes-17</x:t>
  </x:si>
  <x:si>
    <x:t xml:space="preserve">2018-hommes-8</x:t>
  </x:si>
  <x:si>
    <x:t xml:space="preserve">2016-femmes-18</x:t>
  </x:si>
  <x:si>
    <x:t xml:space="preserve">2018-hommes-9</x:t>
  </x:si>
  <x:si>
    <x:t xml:space="preserve">2018-hommes-10</x:t>
  </x:si>
  <x:si>
    <x:t xml:space="preserve">2018-femmes-1</x:t>
  </x:si>
  <x:si>
    <x:t xml:space="preserve">2018-femmes-2</x:t>
  </x:si>
  <x:si>
    <x:t xml:space="preserve">2018-femmes-3</x:t>
  </x:si>
  <x:si>
    <x:t xml:space="preserve">2018-femmes-4</x:t>
  </x:si>
  <x:si>
    <x:t xml:space="preserve">2018-femmes-5</x:t>
  </x:si>
  <x:si>
    <x:t xml:space="preserve">2018-femmes-6</x:t>
  </x:si>
  <x:si>
    <x:t xml:space="preserve">2018-femmes-7</x:t>
  </x:si>
  <x:si>
    <x:t xml:space="preserve">2018-femmes-8</x:t>
  </x:si>
  <x:si>
    <x:t xml:space="preserve">2018-femmes-9</x:t>
  </x:si>
  <x:si>
    <x:t xml:space="preserve">2017-tous sexes-11</x:t>
  </x:si>
  <x:si>
    <x:t xml:space="preserve">2018-femmes-10</x:t>
  </x:si>
  <x:si>
    <x:t xml:space="preserve">2017-tous sexes-12</x:t>
  </x:si>
  <x:si>
    <x:t xml:space="preserve">2019-tous sexes-1</x:t>
  </x:si>
  <x:si>
    <x:t xml:space="preserve">2017-tous sexes-13</x:t>
  </x:si>
  <x:si>
    <x:t xml:space="preserve">2019-tous sexes-2</x:t>
  </x:si>
  <x:si>
    <x:t xml:space="preserve">2017-tous sexes-14</x:t>
  </x:si>
  <x:si>
    <x:t xml:space="preserve">2019-tous sexes-3</x:t>
  </x:si>
  <x:si>
    <x:t xml:space="preserve">2017-tous sexes-15</x:t>
  </x:si>
  <x:si>
    <x:t xml:space="preserve">2019-tous sexes-4</x:t>
  </x:si>
  <x:si>
    <x:t xml:space="preserve">2017-tous sexes-16</x:t>
  </x:si>
  <x:si>
    <x:t xml:space="preserve">2019-tous sexes-5</x:t>
  </x:si>
  <x:si>
    <x:t xml:space="preserve">2017-tous sexes-17</x:t>
  </x:si>
  <x:si>
    <x:t xml:space="preserve">2019-tous sexes-6</x:t>
  </x:si>
  <x:si>
    <x:t xml:space="preserve">2017-tous sexes-18</x:t>
  </x:si>
  <x:si>
    <x:t xml:space="preserve">2019-tous sexes-7</x:t>
  </x:si>
  <x:si>
    <x:t xml:space="preserve">2019-tous sexes-8</x:t>
  </x:si>
  <x:si>
    <x:t xml:space="preserve">2019-tous sexes-9</x:t>
  </x:si>
  <x:si>
    <x:t xml:space="preserve">2019-tous sexes-10</x:t>
  </x:si>
  <x:si>
    <x:t xml:space="preserve">2019-hommes-1</x:t>
  </x:si>
  <x:si>
    <x:t xml:space="preserve">2019-hommes-2</x:t>
  </x:si>
  <x:si>
    <x:t xml:space="preserve">2019-hommes-3</x:t>
  </x:si>
  <x:si>
    <x:t xml:space="preserve">2019-hommes-4</x:t>
  </x:si>
  <x:si>
    <x:t xml:space="preserve">2019-hommes-5</x:t>
  </x:si>
  <x:si>
    <x:t xml:space="preserve">2019-hommes-6</x:t>
  </x:si>
  <x:si>
    <x:t xml:space="preserve">2019-hommes-7</x:t>
  </x:si>
  <x:si>
    <x:t xml:space="preserve">2017-hommes-11</x:t>
  </x:si>
  <x:si>
    <x:t xml:space="preserve">2019-hommes-8</x:t>
  </x:si>
  <x:si>
    <x:t xml:space="preserve">2017-hommes-12</x:t>
  </x:si>
  <x:si>
    <x:t xml:space="preserve">2019-hommes-9</x:t>
  </x:si>
  <x:si>
    <x:t xml:space="preserve">2017-hommes-13</x:t>
  </x:si>
  <x:si>
    <x:t xml:space="preserve">2019-hommes-10</x:t>
  </x:si>
  <x:si>
    <x:t xml:space="preserve">2017-hommes-14</x:t>
  </x:si>
  <x:si>
    <x:t xml:space="preserve">2019-femmes-1</x:t>
  </x:si>
  <x:si>
    <x:t xml:space="preserve">2017-hommes-15</x:t>
  </x:si>
  <x:si>
    <x:t xml:space="preserve">2019-femmes-2</x:t>
  </x:si>
  <x:si>
    <x:t xml:space="preserve">2017-hommes-16</x:t>
  </x:si>
  <x:si>
    <x:t xml:space="preserve">2019-femmes-3</x:t>
  </x:si>
  <x:si>
    <x:t xml:space="preserve">2017-hommes-17</x:t>
  </x:si>
  <x:si>
    <x:t xml:space="preserve">2019-femmes-4</x:t>
  </x:si>
  <x:si>
    <x:t xml:space="preserve">2017-hommes-18</x:t>
  </x:si>
  <x:si>
    <x:t xml:space="preserve">2019-femmes-5</x:t>
  </x:si>
  <x:si>
    <x:t xml:space="preserve">2019-femmes-6</x:t>
  </x:si>
  <x:si>
    <x:t xml:space="preserve">2019-femmes-7</x:t>
  </x:si>
  <x:si>
    <x:t xml:space="preserve">2019-femmes-8</x:t>
  </x:si>
  <x:si>
    <x:t xml:space="preserve">2019-femmes-9</x:t>
  </x:si>
  <x:si>
    <x:t xml:space="preserve">2019-femmes-10</x:t>
  </x:si>
  <x:si>
    <x:t xml:space="preserve">2020-tous sexes-1</x:t>
  </x:si>
  <x:si>
    <x:t xml:space="preserve">2020-tous sexes-2</x:t>
  </x:si>
  <x:si>
    <x:t xml:space="preserve">2020-tous sexes-3</x:t>
  </x:si>
  <x:si>
    <x:t xml:space="preserve">2020-tous sexes-4</x:t>
  </x:si>
  <x:si>
    <x:t xml:space="preserve">2020-tous sexes-5</x:t>
  </x:si>
  <x:si>
    <x:t xml:space="preserve">2017-femmes-11</x:t>
  </x:si>
  <x:si>
    <x:t xml:space="preserve">2020-tous sexes-6</x:t>
  </x:si>
  <x:si>
    <x:t xml:space="preserve">2017-femmes-12</x:t>
  </x:si>
  <x:si>
    <x:t xml:space="preserve">2020-tous sexes-7</x:t>
  </x:si>
  <x:si>
    <x:t xml:space="preserve">2017-femmes-13</x:t>
  </x:si>
  <x:si>
    <x:t xml:space="preserve">2020-tous sexes-8</x:t>
  </x:si>
  <x:si>
    <x:t xml:space="preserve">2017-femmes-14</x:t>
  </x:si>
  <x:si>
    <x:t xml:space="preserve">2020-tous sexes-9</x:t>
  </x:si>
  <x:si>
    <x:t xml:space="preserve">2017-femmes-15</x:t>
  </x:si>
  <x:si>
    <x:t xml:space="preserve">2020-tous sexes-10</x:t>
  </x:si>
  <x:si>
    <x:t xml:space="preserve">2017-femmes-16</x:t>
  </x:si>
  <x:si>
    <x:t xml:space="preserve">2020-hommes-1</x:t>
  </x:si>
  <x:si>
    <x:t xml:space="preserve">2017-femmes-17</x:t>
  </x:si>
  <x:si>
    <x:t xml:space="preserve">2020-hommes-2</x:t>
  </x:si>
  <x:si>
    <x:t xml:space="preserve">2017-femmes-18</x:t>
  </x:si>
  <x:si>
    <x:t xml:space="preserve">2020-hommes-3</x:t>
  </x:si>
  <x:si>
    <x:t xml:space="preserve">2020-hommes-4</x:t>
  </x:si>
  <x:si>
    <x:t xml:space="preserve">2020-hommes-5</x:t>
  </x:si>
  <x:si>
    <x:t xml:space="preserve">2020-hommes-6</x:t>
  </x:si>
  <x:si>
    <x:t xml:space="preserve">2020-hommes-7</x:t>
  </x:si>
  <x:si>
    <x:t xml:space="preserve">2020-hommes-8</x:t>
  </x:si>
  <x:si>
    <x:t xml:space="preserve">2020-hommes-9</x:t>
  </x:si>
  <x:si>
    <x:t xml:space="preserve">2020-hommes-10</x:t>
  </x:si>
  <x:si>
    <x:t xml:space="preserve">2020-femmes-1</x:t>
  </x:si>
  <x:si>
    <x:t xml:space="preserve">2020-femmes-2</x:t>
  </x:si>
  <x:si>
    <x:t xml:space="preserve">2020-femmes-3</x:t>
  </x:si>
  <x:si>
    <x:t xml:space="preserve">2018-tous sexes-11</x:t>
  </x:si>
  <x:si>
    <x:t xml:space="preserve">2020-femmes-4</x:t>
  </x:si>
  <x:si>
    <x:t xml:space="preserve">2018-tous sexes-12</x:t>
  </x:si>
  <x:si>
    <x:t xml:space="preserve">2020-femmes-5</x:t>
  </x:si>
  <x:si>
    <x:t xml:space="preserve">2018-tous sexes-13</x:t>
  </x:si>
  <x:si>
    <x:t xml:space="preserve">2020-femmes-6</x:t>
  </x:si>
  <x:si>
    <x:t xml:space="preserve">2018-tous sexes-14</x:t>
  </x:si>
  <x:si>
    <x:t xml:space="preserve">2020-femmes-7</x:t>
  </x:si>
  <x:si>
    <x:t xml:space="preserve">2018-tous sexes-15</x:t>
  </x:si>
  <x:si>
    <x:t xml:space="preserve">2020-femmes-8</x:t>
  </x:si>
  <x:si>
    <x:t xml:space="preserve">2018-tous sexes-16</x:t>
  </x:si>
  <x:si>
    <x:t xml:space="preserve">2020-femmes-9</x:t>
  </x:si>
  <x:si>
    <x:t xml:space="preserve">2018-tous sexes-17</x:t>
  </x:si>
  <x:si>
    <x:t xml:space="preserve">2020-femmes-10</x:t>
  </x:si>
  <x:si>
    <x:t xml:space="preserve">2018-tous sexes-18</x:t>
  </x:si>
  <x:si>
    <x:t xml:space="preserve">2021-tous sexes-1</x:t>
  </x:si>
  <x:si>
    <x:t xml:space="preserve">2021-tous sexes-2</x:t>
  </x:si>
  <x:si>
    <x:t xml:space="preserve">2021-tous sexes-3</x:t>
  </x:si>
  <x:si>
    <x:t xml:space="preserve">2021-tous sexes-4</x:t>
  </x:si>
  <x:si>
    <x:t xml:space="preserve">2021-tous sexes-5</x:t>
  </x:si>
  <x:si>
    <x:t xml:space="preserve">2021-tous sexes-6</x:t>
  </x:si>
  <x:si>
    <x:t xml:space="preserve">2021-tous sexes-7</x:t>
  </x:si>
  <x:si>
    <x:t xml:space="preserve">2021-tous sexes-8</x:t>
  </x:si>
  <x:si>
    <x:t xml:space="preserve">2021-tous sexes-9</x:t>
  </x:si>
  <x:si>
    <x:t xml:space="preserve">2021-tous sexes-10</x:t>
  </x:si>
  <x:si>
    <x:t xml:space="preserve">2021-hommes-1</x:t>
  </x:si>
  <x:si>
    <x:t xml:space="preserve">2018-hommes-11</x:t>
  </x:si>
  <x:si>
    <x:t xml:space="preserve">2021-hommes-2</x:t>
  </x:si>
  <x:si>
    <x:t xml:space="preserve">2018-hommes-12</x:t>
  </x:si>
  <x:si>
    <x:t xml:space="preserve">2021-hommes-3</x:t>
  </x:si>
  <x:si>
    <x:t xml:space="preserve">2018-hommes-13</x:t>
  </x:si>
  <x:si>
    <x:t xml:space="preserve">2021-hommes-4</x:t>
  </x:si>
  <x:si>
    <x:t xml:space="preserve">2018-hommes-14</x:t>
  </x:si>
  <x:si>
    <x:t xml:space="preserve">2021-hommes-5</x:t>
  </x:si>
  <x:si>
    <x:t xml:space="preserve">2018-hommes-15</x:t>
  </x:si>
  <x:si>
    <x:t xml:space="preserve">2021-hommes-6</x:t>
  </x:si>
  <x:si>
    <x:t xml:space="preserve">2018-hommes-16</x:t>
  </x:si>
  <x:si>
    <x:t xml:space="preserve">2021-hommes-7</x:t>
  </x:si>
  <x:si>
    <x:t xml:space="preserve">2018-hommes-17</x:t>
  </x:si>
  <x:si>
    <x:t xml:space="preserve">2021-hommes-8</x:t>
  </x:si>
  <x:si>
    <x:t xml:space="preserve">2018-hommes-18</x:t>
  </x:si>
  <x:si>
    <x:t xml:space="preserve">2021-hommes-9</x:t>
  </x:si>
  <x:si>
    <x:t xml:space="preserve">2021-hommes-10</x:t>
  </x:si>
  <x:si>
    <x:t xml:space="preserve">2021-femmes-1</x:t>
  </x:si>
  <x:si>
    <x:t xml:space="preserve">2021-femmes-2</x:t>
  </x:si>
  <x:si>
    <x:t xml:space="preserve">2021-femmes-3</x:t>
  </x:si>
  <x:si>
    <x:t xml:space="preserve">2021-femmes-4</x:t>
  </x:si>
  <x:si>
    <x:t xml:space="preserve">2021-femmes-5</x:t>
  </x:si>
  <x:si>
    <x:t xml:space="preserve">2021-femmes-6</x:t>
  </x:si>
  <x:si>
    <x:t xml:space="preserve">2021-femmes-7</x:t>
  </x:si>
  <x:si>
    <x:t xml:space="preserve">2021-femmes-8</x:t>
  </x:si>
  <x:si>
    <x:t xml:space="preserve">2021-femmes-9</x:t>
  </x:si>
  <x:si>
    <x:t xml:space="preserve">2018-femmes-11</x:t>
  </x:si>
  <x:si>
    <x:t xml:space="preserve">2021-femmes-10</x:t>
  </x:si>
  <x:si>
    <x:t xml:space="preserve">2018-femmes-12</x:t>
  </x:si>
  <x:si>
    <x:t xml:space="preserve">2022-tous sexes-1</x:t>
  </x:si>
  <x:si>
    <x:t xml:space="preserve">2018-femmes-13</x:t>
  </x:si>
  <x:si>
    <x:t xml:space="preserve">2022-tous sexes-2</x:t>
  </x:si>
  <x:si>
    <x:t xml:space="preserve">2018-femmes-14</x:t>
  </x:si>
  <x:si>
    <x:t xml:space="preserve">2022-tous sexes-3</x:t>
  </x:si>
  <x:si>
    <x:t xml:space="preserve">2018-femmes-15</x:t>
  </x:si>
  <x:si>
    <x:t xml:space="preserve">2022-tous sexes-4</x:t>
  </x:si>
  <x:si>
    <x:t xml:space="preserve">2018-femmes-16</x:t>
  </x:si>
  <x:si>
    <x:t xml:space="preserve">2022-tous sexes-5</x:t>
  </x:si>
  <x:si>
    <x:t xml:space="preserve">2018-femmes-17</x:t>
  </x:si>
  <x:si>
    <x:t xml:space="preserve">2022-tous sexes-6</x:t>
  </x:si>
  <x:si>
    <x:t xml:space="preserve">2018-femmes-18</x:t>
  </x:si>
  <x:si>
    <x:t xml:space="preserve">2022-tous sexes-7</x:t>
  </x:si>
  <x:si>
    <x:t xml:space="preserve">2022-tous sexes-8</x:t>
  </x:si>
  <x:si>
    <x:t xml:space="preserve">2022-tous sexes-9</x:t>
  </x:si>
  <x:si>
    <x:t xml:space="preserve">2022-tous sexes-10</x:t>
  </x:si>
  <x:si>
    <x:t xml:space="preserve">2022-hommes-1</x:t>
  </x:si>
  <x:si>
    <x:t xml:space="preserve">2022-hommes-2</x:t>
  </x:si>
  <x:si>
    <x:t xml:space="preserve">2022-hommes-3</x:t>
  </x:si>
  <x:si>
    <x:t xml:space="preserve">2022-hommes-4</x:t>
  </x:si>
  <x:si>
    <x:t xml:space="preserve">2022-hommes-5</x:t>
  </x:si>
  <x:si>
    <x:t xml:space="preserve">2022-hommes-6</x:t>
  </x:si>
  <x:si>
    <x:t xml:space="preserve">2022-hommes-7</x:t>
  </x:si>
  <x:si>
    <x:t xml:space="preserve">2019-tous sexes-11</x:t>
  </x:si>
  <x:si>
    <x:t xml:space="preserve">2022-hommes-8</x:t>
  </x:si>
  <x:si>
    <x:t xml:space="preserve">2019-tous sexes-12</x:t>
  </x:si>
  <x:si>
    <x:t xml:space="preserve">2022-hommes-9</x:t>
  </x:si>
  <x:si>
    <x:t xml:space="preserve">2019-tous sexes-13</x:t>
  </x:si>
  <x:si>
    <x:t xml:space="preserve">2022-hommes-10</x:t>
  </x:si>
  <x:si>
    <x:t xml:space="preserve">2019-tous sexes-14</x:t>
  </x:si>
  <x:si>
    <x:t xml:space="preserve">2022-femmes-1</x:t>
  </x:si>
  <x:si>
    <x:t xml:space="preserve">2019-tous sexes-15</x:t>
  </x:si>
  <x:si>
    <x:t xml:space="preserve">2022-femmes-2</x:t>
  </x:si>
  <x:si>
    <x:t xml:space="preserve">2019-tous sexes-16</x:t>
  </x:si>
  <x:si>
    <x:t xml:space="preserve">2022-femmes-3</x:t>
  </x:si>
  <x:si>
    <x:t xml:space="preserve">2019-tous sexes-17</x:t>
  </x:si>
  <x:si>
    <x:t xml:space="preserve">2022-femmes-4</x:t>
  </x:si>
  <x:si>
    <x:t xml:space="preserve">2019-tous sexes-18</x:t>
  </x:si>
  <x:si>
    <x:t xml:space="preserve">2022-femmes-5</x:t>
  </x:si>
  <x:si>
    <x:t xml:space="preserve">2022-femmes-6</x:t>
  </x:si>
  <x:si>
    <x:t xml:space="preserve">2022-femmes-7</x:t>
  </x:si>
  <x:si>
    <x:t xml:space="preserve">2022-femmes-8</x:t>
  </x:si>
  <x:si>
    <x:t xml:space="preserve">2022-femmes-9</x:t>
  </x:si>
  <x:si>
    <x:t xml:space="preserve">2022-femmes-10</x:t>
  </x:si>
  <x:si>
    <x:t xml:space="preserve">2023-tous sexes-1</x:t>
  </x:si>
  <x:si>
    <x:t xml:space="preserve">2023-tous sexes-2</x:t>
  </x:si>
  <x:si>
    <x:t xml:space="preserve">2023-tous sexes-3</x:t>
  </x:si>
  <x:si>
    <x:t xml:space="preserve">2023-tous sexes-4</x:t>
  </x:si>
  <x:si>
    <x:t xml:space="preserve">2023-tous sexes-5</x:t>
  </x:si>
  <x:si>
    <x:t xml:space="preserve">2019-hommes-11</x:t>
  </x:si>
  <x:si>
    <x:t xml:space="preserve">2023-tous sexes-6</x:t>
  </x:si>
  <x:si>
    <x:t xml:space="preserve">2019-hommes-12</x:t>
  </x:si>
  <x:si>
    <x:t xml:space="preserve">2023-tous sexes-7</x:t>
  </x:si>
  <x:si>
    <x:t xml:space="preserve">2019-hommes-13</x:t>
  </x:si>
  <x:si>
    <x:t xml:space="preserve">2023-tous sexes-8</x:t>
  </x:si>
  <x:si>
    <x:t xml:space="preserve">2019-hommes-14</x:t>
  </x:si>
  <x:si>
    <x:t xml:space="preserve">2023-tous sexes-9</x:t>
  </x:si>
  <x:si>
    <x:t xml:space="preserve">2019-hommes-15</x:t>
  </x:si>
  <x:si>
    <x:t xml:space="preserve">2023-tous sexes-10</x:t>
  </x:si>
  <x:si>
    <x:t xml:space="preserve">2019-hommes-16</x:t>
  </x:si>
  <x:si>
    <x:t xml:space="preserve">2023-hommes-1</x:t>
  </x:si>
  <x:si>
    <x:t xml:space="preserve">2019-hommes-17</x:t>
  </x:si>
  <x:si>
    <x:t xml:space="preserve">2023-hommes-2</x:t>
  </x:si>
  <x:si>
    <x:t xml:space="preserve">2019-hommes-18</x:t>
  </x:si>
  <x:si>
    <x:t xml:space="preserve">2023-hommes-3</x:t>
  </x:si>
  <x:si>
    <x:t xml:space="preserve">2023-hommes-4</x:t>
  </x:si>
  <x:si>
    <x:t xml:space="preserve">2023-hommes-5</x:t>
  </x:si>
  <x:si>
    <x:t xml:space="preserve">2023-hommes-6</x:t>
  </x:si>
  <x:si>
    <x:t xml:space="preserve">2023-hommes-7</x:t>
  </x:si>
  <x:si>
    <x:t xml:space="preserve">2023-hommes-8</x:t>
  </x:si>
  <x:si>
    <x:t xml:space="preserve">2023-hommes-9</x:t>
  </x:si>
  <x:si>
    <x:t xml:space="preserve">2023-hommes-10</x:t>
  </x:si>
  <x:si>
    <x:t xml:space="preserve">2023-femmes-1</x:t>
  </x:si>
  <x:si>
    <x:t xml:space="preserve">2023-femmes-2</x:t>
  </x:si>
  <x:si>
    <x:t xml:space="preserve">2023-femmes-3</x:t>
  </x:si>
  <x:si>
    <x:t xml:space="preserve">2019-femmes-11</x:t>
  </x:si>
  <x:si>
    <x:t xml:space="preserve">2023-femmes-4</x:t>
  </x:si>
  <x:si>
    <x:t xml:space="preserve">2019-femmes-12</x:t>
  </x:si>
  <x:si>
    <x:t xml:space="preserve">2023-femmes-5</x:t>
  </x:si>
  <x:si>
    <x:t xml:space="preserve">2019-femmes-13</x:t>
  </x:si>
  <x:si>
    <x:t xml:space="preserve">2023-femmes-6</x:t>
  </x:si>
  <x:si>
    <x:t xml:space="preserve">2019-femmes-14</x:t>
  </x:si>
  <x:si>
    <x:t xml:space="preserve">2023-femmes-7</x:t>
  </x:si>
  <x:si>
    <x:t xml:space="preserve">2019-femmes-15</x:t>
  </x:si>
  <x:si>
    <x:t xml:space="preserve">2023-femmes-8</x:t>
  </x:si>
  <x:si>
    <x:t xml:space="preserve">2019-femmes-16</x:t>
  </x:si>
  <x:si>
    <x:t xml:space="preserve">2023-femmes-9</x:t>
  </x:si>
  <x:si>
    <x:t xml:space="preserve">2019-femmes-17</x:t>
  </x:si>
  <x:si>
    <x:t xml:space="preserve">2023-femmes-10</x:t>
  </x:si>
  <x:si>
    <x:t xml:space="preserve">2019-femmes-18</x:t>
  </x:si>
  <x:si>
    <x:t xml:space="preserve">2024-tous sexes-1</x:t>
  </x:si>
  <x:si>
    <x:t xml:space="preserve">2024-tous sexes-2</x:t>
  </x:si>
  <x:si>
    <x:t xml:space="preserve">2024-tous sexes-3</x:t>
  </x:si>
  <x:si>
    <x:t xml:space="preserve">2024-tous sexes-4</x:t>
  </x:si>
  <x:si>
    <x:t xml:space="preserve">2024-tous sexes-5</x:t>
  </x:si>
  <x:si>
    <x:t xml:space="preserve">2024-tous sexes-6</x:t>
  </x:si>
  <x:si>
    <x:t xml:space="preserve">2024-tous sexes-7</x:t>
  </x:si>
  <x:si>
    <x:t xml:space="preserve">2024-tous sexes-8</x:t>
  </x:si>
  <x:si>
    <x:t xml:space="preserve">2024-tous sexes-9</x:t>
  </x:si>
  <x:si>
    <x:t xml:space="preserve">2024-tous sexes-10</x:t>
  </x:si>
  <x:si>
    <x:t xml:space="preserve">2024-hommes-1</x:t>
  </x:si>
  <x:si>
    <x:t xml:space="preserve">2020-tous sexes-11</x:t>
  </x:si>
  <x:si>
    <x:t xml:space="preserve">2024-hommes-2</x:t>
  </x:si>
  <x:si>
    <x:t xml:space="preserve">2020-tous sexes-12</x:t>
  </x:si>
  <x:si>
    <x:t xml:space="preserve">2024-hommes-3</x:t>
  </x:si>
  <x:si>
    <x:t xml:space="preserve">2020-tous sexes-13</x:t>
  </x:si>
  <x:si>
    <x:t xml:space="preserve">2024-hommes-4</x:t>
  </x:si>
  <x:si>
    <x:t xml:space="preserve">2020-tous sexes-14</x:t>
  </x:si>
  <x:si>
    <x:t xml:space="preserve">2024-hommes-5</x:t>
  </x:si>
  <x:si>
    <x:t xml:space="preserve">2020-tous sexes-15</x:t>
  </x:si>
  <x:si>
    <x:t xml:space="preserve">2024-hommes-6</x:t>
  </x:si>
  <x:si>
    <x:t xml:space="preserve">2020-tous sexes-16</x:t>
  </x:si>
  <x:si>
    <x:t xml:space="preserve">2024-hommes-7</x:t>
  </x:si>
  <x:si>
    <x:t xml:space="preserve">2020-tous sexes-17</x:t>
  </x:si>
  <x:si>
    <x:t xml:space="preserve">2024-hommes-8</x:t>
  </x:si>
  <x:si>
    <x:t xml:space="preserve">2020-tous sexes-18</x:t>
  </x:si>
  <x:si>
    <x:t xml:space="preserve">2024-hommes-9</x:t>
  </x:si>
  <x:si>
    <x:t xml:space="preserve">2024-hommes-10</x:t>
  </x:si>
  <x:si>
    <x:t xml:space="preserve">2024-femmes-1</x:t>
  </x:si>
  <x:si>
    <x:t xml:space="preserve">2024-femmes-2</x:t>
  </x:si>
  <x:si>
    <x:t xml:space="preserve">2024-femmes-3</x:t>
  </x:si>
  <x:si>
    <x:t xml:space="preserve">2024-femmes-4</x:t>
  </x:si>
  <x:si>
    <x:t xml:space="preserve">2024-femmes-5</x:t>
  </x:si>
  <x:si>
    <x:t xml:space="preserve">2024-femmes-6</x:t>
  </x:si>
  <x:si>
    <x:t xml:space="preserve">2024-femmes-7</x:t>
  </x:si>
  <x:si>
    <x:t xml:space="preserve">2024-femmes-8</x:t>
  </x:si>
  <x:si>
    <x:t xml:space="preserve">2024-femmes-9</x:t>
  </x:si>
  <x:si>
    <x:t xml:space="preserve">2020-hommes-11</x:t>
  </x:si>
  <x:si>
    <x:t xml:space="preserve">2024-femmes-10</x:t>
  </x:si>
  <x:si>
    <x:t xml:space="preserve">2020-hommes-12</x:t>
  </x:si>
  <x:si>
    <x:t xml:space="preserve">2020-hommes-13</x:t>
  </x:si>
  <x:si>
    <x:t xml:space="preserve">2020-hommes-14</x:t>
  </x:si>
  <x:si>
    <x:t xml:space="preserve">2020-hommes-15</x:t>
  </x:si>
  <x:si>
    <x:t xml:space="preserve">2020-hommes-16</x:t>
  </x:si>
  <x:si>
    <x:t xml:space="preserve">2020-hommes-17</x:t>
  </x:si>
  <x:si>
    <x:t xml:space="preserve">2020-hommes-18</x:t>
  </x:si>
  <x:si>
    <x:t xml:space="preserve">2020-femmes-11</x:t>
  </x:si>
  <x:si>
    <x:t xml:space="preserve">2020-femmes-12</x:t>
  </x:si>
  <x:si>
    <x:t xml:space="preserve">2020-femmes-13</x:t>
  </x:si>
  <x:si>
    <x:t xml:space="preserve">2020-femmes-14</x:t>
  </x:si>
  <x:si>
    <x:t xml:space="preserve">2020-femmes-15</x:t>
  </x:si>
  <x:si>
    <x:t xml:space="preserve">2020-femmes-16</x:t>
  </x:si>
  <x:si>
    <x:t xml:space="preserve">2020-femmes-17</x:t>
  </x:si>
  <x:si>
    <x:t xml:space="preserve">2020-femmes-18</x:t>
  </x:si>
  <x:si>
    <x:t xml:space="preserve">2021-tous sexes-11</x:t>
  </x:si>
  <x:si>
    <x:t xml:space="preserve">2021-tous sexes-12</x:t>
  </x:si>
  <x:si>
    <x:t xml:space="preserve">2021-tous sexes-13</x:t>
  </x:si>
  <x:si>
    <x:t xml:space="preserve">2021-tous sexes-14</x:t>
  </x:si>
  <x:si>
    <x:t xml:space="preserve">2021-tous sexes-15</x:t>
  </x:si>
  <x:si>
    <x:t xml:space="preserve">2021-tous sexes-16</x:t>
  </x:si>
  <x:si>
    <x:t xml:space="preserve">2021-tous sexes-17</x:t>
  </x:si>
  <x:si>
    <x:t xml:space="preserve">2021-tous sexes-18</x:t>
  </x:si>
  <x:si>
    <x:t xml:space="preserve">2021-hommes-11</x:t>
  </x:si>
  <x:si>
    <x:t xml:space="preserve">2021-hommes-12</x:t>
  </x:si>
  <x:si>
    <x:t xml:space="preserve">2021-hommes-13</x:t>
  </x:si>
  <x:si>
    <x:t xml:space="preserve">2021-hommes-14</x:t>
  </x:si>
  <x:si>
    <x:t xml:space="preserve">2021-hommes-15</x:t>
  </x:si>
  <x:si>
    <x:t xml:space="preserve">2021-hommes-16</x:t>
  </x:si>
  <x:si>
    <x:t xml:space="preserve">2021-hommes-17</x:t>
  </x:si>
  <x:si>
    <x:t xml:space="preserve">2021-hommes-18</x:t>
  </x:si>
  <x:si>
    <x:t xml:space="preserve">2021-femmes-11</x:t>
  </x:si>
  <x:si>
    <x:t xml:space="preserve">2021-femmes-12</x:t>
  </x:si>
  <x:si>
    <x:t xml:space="preserve">2021-femmes-13</x:t>
  </x:si>
  <x:si>
    <x:t xml:space="preserve">2021-femmes-14</x:t>
  </x:si>
  <x:si>
    <x:t xml:space="preserve">2021-femmes-15</x:t>
  </x:si>
  <x:si>
    <x:t xml:space="preserve">2021-femmes-16</x:t>
  </x:si>
  <x:si>
    <x:t xml:space="preserve">2021-femmes-17</x:t>
  </x:si>
  <x:si>
    <x:t xml:space="preserve">2021-femmes-18</x:t>
  </x:si>
  <x:si>
    <x:t xml:space="preserve">2022-tous sexes-11</x:t>
  </x:si>
  <x:si>
    <x:t xml:space="preserve">2022-tous sexes-12</x:t>
  </x:si>
  <x:si>
    <x:t xml:space="preserve">2022-tous sexes-13</x:t>
  </x:si>
  <x:si>
    <x:t xml:space="preserve">2022-tous sexes-14</x:t>
  </x:si>
  <x:si>
    <x:t xml:space="preserve">2022-tous sexes-15</x:t>
  </x:si>
  <x:si>
    <x:t xml:space="preserve">2022-tous sexes-16</x:t>
  </x:si>
  <x:si>
    <x:t xml:space="preserve">2022-tous sexes-17</x:t>
  </x:si>
  <x:si>
    <x:t xml:space="preserve">2022-tous sexes-18</x:t>
  </x:si>
  <x:si>
    <x:t xml:space="preserve">2022-hommes-11</x:t>
  </x:si>
  <x:si>
    <x:t xml:space="preserve">2022-hommes-12</x:t>
  </x:si>
  <x:si>
    <x:t xml:space="preserve">2022-hommes-13</x:t>
  </x:si>
  <x:si>
    <x:t xml:space="preserve">2022-hommes-14</x:t>
  </x:si>
  <x:si>
    <x:t xml:space="preserve">2022-hommes-15</x:t>
  </x:si>
  <x:si>
    <x:t xml:space="preserve">2022-hommes-16</x:t>
  </x:si>
  <x:si>
    <x:t xml:space="preserve">2022-hommes-17</x:t>
  </x:si>
  <x:si>
    <x:t xml:space="preserve">2022-hommes-18</x:t>
  </x:si>
  <x:si>
    <x:t xml:space="preserve">2022-femmes-11</x:t>
  </x:si>
  <x:si>
    <x:t xml:space="preserve">2022-femmes-12</x:t>
  </x:si>
  <x:si>
    <x:t xml:space="preserve">2022-femmes-13</x:t>
  </x:si>
  <x:si>
    <x:t xml:space="preserve">2022-femmes-14</x:t>
  </x:si>
  <x:si>
    <x:t xml:space="preserve">2022-femmes-15</x:t>
  </x:si>
  <x:si>
    <x:t xml:space="preserve">2022-femmes-16</x:t>
  </x:si>
  <x:si>
    <x:t xml:space="preserve">2022-femmes-17</x:t>
  </x:si>
  <x:si>
    <x:t xml:space="preserve">2022-femmes-18</x:t>
  </x:si>
  <x:si>
    <x:t xml:space="preserve">2023-tous sexes-11</x:t>
  </x:si>
  <x:si>
    <x:t xml:space="preserve">2023-tous sexes-12</x:t>
  </x:si>
  <x:si>
    <x:t xml:space="preserve">2023-tous sexes-13</x:t>
  </x:si>
  <x:si>
    <x:t xml:space="preserve">2023-tous sexes-14</x:t>
  </x:si>
  <x:si>
    <x:t xml:space="preserve">2023-tous sexes-15</x:t>
  </x:si>
  <x:si>
    <x:t xml:space="preserve">2023-tous sexes-16</x:t>
  </x:si>
  <x:si>
    <x:t xml:space="preserve">2023-tous sexes-17</x:t>
  </x:si>
  <x:si>
    <x:t xml:space="preserve">2023-tous sexes-18</x:t>
  </x:si>
  <x:si>
    <x:t xml:space="preserve">2023-hommes-11</x:t>
  </x:si>
  <x:si>
    <x:t xml:space="preserve">2023-hommes-12</x:t>
  </x:si>
  <x:si>
    <x:t xml:space="preserve">2023-hommes-13</x:t>
  </x:si>
  <x:si>
    <x:t xml:space="preserve">2023-hommes-14</x:t>
  </x:si>
  <x:si>
    <x:t xml:space="preserve">2023-hommes-15</x:t>
  </x:si>
  <x:si>
    <x:t xml:space="preserve">2023-hommes-16</x:t>
  </x:si>
  <x:si>
    <x:t xml:space="preserve">2023-hommes-17</x:t>
  </x:si>
  <x:si>
    <x:t xml:space="preserve">2023-hommes-18</x:t>
  </x:si>
  <x:si>
    <x:t xml:space="preserve">2023-femmes-11</x:t>
  </x:si>
  <x:si>
    <x:t xml:space="preserve">2023-femmes-12</x:t>
  </x:si>
  <x:si>
    <x:t xml:space="preserve">2023-femmes-13</x:t>
  </x:si>
  <x:si>
    <x:t xml:space="preserve">2023-femmes-14</x:t>
  </x:si>
  <x:si>
    <x:t xml:space="preserve">2023-femmes-15</x:t>
  </x:si>
  <x:si>
    <x:t xml:space="preserve">2023-femmes-16</x:t>
  </x:si>
  <x:si>
    <x:t xml:space="preserve">2023-femmes-17</x:t>
  </x:si>
  <x:si>
    <x:t xml:space="preserve">2023-femmes-18</x:t>
  </x:si>
  <x:si>
    <x:t xml:space="preserve">2024-tous sexes-11</x:t>
  </x:si>
  <x:si>
    <x:t xml:space="preserve">2024-tous sexes-12</x:t>
  </x:si>
  <x:si>
    <x:t xml:space="preserve">2024-tous sexes-13</x:t>
  </x:si>
  <x:si>
    <x:t xml:space="preserve">2024-tous sexes-14</x:t>
  </x:si>
  <x:si>
    <x:t xml:space="preserve">2024-tous sexes-15</x:t>
  </x:si>
  <x:si>
    <x:t xml:space="preserve">2024-tous sexes-16</x:t>
  </x:si>
  <x:si>
    <x:t xml:space="preserve">2024-tous sexes-17</x:t>
  </x:si>
  <x:si>
    <x:t xml:space="preserve">2024-tous sexes-18</x:t>
  </x:si>
  <x:si>
    <x:t xml:space="preserve">2024-hommes-11</x:t>
  </x:si>
  <x:si>
    <x:t xml:space="preserve">2024-hommes-12</x:t>
  </x:si>
  <x:si>
    <x:t xml:space="preserve">2024-hommes-13</x:t>
  </x:si>
  <x:si>
    <x:t xml:space="preserve">2024-hommes-14</x:t>
  </x:si>
  <x:si>
    <x:t xml:space="preserve">2024-hommes-15</x:t>
  </x:si>
  <x:si>
    <x:t xml:space="preserve">2024-hommes-16</x:t>
  </x:si>
  <x:si>
    <x:t xml:space="preserve">2024-hommes-17</x:t>
  </x:si>
  <x:si>
    <x:t xml:space="preserve">2024-hommes-18</x:t>
  </x:si>
  <x:si>
    <x:t xml:space="preserve">2024-femmes-11</x:t>
  </x:si>
  <x:si>
    <x:t xml:space="preserve">2024-femmes-12</x:t>
  </x:si>
  <x:si>
    <x:t xml:space="preserve">2024-femmes-13</x:t>
  </x:si>
  <x:si>
    <x:t xml:space="preserve">2024-femmes-14</x:t>
  </x:si>
  <x:si>
    <x:t xml:space="preserve">2024-femmes-15</x:t>
  </x:si>
  <x:si>
    <x:t xml:space="preserve">2024-femmes-16</x:t>
  </x:si>
  <x:si>
    <x:t xml:space="preserve">2024-femmes-17</x:t>
  </x:si>
  <x:si>
    <x:t xml:space="preserve">2024-femmes-18</x:t>
  </x:si>
  <x:si>
    <x:t xml:space="preserve">Diabète en France — synthèse nationale</x:t>
  </x:si>
  <x:si>
    <x:t xml:space="preserve">Population</x:t>
  </x:si>
  <x:si>
    <x:t xml:space="preserve">Évolution patients</x:t>
  </x:si>
  <x:si>
    <x:t xml:space="preserve">Dépense moyenne / patient</x:t>
  </x:si>
  <x:si>
    <x:t xml:space="preserve">Évolution dépenses</x:t>
  </x:si>
  <x:si>
    <x:t xml:space="preserve">Données nationales filtrables — tous âges</x:t>
  </x:si>
  <x:si>
    <x:t xml:space="preserve">Code sexe</x:t>
  </x:si>
  <x:si>
    <x:t xml:space="preserve">1</x:t>
  </x:si>
  <x:si>
    <x:t xml:space="preserve">hommes</x:t>
  </x:si>
  <x:si>
    <x:t xml:space="preserve">2</x:t>
  </x:si>
  <x:si>
    <x:t xml:space="preserve">9</x:t>
  </x:si>
  <x:si>
    <x:t xml:space="preserve">tous sexes</x:t>
  </x:si>
  <x:si>
    <x:t xml:space="preserve">Priorisation territoriale — départements, 2024</x:t>
  </x:si>
  <x:si>
    <x:t xml:space="preserve">Code</x:t>
  </x:si>
  <x:si>
    <x:t xml:space="preserve">Patients 2024</x:t>
  </x:si>
  <x:si>
    <x:t xml:space="preserve">Population 2024</x:t>
  </x:si>
  <x:si>
    <x:t xml:space="preserve">Prévalence 2024</x:t>
  </x:si>
  <x:si>
    <x:t xml:space="preserve">Prévalence 2015</x:t>
  </x:si>
  <x:si>
    <x:t xml:space="preserve">Évolution 2015–2024</x:t>
  </x:si>
  <x:si>
    <x:t xml:space="preserve">971</x:t>
  </x:si>
  <x:si>
    <x:t xml:space="preserve">01</x:t>
  </x:si>
  <x:si>
    <x:t xml:space="preserve">972</x:t>
  </x:si>
  <x:si>
    <x:t xml:space="preserve">02</x:t>
  </x:si>
  <x:si>
    <x:t xml:space="preserve">58</x:t>
  </x:si>
  <x:si>
    <x:t xml:space="preserve">27</x:t>
  </x:si>
  <x:si>
    <x:t xml:space="preserve">974</x:t>
  </x:si>
  <x:si>
    <x:t xml:space="preserve">04</x:t>
  </x:si>
  <x:si>
    <x:t xml:space="preserve">23</x:t>
  </x:si>
  <x:si>
    <x:t xml:space="preserve">75</x:t>
  </x:si>
  <x:si>
    <x:t xml:space="preserve">36</x:t>
  </x:si>
  <x:si>
    <x:t xml:space="preserve">24</x:t>
  </x:si>
  <x:si>
    <x:t xml:space="preserve">32</x:t>
  </x:si>
  <x:si>
    <x:t xml:space="preserve">03</x:t>
  </x:si>
  <x:si>
    <x:t xml:space="preserve">84</x:t>
  </x:si>
  <x:si>
    <x:t xml:space="preserve">57</x:t>
  </x:si>
  <x:si>
    <x:t xml:space="preserve">44</x:t>
  </x:si>
  <x:si>
    <x:t xml:space="preserve">52</x:t>
  </x:si>
  <x:si>
    <x:t xml:space="preserve">08</x:t>
  </x:si>
  <x:si>
    <x:t xml:space="preserve">18</x:t>
  </x:si>
  <x:si>
    <x:t xml:space="preserve">89</x:t>
  </x:si>
  <x:si>
    <x:t xml:space="preserve">55</x:t>
  </x:si>
  <x:si>
    <x:t xml:space="preserve">Meuse</x:t>
  </x:si>
  <x:si>
    <x:t xml:space="preserve">62</x:t>
  </x:si>
  <x:si>
    <x:t xml:space="preserve">Pas-de-Calais</x:t>
  </x:si>
  <x:si>
    <x:t xml:space="preserve">71</x:t>
  </x:si>
  <x:si>
    <x:t xml:space="preserve">Saône-et-Loire</x:t>
  </x:si>
  <x:si>
    <x:t xml:space="preserve">80</x:t>
  </x:si>
  <x:si>
    <x:t xml:space="preserve">Somme</x:t>
  </x:si>
  <x:si>
    <x:t xml:space="preserve">70</x:t>
  </x:si>
  <x:si>
    <x:t xml:space="preserve">Haute-Saône</x:t>
  </x:si>
  <x:si>
    <x:t xml:space="preserve">41</x:t>
  </x:si>
  <x:si>
    <x:t xml:space="preserve">Loir-et-Cher</x:t>
  </x:si>
  <x:si>
    <x:t xml:space="preserve">10</x:t>
  </x:si>
  <x:si>
    <x:t xml:space="preserve">Aube</x:t>
  </x:si>
  <x:si>
    <x:t xml:space="preserve">11</x:t>
  </x:si>
  <x:si>
    <x:t xml:space="preserve">76</x:t>
  </x:si>
  <x:si>
    <x:t xml:space="preserve">93</x:t>
  </x:si>
  <x:si>
    <x:t xml:space="preserve">Seine-Saint-Denis</x:t>
  </x:si>
  <x:si>
    <x:t xml:space="preserve">Dordogne</x:t>
  </x:si>
  <x:si>
    <x:t xml:space="preserve">88</x:t>
  </x:si>
  <x:si>
    <x:t xml:space="preserve">Vosges</x:t>
  </x:si>
  <x:si>
    <x:t xml:space="preserve">68</x:t>
  </x:si>
  <x:si>
    <x:t xml:space="preserve">Haut-Rhin</x:t>
  </x:si>
  <x:si>
    <x:t xml:space="preserve">51</x:t>
  </x:si>
  <x:si>
    <x:t xml:space="preserve">Marne</x:t>
  </x:si>
  <x:si>
    <x:t xml:space="preserve">19</x:t>
  </x:si>
  <x:si>
    <x:t xml:space="preserve">Corrèze</x:t>
  </x:si>
  <x:si>
    <x:t xml:space="preserve">87</x:t>
  </x:si>
  <x:si>
    <x:t xml:space="preserve">Haute-Vienne</x:t>
  </x:si>
  <x:si>
    <x:t xml:space="preserve">54</x:t>
  </x:si>
  <x:si>
    <x:t xml:space="preserve">Meurthe-et-Moselle</x:t>
  </x:si>
  <x:si>
    <x:t xml:space="preserve">61</x:t>
  </x:si>
  <x:si>
    <x:t xml:space="preserve">Orne</x:t>
  </x:si>
  <x:si>
    <x:t xml:space="preserve">28</x:t>
  </x:si>
  <x:si>
    <x:t xml:space="preserve">59</x:t>
  </x:si>
  <x:si>
    <x:t xml:space="preserve">Nord</x:t>
  </x:si>
  <x:si>
    <x:t xml:space="preserve">15</x:t>
  </x:si>
  <x:si>
    <x:t xml:space="preserve">Cantal</x:t>
  </x:si>
  <x:si>
    <x:t xml:space="preserve">Eure-et-Loir</x:t>
  </x:si>
  <x:si>
    <x:t xml:space="preserve">66</x:t>
  </x:si>
  <x:si>
    <x:t xml:space="preserve">Pyrénées-Orientales</x:t>
  </x:si>
  <x:si>
    <x:t xml:space="preserve">45</x:t>
  </x:si>
  <x:si>
    <x:t xml:space="preserve">Loiret</x:t>
  </x:si>
  <x:si>
    <x:t xml:space="preserve">67</x:t>
  </x:si>
  <x:si>
    <x:t xml:space="preserve">Bas-Rhin</x:t>
  </x:si>
  <x:si>
    <x:t xml:space="preserve">16</x:t>
  </x:si>
  <x:si>
    <x:t xml:space="preserve">Charente</x:t>
  </x:si>
  <x:si>
    <x:t xml:space="preserve">2B</x:t>
  </x:si>
  <x:si>
    <x:t xml:space="preserve">Haute-Corse</x:t>
  </x:si>
  <x:si>
    <x:t xml:space="preserve">94</x:t>
  </x:si>
  <x:si>
    <x:t xml:space="preserve">46</x:t>
  </x:si>
  <x:si>
    <x:t xml:space="preserve">Lot</x:t>
  </x:si>
  <x:si>
    <x:t xml:space="preserve">60</x:t>
  </x:si>
  <x:si>
    <x:t xml:space="preserve">Oise</x:t>
  </x:si>
  <x:si>
    <x:t xml:space="preserve">47</x:t>
  </x:si>
  <x:si>
    <x:t xml:space="preserve">Lot-et-Garonne</x:t>
  </x:si>
  <x:si>
    <x:t xml:space="preserve">90</x:t>
  </x:si>
  <x:si>
    <x:t xml:space="preserve">Territoire de Belfort</x:t>
  </x:si>
  <x:si>
    <x:t xml:space="preserve">Seine-Maritime</x:t>
  </x:si>
  <x:si>
    <x:t xml:space="preserve">79</x:t>
  </x:si>
  <x:si>
    <x:t xml:space="preserve">Deux-Sèvres</x:t>
  </x:si>
  <x:si>
    <x:t xml:space="preserve">09</x:t>
  </x:si>
  <x:si>
    <x:t xml:space="preserve">Ariège</x:t>
  </x:si>
  <x:si>
    <x:t xml:space="preserve">2A</x:t>
  </x:si>
  <x:si>
    <x:t xml:space="preserve">Corse-du-Sud</x:t>
  </x:si>
  <x:si>
    <x:t xml:space="preserve">Gers</x:t>
  </x:si>
  <x:si>
    <x:t xml:space="preserve">42</x:t>
  </x:si>
  <x:si>
    <x:t xml:space="preserve">Loire</x:t>
  </x:si>
  <x:si>
    <x:t xml:space="preserve">Eure</x:t>
  </x:si>
  <x:si>
    <x:t xml:space="preserve">30</x:t>
  </x:si>
  <x:si>
    <x:t xml:space="preserve">Gard</x:t>
  </x:si>
  <x:si>
    <x:t xml:space="preserve">17</x:t>
  </x:si>
  <x:si>
    <x:t xml:space="preserve">Charente-Maritime</x:t>
  </x:si>
  <x:si>
    <x:t xml:space="preserve">39</x:t>
  </x:si>
  <x:si>
    <x:t xml:space="preserve">Jura</x:t>
  </x:si>
  <x:si>
    <x:t xml:space="preserve">Vaucluse</x:t>
  </x:si>
  <x:si>
    <x:t xml:space="preserve">72</x:t>
  </x:si>
  <x:si>
    <x:t xml:space="preserve">Sarthe</x:t>
  </x:si>
  <x:si>
    <x:t xml:space="preserve">65</x:t>
  </x:si>
  <x:si>
    <x:t xml:space="preserve">Hautes-Pyrénées</x:t>
  </x:si>
  <x:si>
    <x:t xml:space="preserve">43</x:t>
  </x:si>
  <x:si>
    <x:t xml:space="preserve">Haute-Loire</x:t>
  </x:si>
  <x:si>
    <x:t xml:space="preserve">40</x:t>
  </x:si>
  <x:si>
    <x:t xml:space="preserve">Landes</x:t>
  </x:si>
  <x:si>
    <x:t xml:space="preserve">95</x:t>
  </x:si>
  <x:si>
    <x:t xml:space="preserve">Val-d'Oise</x:t>
  </x:si>
  <x:si>
    <x:t xml:space="preserve">07</x:t>
  </x:si>
  <x:si>
    <x:t xml:space="preserve">Ardèche</x:t>
  </x:si>
  <x:si>
    <x:t xml:space="preserve">13</x:t>
  </x:si>
  <x:si>
    <x:t xml:space="preserve">Bouches-du-Rhône</x:t>
  </x:si>
  <x:si>
    <x:t xml:space="preserve">21</x:t>
  </x:si>
  <x:si>
    <x:t xml:space="preserve">Côte-d'Or</x:t>
  </x:si>
  <x:si>
    <x:t xml:space="preserve">Alpes-de-Haute-Provence</x:t>
  </x:si>
  <x:si>
    <x:t xml:space="preserve">973</x:t>
  </x:si>
  <x:si>
    <x:t xml:space="preserve">86</x:t>
  </x:si>
  <x:si>
    <x:t xml:space="preserve">Vienne</x:t>
  </x:si>
  <x:si>
    <x:t xml:space="preserve">81</x:t>
  </x:si>
  <x:si>
    <x:t xml:space="preserve">Tarn</x:t>
  </x:si>
  <x:si>
    <x:t xml:space="preserve">85</x:t>
  </x:si>
  <x:si>
    <x:t xml:space="preserve">Vendée</x:t>
  </x:si>
  <x:si>
    <x:t xml:space="preserve">82</x:t>
  </x:si>
  <x:si>
    <x:t xml:space="preserve">Tarn-et-Garonne</x:t>
  </x:si>
  <x:si>
    <x:t xml:space="preserve">83</x:t>
  </x:si>
  <x:si>
    <x:t xml:space="preserve">Var</x:t>
  </x:si>
  <x:si>
    <x:t xml:space="preserve">63</x:t>
  </x:si>
  <x:si>
    <x:t xml:space="preserve">Puy-de-Dôme</x:t>
  </x:si>
  <x:si>
    <x:t xml:space="preserve">77</x:t>
  </x:si>
  <x:si>
    <x:t xml:space="preserve">Seine-et-Marne</x:t>
  </x:si>
  <x:si>
    <x:t xml:space="preserve">26</x:t>
  </x:si>
  <x:si>
    <x:t xml:space="preserve">Drôme</x:t>
  </x:si>
  <x:si>
    <x:t xml:space="preserve">25</x:t>
  </x:si>
  <x:si>
    <x:t xml:space="preserve">Doubs</x:t>
  </x:si>
  <x:si>
    <x:t xml:space="preserve">12</x:t>
  </x:si>
  <x:si>
    <x:t xml:space="preserve">Aveyron</x:t>
  </x:si>
  <x:si>
    <x:t xml:space="preserve">50</x:t>
  </x:si>
  <x:si>
    <x:t xml:space="preserve">Manche</x:t>
  </x:si>
  <x:si>
    <x:t xml:space="preserve">14</x:t>
  </x:si>
  <x:si>
    <x:t xml:space="preserve">Calvados</x:t>
  </x:si>
  <x:si>
    <x:t xml:space="preserve">06</x:t>
  </x:si>
  <x:si>
    <x:t xml:space="preserve">Alpes-Maritimes</x:t>
  </x:si>
  <x:si>
    <x:t xml:space="preserve">48</x:t>
  </x:si>
  <x:si>
    <x:t xml:space="preserve">Lozère</x:t>
  </x:si>
  <x:si>
    <x:t xml:space="preserve">37</x:t>
  </x:si>
  <x:si>
    <x:t xml:space="preserve">Indre-et-Loire</x:t>
  </x:si>
  <x:si>
    <x:t xml:space="preserve">Val-de-Marne</x:t>
  </x:si>
  <x:si>
    <x:t xml:space="preserve">34</x:t>
  </x:si>
  <x:si>
    <x:t xml:space="preserve">Hérault</x:t>
  </x:si>
  <x:si>
    <x:t xml:space="preserve">976</x:t>
  </x:si>
  <x:si>
    <x:t xml:space="preserve">91</x:t>
  </x:si>
  <x:si>
    <x:t xml:space="preserve">Essonne</x:t>
  </x:si>
  <x:si>
    <x:t xml:space="preserve">Ain</x:t>
  </x:si>
  <x:si>
    <x:t xml:space="preserve">38</x:t>
  </x:si>
  <x:si>
    <x:t xml:space="preserve">Isère</x:t>
  </x:si>
  <x:si>
    <x:t xml:space="preserve">64</x:t>
  </x:si>
  <x:si>
    <x:t xml:space="preserve">Pyrénées-Atlantiques</x:t>
  </x:si>
  <x:si>
    <x:t xml:space="preserve">69</x:t>
  </x:si>
  <x:si>
    <x:t xml:space="preserve">Rhône</x:t>
  </x:si>
  <x:si>
    <x:t xml:space="preserve">49</x:t>
  </x:si>
  <x:si>
    <x:t xml:space="preserve">Maine-et-Loire</x:t>
  </x:si>
  <x:si>
    <x:t xml:space="preserve">33</x:t>
  </x:si>
  <x:si>
    <x:t xml:space="preserve">Gironde</x:t>
  </x:si>
  <x:si>
    <x:t xml:space="preserve">22</x:t>
  </x:si>
  <x:si>
    <x:t xml:space="preserve">Côtes-d'Armor</x:t>
  </x:si>
  <x:si>
    <x:t xml:space="preserve">53</x:t>
  </x:si>
  <x:si>
    <x:t xml:space="preserve">05</x:t>
  </x:si>
  <x:si>
    <x:t xml:space="preserve">Hautes-Alpes</x:t>
  </x:si>
  <x:si>
    <x:t xml:space="preserve">56</x:t>
  </x:si>
  <x:si>
    <x:t xml:space="preserve">Morbihan</x:t>
  </x:si>
  <x:si>
    <x:t xml:space="preserve">Mayenne</x:t>
  </x:si>
  <x:si>
    <x:t xml:space="preserve">78</x:t>
  </x:si>
  <x:si>
    <x:t xml:space="preserve">Yvelines</x:t>
  </x:si>
  <x:si>
    <x:t xml:space="preserve">73</x:t>
  </x:si>
  <x:si>
    <x:t xml:space="preserve">Savoie</x:t>
  </x:si>
  <x:si>
    <x:t xml:space="preserve">92</x:t>
  </x:si>
  <x:si>
    <x:t xml:space="preserve">Hauts-de-Seine</x:t>
  </x:si>
  <x:si>
    <x:t xml:space="preserve">29</x:t>
  </x:si>
  <x:si>
    <x:t xml:space="preserve">Finistère</x:t>
  </x:si>
  <x:si>
    <x:t xml:space="preserve">31</x:t>
  </x:si>
  <x:si>
    <x:t xml:space="preserve">Haute-Garonne</x:t>
  </x:si>
  <x:si>
    <x:t xml:space="preserve">Paris</x:t>
  </x:si>
  <x:si>
    <x:t xml:space="preserve">Loire-Atlantique</x:t>
  </x:si>
  <x:si>
    <x:t xml:space="preserve">74</x:t>
  </x:si>
  <x:si>
    <x:t xml:space="preserve">Haute-Savoie</x:t>
  </x:si>
  <x:si>
    <x:t xml:space="preserve">35</x:t>
  </x:si>
  <x:si>
    <x:t xml:space="preserve">Ille-et-Vilaine</x:t>
  </x:si>
  <x:si>
    <x:t xml:space="preserve">Données départementales — tous âges, tous sexes</x:t>
  </x:si>
  <x:si>
    <x:t xml:space="preserve">Code département</x:t>
  </x:si>
  <x:si>
    <x:t xml:space="preserve">Profil national par âge et sexe</x:t>
  </x:si>
  <x:si>
    <x:t xml:space="preserve">Dépenses remboursées attribuées au diabète</x:t>
  </x:si>
  <x:si>
    <x:t xml:space="preserve">Grand poste</x:t>
  </x:si>
  <x:si>
    <x:t xml:space="preserve">Poste détaillé</x:t>
  </x:si>
  <x:si>
    <x:t xml:space="preserve">Montant</x:t>
  </x:si>
  <x:si>
    <x:t xml:space="preserve">Recourants</x:t>
  </x:si>
  <x:si>
    <x:t xml:space="preserve">Montant moyen</x:t>
  </x:si>
  <x:si>
    <x:t xml:space="preserve">Type</x:t>
  </x:si>
  <x:si>
    <x:t xml:space="preserve">Part du total annuel</x:t>
  </x:si>
  <x:si>
    <x:t xml:space="preserve">Dépenses</x:t>
  </x:si>
  <x:si>
    <x:t xml:space="preserve">Total des dépenses remboursées</x:t>
  </x:si>
  <x:si>
    <x:t xml:space="preserve">Total</x:t>
  </x:si>
  <x:si>
    <x:t xml:space="preserve">Hospitalisations (tous secteurs)</x:t>
  </x:si>
  <x:si>
    <x:t xml:space="preserve">Actes et consultations externes MCO secteur public remboursés</x:t>
  </x:si>
  <x:si>
    <x:t xml:space="preserve">Partiel</x:t>
  </x:si>
  <x:si>
    <x:t xml:space="preserve">Hospitalisations en HAD secteur public remboursées</x:t>
  </x:si>
  <x:si>
    <x:t xml:space="preserve">Hospitalisations en psychiatrie secteur public remboursées</x:t>
  </x:si>
  <x:si>
    <x:t xml:space="preserve">Hospitalisations séjour MCO secteur public remboursées</x:t>
  </x:si>
  <x:si>
    <x:t xml:space="preserve">Hospitalisations en HAD secteur privé remboursées</x:t>
  </x:si>
  <x:si>
    <x:t xml:space="preserve">Hospitalisations en SSR secteur public remboursées</x:t>
  </x:si>
  <x:si>
    <x:t xml:space="preserve">Hospitalisations en psychiatrie secteur privé remboursées</x:t>
  </x:si>
  <x:si>
    <x:t xml:space="preserve">Hospitalisations séjour MCO secteur privé remboursées</x:t>
  </x:si>
  <x:si>
    <x:t xml:space="preserve">Hospitalisations en SSR secteur privé remboursées</x:t>
  </x:si>
  <x:si>
    <x:t xml:space="preserve">Hospitalisations liste en sus MCO secteur privé remboursées</x:t>
  </x:si>
  <x:si>
    <x:t xml:space="preserve">Hospitalisations liste en sus MCO secteur public remboursées</x:t>
  </x:si>
  <x:si>
    <x:t xml:space="preserve">Total hospitalisations (tous secteurs) remboursées</x:t>
  </x:si>
  <x:si>
    <x:t xml:space="preserve">Prestations en espèces</x:t>
  </x:si>
  <x:si>
    <x:t xml:space="preserve">Indemnités journalières maternité et autres prestations remboursées</x:t>
  </x:si>
  <x:si>
    <x:t xml:space="preserve">Prestations d'invalidité remboursées</x:t>
  </x:si>
  <x:si>
    <x:t xml:space="preserve">Total prestations en espèces remboursées</x:t>
  </x:si>
  <x:si>
    <x:t xml:space="preserve">Rentes de victimes ATMP remboursées</x:t>
  </x:si>
  <x:si>
    <x:t xml:space="preserve">Indemnités journalières maladie et AT/MP remboursées</x:t>
  </x:si>
  <x:si>
    <x:t xml:space="preserve">Soins de ville</x:t>
  </x:si>
  <x:si>
    <x:t xml:space="preserve">Autres dépenses de soins de ville remboursés</x:t>
  </x:si>
  <x:si>
    <x:t xml:space="preserve">Soins d'autres paramédicaux remboursés</x:t>
  </x:si>
  <x:si>
    <x:t xml:space="preserve">Soins de sages-femmes remboursés</x:t>
  </x:si>
  <x:si>
    <x:t xml:space="preserve">Total soins de ville remboursés</x:t>
  </x:si>
  <x:si>
    <x:t xml:space="preserve">Biologie remboursée</x:t>
  </x:si>
  <x:si>
    <x:t xml:space="preserve">Médicaments remboursés</x:t>
  </x:si>
  <x:si>
    <x:t xml:space="preserve">Soins de généralistes remboursés</x:t>
  </x:si>
  <x:si>
    <x:t xml:space="preserve">Soins de kinésithérapie remboursés</x:t>
  </x:si>
  <x:si>
    <x:t xml:space="preserve">Soins dentaires remboursés</x:t>
  </x:si>
  <x:si>
    <x:t xml:space="preserve">Autres produits de santé remboursés</x:t>
  </x:si>
  <x:si>
    <x:t xml:space="preserve">Soins autres spécialistes remboursés</x:t>
  </x:si>
  <x:si>
    <x:t xml:space="preserve">Soins infirmiers remboursés</x:t>
  </x:si>
  <x:si>
    <x:t xml:space="preserve">Transports remboursés</x:t>
  </x:si>
  <x:si>
    <x:t xml:space="preserve">Comorbidités associées au diabète — France, 2024</x:t>
  </x:si>
  <x:si>
    <x:t xml:space="preserve">Patients concernés</x:t>
  </x:si>
  <x:si>
    <x:t xml:space="preserve">Patients diabétiques</x:t>
  </x:si>
  <x:si>
    <x:t xml:space="preserve">Affections de longue durée (dont 31 et 32) pour d'autres causes</x:t>
  </x:si>
  <x:si>
    <x:t xml:space="preserve">Artériopathie périphérique</x:t>
  </x:si>
  <x:si>
    <x:t xml:space="preserve">Traitements hypnotiques (hors pathologies)</x:t>
  </x:si>
  <x:si>
    <x:t xml:space="preserve">Insuffisance cardiaque chronique</x:t>
  </x:si>
  <x:si>
    <x:t xml:space="preserve">Troubles névrotiques et de l'humeur</x:t>
  </x:si>
  <x:si>
    <x:t xml:space="preserve">Séquelle d'accident vasculaire cérébral</x:t>
  </x:si>
  <x:si>
    <x:t xml:space="preserve">Autres cancers actifs</x:t>
  </x:si>
  <x:si>
    <x:t xml:space="preserve">Autres cancers sous surveillance</x:t>
  </x:si>
  <x:si>
    <x:t xml:space="preserve">Maladies du foie ou du pancréas (hors mucoviscidose)</x:t>
  </x:si>
  <x:si>
    <x:t xml:space="preserve">Démences (dont maladie d'Alzheimer)</x:t>
  </x:si>
  <x:si>
    <x:t xml:space="preserve">Maladie valvulaire</x:t>
  </x:si>
  <x:si>
    <x:t xml:space="preserve">Troubles addictifs</x:t>
  </x:si>
  <x:si>
    <x:t xml:space="preserve">Troubles psychotiques</x:t>
  </x:si>
  <x:si>
    <x:t xml:space="preserve">Cancer de la prostate sous surveillance</x:t>
  </x:si>
  <x:si>
    <x:t xml:space="preserve">Autres affections cardiovasculaires</x:t>
  </x:si>
  <x:si>
    <x:t xml:space="preserve">Épilepsie</x:t>
  </x:si>
  <x:si>
    <x:t xml:space="preserve">Insuffisance cardiaque aiguë</x:t>
  </x:si>
  <x:si>
    <x:t xml:space="preserve">Cancer du sein de la femme sous surveillance</x:t>
  </x:si>
  <x:si>
    <x:t xml:space="preserve">Traitements neuroleptiques (hors pathologies)</x:t>
  </x:si>
  <x:si>
    <x:t xml:space="preserve">Cancer de la prostate actif</x:t>
  </x:si>
  <x:si>
    <x:t xml:space="preserve">Maladie de Parkinson</x:t>
  </x:si>
  <x:si>
    <x:t xml:space="preserve">Autres troubles psychiatriques</x:t>
  </x:si>
  <x:si>
    <x:t xml:space="preserve">Polyarthrite rhumatoïde ou maladies apparentées</x:t>
  </x:si>
  <x:si>
    <x:t xml:space="preserve">Cancer colorectal sous surveillance</x:t>
  </x:si>
  <x:si>
    <x:t xml:space="preserve">Autres maladies inflammatoires chroniques</x:t>
  </x:si>
  <x:si>
    <x:t xml:space="preserve">Spondylarthrite ankylosante ou maladies apparentées</x:t>
  </x:si>
  <x:si>
    <x:t xml:space="preserve">Cancer colorectal actif</x:t>
  </x:si>
  <x:si>
    <x:t xml:space="preserve">Accident vasculaire cérébral aigu</x:t>
  </x:si>
  <x:si>
    <x:t xml:space="preserve">Cancer du sein de la femme actif</x:t>
  </x:si>
  <x:si>
    <x:t xml:space="preserve">Syndrome coronaire aigu</x:t>
  </x:si>
  <x:si>
    <x:t xml:space="preserve">Dialyse chronique</x:t>
  </x:si>
  <x:si>
    <x:t xml:space="preserve">Maladies inflammatoires chroniques intestinales</x:t>
  </x:si>
  <x:si>
    <x:t xml:space="preserve">Cancer bronchopulmonaire actif</x:t>
  </x:si>
  <x:si>
    <x:t xml:space="preserve">Maternité (avec ou sans pathologies)</x:t>
  </x:si>
  <x:si>
    <x:t xml:space="preserve">Hospitalisation pour Covid-19</x:t>
  </x:si>
  <x:si>
    <x:t xml:space="preserve">Autres affections neurologiques</x:t>
  </x:si>
  <x:si>
    <x:t xml:space="preserve">Infection par le VIH</x:t>
  </x:si>
  <x:si>
    <x:t xml:space="preserve">Maladies métaboliques héréditaires ou amylose</x:t>
  </x:si>
  <x:si>
    <x:t xml:space="preserve">Lésion médullaire</x:t>
  </x:si>
  <x:si>
    <x:t xml:space="preserve">Suivi de transplantation rénale</x:t>
  </x:si>
  <x:si>
    <x:t xml:space="preserve">Cancer bronchopulmonaire sous surveillance</x:t>
  </x:si>
  <x:si>
    <x:t xml:space="preserve">Déficience mentale</x:t>
  </x:si>
  <x:si>
    <x:t xml:space="preserve">Sclérose en plaques</x:t>
  </x:si>
  <x:si>
    <x:t xml:space="preserve">Embolie pulmonaire</x:t>
  </x:si>
  <x:si>
    <x:t xml:space="preserve">Myopathie ou myasthénie</x:t>
  </x:si>
  <x:si>
    <x:t xml:space="preserve">Hémophilie ou troubles de l'hémostase graves</x:t>
  </x:si>
  <x:si>
    <x:t xml:space="preserve">Troubles psychiatriques débutant dans l'enfance</x:t>
  </x:si>
  <x:si>
    <x:t xml:space="preserve">Mucoviscidose</x:t>
  </x:si>
  <x:si>
    <x:t xml:space="preserve">Transplantation rénale</x:t>
  </x:si>
  <x:si>
    <x:t xml:space="preserve">Méthodologie, définitions et limites</x:t>
  </x:si>
  <x:si>
    <x:t xml:space="preserve">OBJECTIF</x:t>
  </x:si>
  <x:si>
    <x:t xml:space="preserve">Identifier les dynamiques nationales, les écarts territoriaux, les profils d’âge, les dépenses et les comorbidités afin d’éclairer le ciblage des actions de prévention.</x:t>
  </x:si>
  <x:si>
    <x:t xml:space="preserve">POPULATION ÉTUDIÉE</x:t>
  </x:si>
  <x:si>
    <x:t xml:space="preserve">Personnes prises en charge pour diabète selon la cartographie des pathologies et des dépenses de l’Assurance Maladie. Période : 2015–2024.</x:t>
  </x:si>
  <x:si>
    <x:t xml:space="preserve">INDICATEURS</x:t>
  </x:si>
  <x:si>
    <x:t xml:space="preserve">Effectif pris en charge ; population couverte ; prévalence ; dépenses remboursées attribuées ; dépense moyenne ; comorbidités associées.</x:t>
  </x:si>
  <x:si>
    <x:t xml:space="preserve">RÈGLES DE COMPARAISON</x:t>
  </x:si>
  <x:si>
    <x:t xml:space="preserve">Comparer prioritairement les prévalences plutôt que les effectifs bruts. Les comparaisons départementales présentées sont descriptives et non causales.</x:t>
  </x:si>
  <x:si>
    <x:t xml:space="preserve">LIMITES</x:t>
  </x:si>
  <x:si>
    <x:t xml:space="preserve">Prévalences départementales non standardisées dans ce classeur : la structure d’âge influence les écarts. Les dépenses sont attribuées par la méthode de la CNAM. Une association avec une comorbidité ne prouve pas un lien causal. Les arrondis et règles de secret statistique peuvent créer de faibles écarts.</x:t>
  </x:si>
  <x:si>
    <x:t xml:space="preserve">USAGE DÉCISIONNEL</x:t>
  </x:si>
  <x:si>
    <x:t xml:space="preserve">Repérer les territoires à approfondir, suivre les évolutions, cibler la prévention et préparer des analyses complémentaires. Le tableau de bord ne remplace ni une étude épidémiologique causale ni une décision médicale.</x:t>
  </x:si>
  <x:si>
    <x:t xml:space="preserve">SOURCES OFFICIELLES</x:t>
  </x:si>
  <x:si>
    <x:t xml:space="preserve">Source principale</x:t>
  </x:si>
  <x:si>
    <x:t xml:space="preserve">Assurance Maladie — Data pathologies</x:t>
  </x:si>
  <x:si>
    <x:t xml:space="preserve">https://data.ameli.fr/pages/pathologies/</x:t>
  </x:si>
  <x:si>
    <x:t xml:space="preserve">Effectifs</x:t>
  </x:si>
  <x:si>
    <x:t xml:space="preserve">Pathologies : effectif par pathologie, sexe, âge et territoire</x:t>
  </x:si>
  <x:si>
    <x:t xml:space="preserve">https://data.ameli.fr/explore/dataset/effectifs/</x:t>
  </x:si>
  <x:si>
    <x:t xml:space="preserve">Dépenses remboursées affectées à chaque pathologie</x:t>
  </x:si>
  <x:si>
    <x:t xml:space="preserve">https://data.ameli.fr/explore/dataset/depenses/</x:t>
  </x:si>
  <x:si>
    <x:t xml:space="preserve">Comorbidités</x:t>
  </x:si>
  <x:si>
    <x:t xml:space="preserve">Comorbidités associées à chaque pathologie</x:t>
  </x:si>
  <x:si>
    <x:t xml:space="preserve">https://data.ameli.fr/explore/dataset/comorbidites/</x:t>
  </x:si>
  <x:si>
    <x:t xml:space="preserve">Date d’extraction</x:t>
  </x:si>
  <x:si>
    <x:t xml:space="preserve">7 septembre 2026</x:t>
  </x:si>
</x:sst>
</file>

<file path=xl/styles.xml><?xml version="1.0" encoding="utf-8"?>
<x:styleSheet xmlns:x="http://schemas.openxmlformats.org/spreadsheetml/2006/main">
  <x:numFmts count="5">
    <x:numFmt numFmtId="164" formatCode="0.0%"/>
    <x:numFmt numFmtId="165" formatCode="#\ ##0\ &quot;€&quot;"/>
    <x:numFmt numFmtId="166" formatCode="#\ ##0.0,,,\ &quot;Md€&quot;"/>
    <x:numFmt numFmtId="167" formatCode="0.0&quot;%&quot;"/>
    <x:numFmt numFmtId="168" formatCode="0.00,,&quot; M&quot;"/>
  </x:numFmts>
  <x:fonts count="13">
    <x:font>
      <x:sz val="11"/>
      <x:name val="Carlito"/>
    </x:font>
    <x:font>
      <x:b/>
      <x:sz val="20"/>
      <x:color rgb="FFFFFFFF"/>
      <x:name val="Aptos"/>
    </x:font>
    <x:font>
      <x:sz val="11"/>
      <x:name val="Aptos"/>
    </x:font>
    <x:font>
      <x:b/>
      <x:sz val="11"/>
      <x:color rgb="FF17324D"/>
      <x:name val="Aptos"/>
    </x:font>
    <x:font>
      <x:b/>
      <x:sz val="22"/>
      <x:color rgb="FFFFFFFF"/>
      <x:name val="Aptos"/>
    </x:font>
    <x:font>
      <x:i/>
      <x:sz val="10"/>
      <x:color rgb="FF17324D"/>
      <x:name val="Aptos"/>
    </x:font>
    <x:font>
      <x:i/>
      <x:sz val="9"/>
      <x:color rgb="FF667783"/>
      <x:name val="Aptos"/>
    </x:font>
    <x:font>
      <x:b/>
      <x:sz val="10"/>
      <x:color rgb="FFFFFFFF"/>
      <x:name val="Aptos"/>
    </x:font>
    <x:font>
      <x:b/>
      <x:sz val="18"/>
      <x:color rgb="FF17324D"/>
      <x:name val="Aptos"/>
    </x:font>
    <x:font>
      <x:b/>
      <x:sz val="11"/>
      <x:color rgb="FFFFFFFF"/>
      <x:name val="Aptos"/>
    </x:font>
    <x:font>
      <x:sz val="10"/>
      <x:color rgb="FF24323D"/>
      <x:name val="Aptos"/>
    </x:font>
    <x:font>
      <x:b/>
      <x:sz val="9"/>
      <x:color rgb="FF1F5D75"/>
      <x:name val="Aptos"/>
    </x:font>
    <x:font>
      <x:b/>
      <x:sz val="9"/>
      <x:color rgb="FF173B4F"/>
      <x:name val="Aptos"/>
    </x:font>
  </x:fonts>
  <x:fills count="16">
    <x:fill>
      <x:patternFill patternType="none"/>
    </x:fill>
    <x:fill>
      <x:patternFill patternType="gray125"/>
    </x:fill>
    <x:fill>
      <x:patternFill patternType="solid">
        <x:fgColor rgb="FF17324D"/>
      </x:patternFill>
    </x:fill>
    <x:fill>
      <x:patternFill patternType="solid">
        <x:fgColor rgb="FFDDECF2"/>
      </x:patternFill>
    </x:fill>
    <x:fill>
      <x:patternFill patternType="solid">
        <x:fgColor rgb="FFD7EAF0"/>
      </x:patternFill>
    </x:fill>
    <x:fill>
      <x:patternFill patternType="solid">
        <x:fgColor rgb="FFFFF1B8"/>
      </x:patternFill>
    </x:fill>
    <x:fill>
      <x:patternFill patternType="solid">
        <x:fgColor rgb="FF2070A0"/>
      </x:patternFill>
    </x:fill>
    <x:fill>
      <x:patternFill patternType="solid">
        <x:fgColor rgb="FFEAF3F7"/>
      </x:patternFill>
    </x:fill>
    <x:fill>
      <x:patternFill patternType="solid">
        <x:fgColor rgb="FFF5F8FA"/>
      </x:patternFill>
    </x:fill>
    <x:fill>
      <x:patternFill patternType="solid">
        <x:fgColor rgb="FFFFFFFF"/>
      </x:patternFill>
    </x:fill>
    <x:fill>
      <x:patternFill patternType="solid">
        <x:fgColor rgb="FF2479A4"/>
      </x:patternFill>
    </x:fill>
    <x:fill>
      <x:patternFill patternType="solid">
        <x:fgColor rgb="FFF3F8FB"/>
      </x:patternFill>
    </x:fill>
    <x:fill>
      <x:patternFill patternType="solid">
        <x:fgColor rgb="FF2F7893"/>
      </x:patternFill>
    </x:fill>
    <x:fill>
      <x:patternFill patternType="solid">
        <x:fgColor rgb="FFF2F7F9"/>
      </x:patternFill>
    </x:fill>
    <x:fill>
      <x:patternFill patternType="solid">
        <x:fgColor rgb="FF4F746B"/>
      </x:patternFill>
    </x:fill>
    <x:fill>
      <x:patternFill patternType="solid">
        <x:fgColor rgb="FFF3F8F5"/>
      </x:patternFill>
    </x:fill>
  </x:fills>
  <x:borders count="67">
    <x:border/>
    <x:border>
      <x:right style="thin">
        <x:color rgb="FFC5D5DD"/>
      </x:right>
    </x:border>
    <x:border>
      <x:left style="thin">
        <x:color rgb="FFC5D5DD"/>
      </x:left>
      <x:right style="thin">
        <x:color rgb="FFC5D5DD"/>
      </x:right>
    </x:border>
    <x:border>
      <x:left style="thin">
        <x:color rgb="FFC5D5DD"/>
      </x:left>
    </x:border>
    <x:border>
      <x:right style="thin">
        <x:color rgb="FFD8E2E8"/>
      </x:right>
      <x:bottom style="thin">
        <x:color rgb="FFD8E2E8"/>
      </x:bottom>
    </x:border>
    <x:border>
      <x:left style="thin">
        <x:color rgb="FFD8E2E8"/>
      </x:left>
      <x:right style="thin">
        <x:color rgb="FFD8E2E8"/>
      </x:right>
      <x:bottom style="thin">
        <x:color rgb="FFD8E2E8"/>
      </x:bottom>
    </x:border>
    <x:border>
      <x:left style="thin">
        <x:color rgb="FFD8E2E8"/>
      </x:left>
      <x:right style="thin">
        <x:color rgb="FFC5D5DD"/>
      </x:right>
      <x:bottom style="thin">
        <x:color rgb="FFD8E2E8"/>
      </x:bottom>
    </x:border>
    <x:border>
      <x:right style="thin">
        <x:color rgb="FFD8E2E8"/>
      </x:right>
      <x:top style="thin">
        <x:color rgb="FFD8E2E8"/>
      </x:top>
      <x:bottom style="thin">
        <x:color rgb="FFD8E2E8"/>
      </x:bottom>
    </x:border>
    <x:border>
      <x:left style="thin">
        <x:color rgb="FFD8E2E8"/>
      </x:left>
      <x:right style="thin">
        <x:color rgb="FFD8E2E8"/>
      </x:right>
      <x:top style="thin">
        <x:color rgb="FFD8E2E8"/>
      </x:top>
      <x:bottom style="thin">
        <x:color rgb="FFD8E2E8"/>
      </x:bottom>
    </x:border>
    <x:border>
      <x:left style="thin">
        <x:color rgb="FFD8E2E8"/>
      </x:left>
      <x:right style="thin">
        <x:color rgb="FFC5D5DD"/>
      </x:right>
      <x:top style="thin">
        <x:color rgb="FFD8E2E8"/>
      </x:top>
      <x:bottom style="thin">
        <x:color rgb="FFD8E2E8"/>
      </x:bottom>
    </x:border>
    <x:border>
      <x:right style="thin">
        <x:color rgb="FFD8E2E8"/>
      </x:right>
      <x:top style="thin">
        <x:color rgb="FFD8E2E8"/>
      </x:top>
    </x:border>
    <x:border>
      <x:left style="thin">
        <x:color rgb="FFD8E2E8"/>
      </x:left>
      <x:right style="thin">
        <x:color rgb="FFD8E2E8"/>
      </x:right>
      <x:top style="thin">
        <x:color rgb="FFD8E2E8"/>
      </x:top>
    </x:border>
    <x:border>
      <x:left style="thin">
        <x:color rgb="FFD8E2E8"/>
      </x:left>
      <x:right style="thin">
        <x:color rgb="FFC5D5DD"/>
      </x:right>
      <x:top style="thin">
        <x:color rgb="FFD8E2E8"/>
      </x:top>
    </x:border>
    <x:border>
      <x:left style="medium">
        <x:color rgb="FFE9953E"/>
      </x:left>
      <x:right style="medium">
        <x:color rgb="FFE9953E"/>
      </x:right>
      <x:top style="medium">
        <x:color rgb="FFE9953E"/>
      </x:top>
      <x:bottom style="medium">
        <x:color rgb="FFE9953E"/>
      </x:bottom>
    </x:border>
    <x:border>
      <x:left style="medium">
        <x:color rgb="FF2070A0"/>
      </x:left>
      <x:top style="medium">
        <x:color rgb="FF2070A0"/>
      </x:top>
    </x:border>
    <x:border>
      <x:top style="medium">
        <x:color rgb="FF2070A0"/>
      </x:top>
    </x:border>
    <x:border>
      <x:right style="medium">
        <x:color rgb="FF2070A0"/>
      </x:right>
      <x:top style="medium">
        <x:color rgb="FF2070A0"/>
      </x:top>
    </x:border>
    <x:border>
      <x:left style="medium">
        <x:color rgb="FF2070A0"/>
      </x:left>
      <x:bottom style="medium">
        <x:color rgb="FF2070A0"/>
      </x:bottom>
    </x:border>
    <x:border>
      <x:bottom style="medium">
        <x:color rgb="FF2070A0"/>
      </x:bottom>
    </x:border>
    <x:border>
      <x:right style="medium">
        <x:color rgb="FF2070A0"/>
      </x:right>
      <x:bottom style="medium">
        <x:color rgb="FF2070A0"/>
      </x:bottom>
    </x:border>
    <x:border>
      <x:left style="thin">
        <x:color rgb="FFD8E2E8"/>
      </x:left>
      <x:top style="thin">
        <x:color rgb="FFD8E2E8"/>
      </x:top>
      <x:bottom style="thin">
        <x:color rgb="FFD8E2E8"/>
      </x:bottom>
    </x:border>
    <x:border>
      <x:top style="thin">
        <x:color rgb="FFD8E2E8"/>
      </x:top>
      <x:bottom style="thin">
        <x:color rgb="FFD8E2E8"/>
      </x:bottom>
    </x:border>
    <x:border>
      <x:left style="medium">
        <x:color rgb="FFFFFFFF"/>
      </x:left>
      <x:top style="medium">
        <x:color rgb="FFFFFFFF"/>
      </x:top>
      <x:bottom style="medium">
        <x:color rgb="FFFFFFFF"/>
      </x:bottom>
    </x:border>
    <x:border>
      <x:top style="medium">
        <x:color rgb="FFFFFFFF"/>
      </x:top>
      <x:bottom style="medium">
        <x:color rgb="FFFFFFFF"/>
      </x:bottom>
    </x:border>
    <x:border>
      <x:right style="medium">
        <x:color rgb="FFFFFFFF"/>
      </x:right>
      <x:top style="medium">
        <x:color rgb="FFFFFFFF"/>
      </x:top>
      <x:bottom style="medium">
        <x:color rgb="FFFFFFFF"/>
      </x:bottom>
    </x:border>
    <x:border>
      <x:right style="thin">
        <x:color rgb="FFC5D5DD"/>
      </x:right>
      <x:bottom style="thin">
        <x:color rgb="FF2479A4"/>
      </x:bottom>
    </x:border>
    <x:border>
      <x:left style="thin">
        <x:color rgb="FFC5D5DD"/>
      </x:left>
      <x:right style="thin">
        <x:color rgb="FFC5D5DD"/>
      </x:right>
      <x:bottom style="thin">
        <x:color rgb="FF2479A4"/>
      </x:bottom>
    </x:border>
    <x:border>
      <x:left style="thin">
        <x:color rgb="FF2479A4"/>
      </x:left>
      <x:top style="thin">
        <x:color rgb="FF2479A4"/>
      </x:top>
      <x:bottom style="medium">
        <x:color rgb="FFFFFFFF"/>
      </x:bottom>
    </x:border>
    <x:border>
      <x:top style="thin">
        <x:color rgb="FF2479A4"/>
      </x:top>
      <x:bottom style="medium">
        <x:color rgb="FFFFFFFF"/>
      </x:bottom>
    </x:border>
    <x:border>
      <x:right style="thin">
        <x:color rgb="FF2479A4"/>
      </x:right>
      <x:top style="thin">
        <x:color rgb="FF2479A4"/>
      </x:top>
      <x:bottom style="medium">
        <x:color rgb="FFFFFFFF"/>
      </x:bottom>
    </x:border>
    <x:border>
      <x:left style="thin">
        <x:color rgb="FF2479A4"/>
      </x:left>
      <x:right style="thin">
        <x:color rgb="FFC5D5DD"/>
      </x:right>
      <x:bottom style="thin">
        <x:color rgb="FF2479A4"/>
      </x:bottom>
    </x:border>
    <x:border>
      <x:left style="thin">
        <x:color rgb="FFC5D5DD"/>
      </x:left>
      <x:right style="thin">
        <x:color rgb="FF2479A4"/>
      </x:right>
      <x:bottom style="thin">
        <x:color rgb="FF2479A4"/>
      </x:bottom>
    </x:border>
    <x:border>
      <x:left style="thin">
        <x:color rgb="FF2479A4"/>
      </x:left>
    </x:border>
    <x:border>
      <x:right style="thin">
        <x:color rgb="FF2479A4"/>
      </x:right>
    </x:border>
    <x:border>
      <x:left style="thin">
        <x:color rgb="FF2479A4"/>
      </x:left>
      <x:bottom style="thin">
        <x:color rgb="FF2479A4"/>
      </x:bottom>
    </x:border>
    <x:border>
      <x:bottom style="thin">
        <x:color rgb="FF2479A4"/>
      </x:bottom>
    </x:border>
    <x:border>
      <x:right style="thin">
        <x:color rgb="FF2479A4"/>
      </x:right>
      <x:bottom style="thin">
        <x:color rgb="FF2479A4"/>
      </x:bottom>
    </x:border>
    <x:border>
      <x:right style="thin">
        <x:color rgb="FFC5D5DD"/>
      </x:right>
      <x:bottom style="thin">
        <x:color rgb="FF2F7893"/>
      </x:bottom>
    </x:border>
    <x:border>
      <x:left style="thin">
        <x:color rgb="FFC5D5DD"/>
      </x:left>
      <x:right style="thin">
        <x:color rgb="FFC5D5DD"/>
      </x:right>
      <x:bottom style="thin">
        <x:color rgb="FF2F7893"/>
      </x:bottom>
    </x:border>
    <x:border>
      <x:left style="thin">
        <x:color rgb="FF2F7893"/>
      </x:left>
      <x:top style="thin">
        <x:color rgb="FF2F7893"/>
      </x:top>
      <x:bottom style="medium">
        <x:color rgb="FFFFFFFF"/>
      </x:bottom>
    </x:border>
    <x:border>
      <x:top style="thin">
        <x:color rgb="FF2F7893"/>
      </x:top>
      <x:bottom style="medium">
        <x:color rgb="FFFFFFFF"/>
      </x:bottom>
    </x:border>
    <x:border>
      <x:right style="thin">
        <x:color rgb="FF2F7893"/>
      </x:right>
      <x:top style="thin">
        <x:color rgb="FF2F7893"/>
      </x:top>
      <x:bottom style="medium">
        <x:color rgb="FFFFFFFF"/>
      </x:bottom>
    </x:border>
    <x:border>
      <x:left style="thin">
        <x:color rgb="FF2F7893"/>
      </x:left>
      <x:right style="thin">
        <x:color rgb="FFC5D5DD"/>
      </x:right>
      <x:bottom style="thin">
        <x:color rgb="FF2F7893"/>
      </x:bottom>
    </x:border>
    <x:border>
      <x:left style="thin">
        <x:color rgb="FFC5D5DD"/>
      </x:left>
      <x:right style="thin">
        <x:color rgb="FF2F7893"/>
      </x:right>
      <x:bottom style="thin">
        <x:color rgb="FF2F7893"/>
      </x:bottom>
    </x:border>
    <x:border>
      <x:left style="thin">
        <x:color rgb="FF2F7893"/>
      </x:left>
    </x:border>
    <x:border>
      <x:right style="thin">
        <x:color rgb="FF2F7893"/>
      </x:right>
    </x:border>
    <x:border>
      <x:left style="thin">
        <x:color rgb="FF2F7893"/>
      </x:left>
      <x:bottom style="thin">
        <x:color rgb="FF2F7893"/>
      </x:bottom>
    </x:border>
    <x:border>
      <x:bottom style="thin">
        <x:color rgb="FF2F7893"/>
      </x:bottom>
    </x:border>
    <x:border>
      <x:right style="thin">
        <x:color rgb="FF2F7893"/>
      </x:right>
      <x:bottom style="thin">
        <x:color rgb="FF2F7893"/>
      </x:bottom>
    </x:border>
    <x:border>
      <x:right style="thin">
        <x:color rgb="FFC5D5DD"/>
      </x:right>
      <x:bottom style="thin">
        <x:color rgb="FF4F746B"/>
      </x:bottom>
    </x:border>
    <x:border>
      <x:left style="thin">
        <x:color rgb="FFC5D5DD"/>
      </x:left>
      <x:right style="thin">
        <x:color rgb="FFC5D5DD"/>
      </x:right>
      <x:bottom style="thin">
        <x:color rgb="FF4F746B"/>
      </x:bottom>
    </x:border>
    <x:border>
      <x:left style="thin">
        <x:color rgb="FF4F746B"/>
      </x:left>
      <x:top style="thin">
        <x:color rgb="FF4F746B"/>
      </x:top>
      <x:bottom style="medium">
        <x:color rgb="FFFFFFFF"/>
      </x:bottom>
    </x:border>
    <x:border>
      <x:top style="thin">
        <x:color rgb="FF4F746B"/>
      </x:top>
      <x:bottom style="medium">
        <x:color rgb="FFFFFFFF"/>
      </x:bottom>
    </x:border>
    <x:border>
      <x:right style="thin">
        <x:color rgb="FF4F746B"/>
      </x:right>
      <x:top style="thin">
        <x:color rgb="FF4F746B"/>
      </x:top>
      <x:bottom style="medium">
        <x:color rgb="FFFFFFFF"/>
      </x:bottom>
    </x:border>
    <x:border>
      <x:left style="thin">
        <x:color rgb="FF4F746B"/>
      </x:left>
      <x:right style="thin">
        <x:color rgb="FFC5D5DD"/>
      </x:right>
      <x:bottom style="thin">
        <x:color rgb="FF4F746B"/>
      </x:bottom>
    </x:border>
    <x:border>
      <x:left style="thin">
        <x:color rgb="FFC5D5DD"/>
      </x:left>
      <x:right style="thin">
        <x:color rgb="FF4F746B"/>
      </x:right>
      <x:bottom style="thin">
        <x:color rgb="FF4F746B"/>
      </x:bottom>
    </x:border>
    <x:border>
      <x:left style="thin">
        <x:color rgb="FF4F746B"/>
      </x:left>
    </x:border>
    <x:border>
      <x:right style="thin">
        <x:color rgb="FF4F746B"/>
      </x:right>
    </x:border>
    <x:border>
      <x:left style="thin">
        <x:color rgb="FF4F746B"/>
      </x:left>
      <x:bottom style="thin">
        <x:color rgb="FF4F746B"/>
      </x:bottom>
    </x:border>
    <x:border>
      <x:bottom style="thin">
        <x:color rgb="FF4F746B"/>
      </x:bottom>
    </x:border>
    <x:border>
      <x:right style="thin">
        <x:color rgb="FF4F746B"/>
      </x:right>
      <x:bottom style="thin">
        <x:color rgb="FF4F746B"/>
      </x:bottom>
    </x:border>
    <x:border>
      <x:left style="thick">
        <x:color rgb="FFFFFFFF"/>
      </x:left>
      <x:top style="thin">
        <x:color rgb="FF2F7893"/>
      </x:top>
      <x:bottom style="medium">
        <x:color rgb="FFFFFFFF"/>
      </x:bottom>
    </x:border>
    <x:border>
      <x:left style="thick">
        <x:color rgb="FFFFFFFF"/>
      </x:left>
      <x:bottom style="thin">
        <x:color rgb="FF2F7893"/>
      </x:bottom>
    </x:border>
    <x:border>
      <x:left style="thick">
        <x:color rgb="FFFFFFFF"/>
      </x:left>
    </x:border>
    <x:border>
      <x:left style="thick">
        <x:color rgb="FFFFFFFF"/>
      </x:left>
      <x:bottom style="medium">
        <x:color rgb="FFFFFFFF"/>
      </x:bottom>
    </x:border>
    <x:border>
      <x:left style="thick">
        <x:color rgb="FFFFFFFF"/>
      </x:left>
      <x:top style="thin">
        <x:color rgb="FF4F746B"/>
      </x:top>
      <x:bottom style="medium">
        <x:color rgb="FFFFFFFF"/>
      </x:bottom>
    </x:border>
    <x:border>
      <x:left style="thick">
        <x:color rgb="FFFFFFFF"/>
      </x:left>
      <x:bottom style="thin">
        <x:color rgb="FF4F746B"/>
      </x:bottom>
    </x:border>
  </x:borders>
  <x:cellStyleXfs count="1">
    <x:xf numFmtId="0" fontId="0" fillId="0" borderId="0"/>
  </x:cellStyleXfs>
  <x:cellXfs count="164">
    <x:xf numFmtId="0" fontId="0" fillId="0" borderId="0" xfId="0"/>
    <x:xf numFmtId="0" fontId="2" fillId="0" borderId="0" xfId="0" applyFont="1"/>
    <x:xf numFmtId="0" fontId="3" fillId="3" borderId="4" xfId="0" applyFont="1" applyFill="1" applyBorder="1" applyAlignment="1">
      <x:alignment vertical="center" wrapText="1"/>
    </x:xf>
    <x:xf numFmtId="0" fontId="3" fillId="3" borderId="5" xfId="0" applyFont="1" applyFill="1" applyBorder="1" applyAlignment="1">
      <x:alignment vertical="center" wrapText="1"/>
    </x:xf>
    <x:xf numFmtId="0" fontId="3" fillId="3" borderId="6" xfId="0" applyFont="1" applyFill="1" applyBorder="1" applyAlignment="1">
      <x:alignment vertical="center" wrapText="1"/>
    </x:xf>
    <x:xf numFmtId="0" fontId="2" fillId="0" borderId="7" xfId="0" applyFont="1" applyBorder="1"/>
    <x:xf numFmtId="3" fontId="2" fillId="0" borderId="8" xfId="0" applyNumberFormat="1" applyFont="1" applyBorder="1"/>
    <x:xf numFmtId="164" fontId="2" fillId="0" borderId="8" xfId="0" applyNumberFormat="1" applyFont="1" applyBorder="1"/>
    <x:xf numFmtId="165" fontId="2" fillId="0" borderId="8" xfId="0" applyNumberFormat="1" applyFont="1" applyBorder="1"/>
    <x:xf numFmtId="164" fontId="2" fillId="0" borderId="9" xfId="0" applyNumberFormat="1" applyFont="1" applyBorder="1"/>
    <x:xf numFmtId="0" fontId="2" fillId="0" borderId="10" xfId="0" applyFont="1" applyBorder="1"/>
    <x:xf numFmtId="3" fontId="2" fillId="0" borderId="11" xfId="0" applyNumberFormat="1" applyFont="1" applyBorder="1"/>
    <x:xf numFmtId="164" fontId="2" fillId="0" borderId="11" xfId="0" applyNumberFormat="1" applyFont="1" applyBorder="1"/>
    <x:xf numFmtId="165" fontId="2" fillId="0" borderId="11" xfId="0" applyNumberFormat="1" applyFont="1" applyBorder="1"/>
    <x:xf numFmtId="164" fontId="2" fillId="0" borderId="12" xfId="0" applyNumberFormat="1" applyFont="1" applyBorder="1"/>
    <x:xf numFmtId="0" fontId="2" fillId="0" borderId="8" xfId="0" applyFont="1" applyBorder="1"/>
    <x:xf numFmtId="0" fontId="2" fillId="0" borderId="11" xfId="0" applyFont="1" applyBorder="1"/>
    <x:xf numFmtId="167" fontId="2" fillId="0" borderId="0" xfId="0" applyNumberFormat="1" applyFont="1"/>
    <x:xf numFmtId="0" fontId="3" fillId="0" borderId="0" xfId="0" applyFont="1" applyAlignment="1">
      <x:alignment vertical="center"/>
    </x:xf>
    <x:xf numFmtId="0" fontId="3" fillId="5" borderId="13" xfId="0" applyFont="1" applyFill="1" applyBorder="1" applyAlignment="1">
      <x:alignment horizontal="center" vertical="center"/>
    </x:xf>
    <x:xf numFmtId="0" fontId="3" fillId="3" borderId="1" xfId="0" applyFont="1" applyFill="1" applyBorder="1" applyAlignment="1">
      <x:alignment vertical="center" wrapText="1"/>
    </x:xf>
    <x:xf numFmtId="0" fontId="3" fillId="3" borderId="2" xfId="0" applyFont="1" applyFill="1" applyBorder="1" applyAlignment="1">
      <x:alignment vertical="center" wrapText="1"/>
    </x:xf>
    <x:xf numFmtId="0" fontId="3" fillId="3" borderId="3" xfId="0" applyFont="1" applyFill="1" applyBorder="1" applyAlignment="1">
      <x:alignment vertical="center" wrapText="1"/>
    </x:xf>
    <x:xf numFmtId="3" fontId="2" fillId="0" borderId="0" xfId="0" applyNumberFormat="1" applyFont="1"/>
    <x:xf numFmtId="164" fontId="2" fillId="0" borderId="0" xfId="0" applyNumberFormat="1" applyFont="1"/>
    <x:xf numFmtId="0" fontId="3" fillId="0" borderId="0" xfId="0" applyFont="1" applyAlignment="1">
      <x:alignment wrapText="1"/>
    </x:xf>
    <x:xf numFmtId="0" fontId="2" fillId="0" borderId="0" xfId="0" applyFont="1" applyAlignment="1">
      <x:alignment wrapText="1"/>
    </x:xf>
    <x:xf numFmtId="168" fontId="2" fillId="0" borderId="0" xfId="0" applyNumberFormat="1" applyFont="1"/>
    <x:xf numFmtId="0" fontId="4" fillId="2" borderId="0" xfId="0" applyFont="1" applyFill="1" applyAlignment="1">
      <x:alignment vertical="center"/>
    </x:xf>
    <x:xf numFmtId="0" fontId="5" fillId="4" borderId="0" xfId="0" applyFont="1" applyFill="1"/>
    <x:xf numFmtId="0" fontId="6" fillId="0" borderId="0" xfId="0" applyFont="1" applyAlignment="1">
      <x:alignment wrapText="1"/>
    </x:xf>
    <x:xf numFmtId="0" fontId="7" fillId="6" borderId="0" xfId="0" applyFont="1" applyFill="1" applyAlignment="1">
      <x:alignment horizontal="center"/>
    </x:xf>
    <x:xf numFmtId="3" fontId="8" fillId="7" borderId="14" xfId="0" applyNumberFormat="1" applyFont="1" applyFill="1" applyBorder="1" applyAlignment="1">
      <x:alignment horizontal="center" vertical="center"/>
    </x:xf>
    <x:xf numFmtId="3" fontId="8" fillId="7" borderId="15" xfId="0" applyNumberFormat="1" applyFont="1" applyFill="1" applyBorder="1" applyAlignment="1">
      <x:alignment horizontal="center" vertical="center"/>
    </x:xf>
    <x:xf numFmtId="3" fontId="8" fillId="7" borderId="16" xfId="0" applyNumberFormat="1" applyFont="1" applyFill="1" applyBorder="1" applyAlignment="1">
      <x:alignment horizontal="center" vertical="center"/>
    </x:xf>
    <x:xf numFmtId="3" fontId="8" fillId="7" borderId="17" xfId="0" applyNumberFormat="1" applyFont="1" applyFill="1" applyBorder="1" applyAlignment="1">
      <x:alignment horizontal="center" vertical="center"/>
    </x:xf>
    <x:xf numFmtId="3" fontId="8" fillId="7" borderId="18" xfId="0" applyNumberFormat="1" applyFont="1" applyFill="1" applyBorder="1" applyAlignment="1">
      <x:alignment horizontal="center" vertical="center"/>
    </x:xf>
    <x:xf numFmtId="3" fontId="8" fillId="7" borderId="19" xfId="0" applyNumberFormat="1" applyFont="1" applyFill="1" applyBorder="1" applyAlignment="1">
      <x:alignment horizontal="center" vertical="center"/>
    </x:xf>
    <x:xf numFmtId="164" fontId="8" fillId="7" borderId="14" xfId="0" applyNumberFormat="1" applyFont="1" applyFill="1" applyBorder="1" applyAlignment="1">
      <x:alignment horizontal="center" vertical="center"/>
    </x:xf>
    <x:xf numFmtId="164" fontId="8" fillId="7" borderId="15" xfId="0" applyNumberFormat="1" applyFont="1" applyFill="1" applyBorder="1" applyAlignment="1">
      <x:alignment horizontal="center" vertical="center"/>
    </x:xf>
    <x:xf numFmtId="164" fontId="8" fillId="7" borderId="16" xfId="0" applyNumberFormat="1" applyFont="1" applyFill="1" applyBorder="1" applyAlignment="1">
      <x:alignment horizontal="center" vertical="center"/>
    </x:xf>
    <x:xf numFmtId="164" fontId="8" fillId="7" borderId="17" xfId="0" applyNumberFormat="1" applyFont="1" applyFill="1" applyBorder="1" applyAlignment="1">
      <x:alignment horizontal="center" vertical="center"/>
    </x:xf>
    <x:xf numFmtId="164" fontId="8" fillId="7" borderId="18" xfId="0" applyNumberFormat="1" applyFont="1" applyFill="1" applyBorder="1" applyAlignment="1">
      <x:alignment horizontal="center" vertical="center"/>
    </x:xf>
    <x:xf numFmtId="164" fontId="8" fillId="7" borderId="19" xfId="0" applyNumberFormat="1" applyFont="1" applyFill="1" applyBorder="1" applyAlignment="1">
      <x:alignment horizontal="center" vertical="center"/>
    </x:xf>
    <x:xf numFmtId="166" fontId="8" fillId="7" borderId="14" xfId="0" applyNumberFormat="1" applyFont="1" applyFill="1" applyBorder="1" applyAlignment="1">
      <x:alignment horizontal="center" vertical="center"/>
    </x:xf>
    <x:xf numFmtId="166" fontId="8" fillId="7" borderId="15" xfId="0" applyNumberFormat="1" applyFont="1" applyFill="1" applyBorder="1" applyAlignment="1">
      <x:alignment horizontal="center" vertical="center"/>
    </x:xf>
    <x:xf numFmtId="166" fontId="8" fillId="7" borderId="16" xfId="0" applyNumberFormat="1" applyFont="1" applyFill="1" applyBorder="1" applyAlignment="1">
      <x:alignment horizontal="center" vertical="center"/>
    </x:xf>
    <x:xf numFmtId="166" fontId="8" fillId="7" borderId="17" xfId="0" applyNumberFormat="1" applyFont="1" applyFill="1" applyBorder="1" applyAlignment="1">
      <x:alignment horizontal="center" vertical="center"/>
    </x:xf>
    <x:xf numFmtId="166" fontId="8" fillId="7" borderId="18" xfId="0" applyNumberFormat="1" applyFont="1" applyFill="1" applyBorder="1" applyAlignment="1">
      <x:alignment horizontal="center" vertical="center"/>
    </x:xf>
    <x:xf numFmtId="166" fontId="8" fillId="7" borderId="19" xfId="0" applyNumberFormat="1" applyFont="1" applyFill="1" applyBorder="1" applyAlignment="1">
      <x:alignment horizontal="center" vertical="center"/>
    </x:xf>
    <x:xf numFmtId="165" fontId="8" fillId="7" borderId="14" xfId="0" applyNumberFormat="1" applyFont="1" applyFill="1" applyBorder="1" applyAlignment="1">
      <x:alignment horizontal="center" vertical="center"/>
    </x:xf>
    <x:xf numFmtId="165" fontId="8" fillId="7" borderId="15" xfId="0" applyNumberFormat="1" applyFont="1" applyFill="1" applyBorder="1" applyAlignment="1">
      <x:alignment horizontal="center" vertical="center"/>
    </x:xf>
    <x:xf numFmtId="165" fontId="8" fillId="7" borderId="16" xfId="0" applyNumberFormat="1" applyFont="1" applyFill="1" applyBorder="1" applyAlignment="1">
      <x:alignment horizontal="center" vertical="center"/>
    </x:xf>
    <x:xf numFmtId="165" fontId="8" fillId="7" borderId="17" xfId="0" applyNumberFormat="1" applyFont="1" applyFill="1" applyBorder="1" applyAlignment="1">
      <x:alignment horizontal="center" vertical="center"/>
    </x:xf>
    <x:xf numFmtId="165" fontId="8" fillId="7" borderId="18" xfId="0" applyNumberFormat="1" applyFont="1" applyFill="1" applyBorder="1" applyAlignment="1">
      <x:alignment horizontal="center" vertical="center"/>
    </x:xf>
    <x:xf numFmtId="165" fontId="8" fillId="7" borderId="19" xfId="0" applyNumberFormat="1" applyFont="1" applyFill="1" applyBorder="1" applyAlignment="1">
      <x:alignment horizontal="center" vertical="center"/>
    </x:xf>
    <x:xf numFmtId="0" fontId="9" fillId="6" borderId="0" xfId="0" applyFont="1" applyFill="1" applyAlignment="1">
      <x:alignment vertical="center"/>
    </x:xf>
    <x:xf numFmtId="0" fontId="11" fillId="9" borderId="0" xfId="0" applyFont="1" applyFill="1" applyAlignment="1">
      <x:alignment horizontal="center" vertical="center" wrapText="1"/>
    </x:xf>
    <x:xf numFmtId="0" fontId="1" fillId="2" borderId="0" xfId="0" applyFont="1" applyFill="1" applyAlignment="1">
      <x:alignment vertical="center"/>
    </x:xf>
    <x:xf numFmtId="0" fontId="10" fillId="8" borderId="20" xfId="0" applyFont="1" applyFill="1" applyBorder="1" applyAlignment="1">
      <x:alignment vertical="center" wrapText="1"/>
    </x:xf>
    <x:xf numFmtId="0" fontId="10" fillId="8" borderId="21" xfId="0" applyFont="1" applyFill="1" applyBorder="1" applyAlignment="1">
      <x:alignment vertical="center" wrapText="1"/>
    </x:xf>
    <x:xf numFmtId="0" fontId="10" fillId="8" borderId="7" xfId="0" applyFont="1" applyFill="1" applyBorder="1" applyAlignment="1">
      <x:alignment vertical="center" wrapText="1"/>
    </x:xf>
    <x:xf numFmtId="0" fontId="9" fillId="10" borderId="0" xfId="0" applyNumberFormat="1" applyFont="1" applyFill="1" applyBorder="1" applyAlignment="1">
      <x:alignment vertical="center"/>
    </x:xf>
    <x:xf numFmtId="0" fontId="7" fillId="10" borderId="0" xfId="0" applyNumberFormat="1" applyFont="1" applyFill="1" applyBorder="1" applyAlignment="1">
      <x:alignment vertical="center"/>
    </x:xf>
    <x:xf numFmtId="0" fontId="7" fillId="10" borderId="22" xfId="0" applyNumberFormat="1" applyFont="1" applyFill="1" applyBorder="1" applyAlignment="1">
      <x:alignment vertical="center"/>
    </x:xf>
    <x:xf numFmtId="0" fontId="7" fillId="10" borderId="23" xfId="0" applyNumberFormat="1" applyFont="1" applyFill="1" applyBorder="1" applyAlignment="1">
      <x:alignment vertical="center"/>
    </x:xf>
    <x:xf numFmtId="0" fontId="7" fillId="10" borderId="24" xfId="0" applyNumberFormat="1" applyFont="1" applyFill="1" applyBorder="1" applyAlignment="1">
      <x:alignment vertical="center"/>
    </x:xf>
    <x:xf numFmtId="0" fontId="7" fillId="10" borderId="22" xfId="0" applyNumberFormat="1" applyFont="1" applyFill="1" applyBorder="1" applyAlignment="1">
      <x:alignment horizontal="center" vertical="center"/>
    </x:xf>
    <x:xf numFmtId="0" fontId="7" fillId="10" borderId="23" xfId="0" applyNumberFormat="1" applyFont="1" applyFill="1" applyBorder="1" applyAlignment="1">
      <x:alignment horizontal="center" vertical="center"/>
    </x:xf>
    <x:xf numFmtId="0" fontId="7" fillId="10" borderId="24" xfId="0" applyNumberFormat="1" applyFont="1" applyFill="1" applyBorder="1" applyAlignment="1">
      <x:alignment horizontal="center" vertical="center"/>
    </x:xf>
    <x:xf numFmtId="0" fontId="3" fillId="11" borderId="1" xfId="0" applyNumberFormat="1" applyFont="1" applyFill="1" applyBorder="1" applyAlignment="1">
      <x:alignment vertical="center" wrapText="1"/>
    </x:xf>
    <x:xf numFmtId="0" fontId="3" fillId="11" borderId="2" xfId="0" applyNumberFormat="1" applyFont="1" applyFill="1" applyBorder="1" applyAlignment="1">
      <x:alignment vertical="center" wrapText="1"/>
    </x:xf>
    <x:xf numFmtId="0" fontId="3" fillId="11" borderId="3" xfId="0" applyNumberFormat="1" applyFont="1" applyFill="1" applyBorder="1" applyAlignment="1">
      <x:alignment vertical="center" wrapText="1"/>
    </x:xf>
    <x:xf numFmtId="0" fontId="12" fillId="11" borderId="1" xfId="0" applyNumberFormat="1" applyFont="1" applyFill="1" applyBorder="1" applyAlignment="1">
      <x:alignment vertical="center" wrapText="1"/>
    </x:xf>
    <x:xf numFmtId="0" fontId="12" fillId="11" borderId="2" xfId="0" applyNumberFormat="1" applyFont="1" applyFill="1" applyBorder="1" applyAlignment="1">
      <x:alignment vertical="center" wrapText="1"/>
    </x:xf>
    <x:xf numFmtId="0" fontId="12" fillId="11" borderId="3" xfId="0" applyNumberFormat="1" applyFont="1" applyFill="1" applyBorder="1" applyAlignment="1">
      <x:alignment vertical="center" wrapText="1"/>
    </x:xf>
    <x:xf numFmtId="0" fontId="12" fillId="11" borderId="25" xfId="0" applyNumberFormat="1" applyFont="1" applyFill="1" applyBorder="1" applyAlignment="1">
      <x:alignment vertical="center" wrapText="1"/>
    </x:xf>
    <x:xf numFmtId="0" fontId="12" fillId="11" borderId="26" xfId="0" applyNumberFormat="1" applyFont="1" applyFill="1" applyBorder="1" applyAlignment="1">
      <x:alignment vertical="center" wrapText="1"/>
    </x:xf>
    <x:xf numFmtId="0" fontId="12" fillId="11" borderId="25" xfId="0" applyNumberFormat="1" applyFont="1" applyFill="1" applyBorder="1" applyAlignment="1">
      <x:alignment horizontal="center" vertical="center" wrapText="1"/>
    </x:xf>
    <x:xf numFmtId="0" fontId="12" fillId="11" borderId="26" xfId="0" applyNumberFormat="1" applyFont="1" applyFill="1" applyBorder="1" applyAlignment="1">
      <x:alignment horizontal="center" vertical="center" wrapText="1"/>
    </x:xf>
    <x:xf numFmtId="0" fontId="2" fillId="11" borderId="0" xfId="0" applyNumberFormat="1" applyFont="1" applyFill="1" applyBorder="1"/>
    <x:xf numFmtId="3" fontId="2" fillId="11" borderId="0" xfId="0" applyNumberFormat="1" applyFont="1" applyFill="1" applyBorder="1"/>
    <x:xf numFmtId="164" fontId="2" fillId="11" borderId="0" xfId="0" applyNumberFormat="1" applyFont="1" applyFill="1" applyBorder="1"/>
    <x:xf numFmtId="0" fontId="7" fillId="10" borderId="27" xfId="0" applyNumberFormat="1" applyFont="1" applyFill="1" applyBorder="1" applyAlignment="1">
      <x:alignment horizontal="center" vertical="center"/>
    </x:xf>
    <x:xf numFmtId="0" fontId="7" fillId="10" borderId="28" xfId="0" applyNumberFormat="1" applyFont="1" applyFill="1" applyBorder="1" applyAlignment="1">
      <x:alignment horizontal="center" vertical="center"/>
    </x:xf>
    <x:xf numFmtId="0" fontId="7" fillId="10" borderId="29" xfId="0" applyNumberFormat="1" applyFont="1" applyFill="1" applyBorder="1" applyAlignment="1">
      <x:alignment horizontal="center" vertical="center"/>
    </x:xf>
    <x:xf numFmtId="0" fontId="12" fillId="11" borderId="30" xfId="0" applyNumberFormat="1" applyFont="1" applyFill="1" applyBorder="1" applyAlignment="1">
      <x:alignment horizontal="center" vertical="center" wrapText="1"/>
    </x:xf>
    <x:xf numFmtId="0" fontId="12" fillId="11" borderId="31" xfId="0" applyNumberFormat="1" applyFont="1" applyFill="1" applyBorder="1" applyAlignment="1">
      <x:alignment horizontal="center" vertical="center" wrapText="1"/>
    </x:xf>
    <x:xf numFmtId="0" fontId="2" fillId="11" borderId="32" xfId="0" applyNumberFormat="1" applyFont="1" applyFill="1" applyBorder="1"/>
    <x:xf numFmtId="164" fontId="2" fillId="11" borderId="33" xfId="0" applyNumberFormat="1" applyFont="1" applyFill="1" applyBorder="1"/>
    <x:xf numFmtId="0" fontId="2" fillId="11" borderId="34" xfId="0" applyNumberFormat="1" applyFont="1" applyFill="1" applyBorder="1"/>
    <x:xf numFmtId="3" fontId="2" fillId="11" borderId="35" xfId="0" applyNumberFormat="1" applyFont="1" applyFill="1" applyBorder="1"/>
    <x:xf numFmtId="164" fontId="2" fillId="11" borderId="35" xfId="0" applyNumberFormat="1" applyFont="1" applyFill="1" applyBorder="1"/>
    <x:xf numFmtId="164" fontId="2" fillId="11" borderId="36" xfId="0" applyNumberFormat="1" applyFont="1" applyFill="1" applyBorder="1"/>
    <x:xf numFmtId="0" fontId="9" fillId="12" borderId="0" xfId="0" applyNumberFormat="1" applyFont="1" applyFill="1" applyBorder="1" applyAlignment="1">
      <x:alignment vertical="center"/>
    </x:xf>
    <x:xf numFmtId="0" fontId="7" fillId="12" borderId="0" xfId="0" applyNumberFormat="1" applyFont="1" applyFill="1" applyBorder="1" applyAlignment="1">
      <x:alignment vertical="center"/>
    </x:xf>
    <x:xf numFmtId="0" fontId="7" fillId="12" borderId="22" xfId="0" applyNumberFormat="1" applyFont="1" applyFill="1" applyBorder="1" applyAlignment="1">
      <x:alignment vertical="center"/>
    </x:xf>
    <x:xf numFmtId="0" fontId="7" fillId="12" borderId="23" xfId="0" applyNumberFormat="1" applyFont="1" applyFill="1" applyBorder="1" applyAlignment="1">
      <x:alignment vertical="center"/>
    </x:xf>
    <x:xf numFmtId="0" fontId="7" fillId="12" borderId="24" xfId="0" applyNumberFormat="1" applyFont="1" applyFill="1" applyBorder="1" applyAlignment="1">
      <x:alignment vertical="center"/>
    </x:xf>
    <x:xf numFmtId="0" fontId="7" fillId="12" borderId="22" xfId="0" applyNumberFormat="1" applyFont="1" applyFill="1" applyBorder="1" applyAlignment="1">
      <x:alignment horizontal="center" vertical="center"/>
    </x:xf>
    <x:xf numFmtId="0" fontId="7" fillId="12" borderId="23" xfId="0" applyNumberFormat="1" applyFont="1" applyFill="1" applyBorder="1" applyAlignment="1">
      <x:alignment horizontal="center" vertical="center"/>
    </x:xf>
    <x:xf numFmtId="0" fontId="7" fillId="12" borderId="24" xfId="0" applyNumberFormat="1" applyFont="1" applyFill="1" applyBorder="1" applyAlignment="1">
      <x:alignment horizontal="center" vertical="center"/>
    </x:xf>
    <x:xf numFmtId="0" fontId="3" fillId="13" borderId="1" xfId="0" applyNumberFormat="1" applyFont="1" applyFill="1" applyBorder="1" applyAlignment="1">
      <x:alignment vertical="center" wrapText="1"/>
    </x:xf>
    <x:xf numFmtId="0" fontId="3" fillId="13" borderId="2" xfId="0" applyNumberFormat="1" applyFont="1" applyFill="1" applyBorder="1" applyAlignment="1">
      <x:alignment vertical="center" wrapText="1"/>
    </x:xf>
    <x:xf numFmtId="0" fontId="3" fillId="13" borderId="3" xfId="0" applyNumberFormat="1" applyFont="1" applyFill="1" applyBorder="1" applyAlignment="1">
      <x:alignment vertical="center" wrapText="1"/>
    </x:xf>
    <x:xf numFmtId="0" fontId="12" fillId="13" borderId="1" xfId="0" applyNumberFormat="1" applyFont="1" applyFill="1" applyBorder="1" applyAlignment="1">
      <x:alignment vertical="center" wrapText="1"/>
    </x:xf>
    <x:xf numFmtId="0" fontId="12" fillId="13" borderId="2" xfId="0" applyNumberFormat="1" applyFont="1" applyFill="1" applyBorder="1" applyAlignment="1">
      <x:alignment vertical="center" wrapText="1"/>
    </x:xf>
    <x:xf numFmtId="0" fontId="12" fillId="13" borderId="3" xfId="0" applyNumberFormat="1" applyFont="1" applyFill="1" applyBorder="1" applyAlignment="1">
      <x:alignment vertical="center" wrapText="1"/>
    </x:xf>
    <x:xf numFmtId="0" fontId="12" fillId="13" borderId="37" xfId="0" applyNumberFormat="1" applyFont="1" applyFill="1" applyBorder="1" applyAlignment="1">
      <x:alignment vertical="center" wrapText="1"/>
    </x:xf>
    <x:xf numFmtId="0" fontId="12" fillId="13" borderId="38" xfId="0" applyNumberFormat="1" applyFont="1" applyFill="1" applyBorder="1" applyAlignment="1">
      <x:alignment vertical="center" wrapText="1"/>
    </x:xf>
    <x:xf numFmtId="0" fontId="12" fillId="13" borderId="37" xfId="0" applyNumberFormat="1" applyFont="1" applyFill="1" applyBorder="1" applyAlignment="1">
      <x:alignment horizontal="center" vertical="center" wrapText="1"/>
    </x:xf>
    <x:xf numFmtId="0" fontId="12" fillId="13" borderId="38" xfId="0" applyNumberFormat="1" applyFont="1" applyFill="1" applyBorder="1" applyAlignment="1">
      <x:alignment horizontal="center" vertical="center" wrapText="1"/>
    </x:xf>
    <x:xf numFmtId="0" fontId="2" fillId="13" borderId="0" xfId="0" applyNumberFormat="1" applyFont="1" applyFill="1" applyBorder="1"/>
    <x:xf numFmtId="167" fontId="2" fillId="13" borderId="0" xfId="0" applyNumberFormat="1" applyFont="1" applyFill="1" applyBorder="1"/>
    <x:xf numFmtId="3" fontId="2" fillId="13" borderId="0" xfId="0" applyNumberFormat="1" applyFont="1" applyFill="1" applyBorder="1"/>
    <x:xf numFmtId="0" fontId="7" fillId="12" borderId="39" xfId="0" applyNumberFormat="1" applyFont="1" applyFill="1" applyBorder="1" applyAlignment="1">
      <x:alignment horizontal="center" vertical="center"/>
    </x:xf>
    <x:xf numFmtId="0" fontId="7" fillId="12" borderId="40" xfId="0" applyNumberFormat="1" applyFont="1" applyFill="1" applyBorder="1" applyAlignment="1">
      <x:alignment horizontal="center" vertical="center"/>
    </x:xf>
    <x:xf numFmtId="0" fontId="7" fillId="12" borderId="41" xfId="0" applyNumberFormat="1" applyFont="1" applyFill="1" applyBorder="1" applyAlignment="1">
      <x:alignment horizontal="center" vertical="center"/>
    </x:xf>
    <x:xf numFmtId="0" fontId="12" fillId="13" borderId="42" xfId="0" applyNumberFormat="1" applyFont="1" applyFill="1" applyBorder="1" applyAlignment="1">
      <x:alignment horizontal="center" vertical="center" wrapText="1"/>
    </x:xf>
    <x:xf numFmtId="0" fontId="12" fillId="13" borderId="43" xfId="0" applyNumberFormat="1" applyFont="1" applyFill="1" applyBorder="1" applyAlignment="1">
      <x:alignment horizontal="center" vertical="center" wrapText="1"/>
    </x:xf>
    <x:xf numFmtId="0" fontId="2" fillId="13" borderId="44" xfId="0" applyNumberFormat="1" applyFont="1" applyFill="1" applyBorder="1"/>
    <x:xf numFmtId="3" fontId="2" fillId="13" borderId="45" xfId="0" applyNumberFormat="1" applyFont="1" applyFill="1" applyBorder="1"/>
    <x:xf numFmtId="0" fontId="2" fillId="13" borderId="46" xfId="0" applyNumberFormat="1" applyFont="1" applyFill="1" applyBorder="1"/>
    <x:xf numFmtId="0" fontId="2" fillId="13" borderId="47" xfId="0" applyNumberFormat="1" applyFont="1" applyFill="1" applyBorder="1"/>
    <x:xf numFmtId="167" fontId="2" fillId="13" borderId="47" xfId="0" applyNumberFormat="1" applyFont="1" applyFill="1" applyBorder="1"/>
    <x:xf numFmtId="3" fontId="2" fillId="13" borderId="48" xfId="0" applyNumberFormat="1" applyFont="1" applyFill="1" applyBorder="1"/>
    <x:xf numFmtId="0" fontId="9" fillId="14" borderId="0" xfId="0" applyNumberFormat="1" applyFont="1" applyFill="1" applyBorder="1" applyAlignment="1">
      <x:alignment vertical="center"/>
    </x:xf>
    <x:xf numFmtId="0" fontId="7" fillId="14" borderId="0" xfId="0" applyNumberFormat="1" applyFont="1" applyFill="1" applyBorder="1" applyAlignment="1">
      <x:alignment vertical="center"/>
    </x:xf>
    <x:xf numFmtId="0" fontId="7" fillId="14" borderId="22" xfId="0" applyNumberFormat="1" applyFont="1" applyFill="1" applyBorder="1" applyAlignment="1">
      <x:alignment vertical="center"/>
    </x:xf>
    <x:xf numFmtId="0" fontId="7" fillId="14" borderId="23" xfId="0" applyNumberFormat="1" applyFont="1" applyFill="1" applyBorder="1" applyAlignment="1">
      <x:alignment vertical="center"/>
    </x:xf>
    <x:xf numFmtId="0" fontId="7" fillId="14" borderId="24" xfId="0" applyNumberFormat="1" applyFont="1" applyFill="1" applyBorder="1" applyAlignment="1">
      <x:alignment vertical="center"/>
    </x:xf>
    <x:xf numFmtId="0" fontId="7" fillId="14" borderId="22" xfId="0" applyNumberFormat="1" applyFont="1" applyFill="1" applyBorder="1" applyAlignment="1">
      <x:alignment horizontal="center" vertical="center"/>
    </x:xf>
    <x:xf numFmtId="0" fontId="7" fillId="14" borderId="23" xfId="0" applyNumberFormat="1" applyFont="1" applyFill="1" applyBorder="1" applyAlignment="1">
      <x:alignment horizontal="center" vertical="center"/>
    </x:xf>
    <x:xf numFmtId="0" fontId="7" fillId="14" borderId="24" xfId="0" applyNumberFormat="1" applyFont="1" applyFill="1" applyBorder="1" applyAlignment="1">
      <x:alignment horizontal="center" vertical="center"/>
    </x:xf>
    <x:xf numFmtId="0" fontId="3" fillId="15" borderId="1" xfId="0" applyNumberFormat="1" applyFont="1" applyFill="1" applyBorder="1" applyAlignment="1">
      <x:alignment vertical="center" wrapText="1"/>
    </x:xf>
    <x:xf numFmtId="0" fontId="3" fillId="15" borderId="2" xfId="0" applyNumberFormat="1" applyFont="1" applyFill="1" applyBorder="1" applyAlignment="1">
      <x:alignment vertical="center" wrapText="1"/>
    </x:xf>
    <x:xf numFmtId="0" fontId="3" fillId="15" borderId="3" xfId="0" applyNumberFormat="1" applyFont="1" applyFill="1" applyBorder="1" applyAlignment="1">
      <x:alignment vertical="center" wrapText="1"/>
    </x:xf>
    <x:xf numFmtId="0" fontId="12" fillId="15" borderId="1" xfId="0" applyNumberFormat="1" applyFont="1" applyFill="1" applyBorder="1" applyAlignment="1">
      <x:alignment vertical="center" wrapText="1"/>
    </x:xf>
    <x:xf numFmtId="0" fontId="12" fillId="15" borderId="2" xfId="0" applyNumberFormat="1" applyFont="1" applyFill="1" applyBorder="1" applyAlignment="1">
      <x:alignment vertical="center" wrapText="1"/>
    </x:xf>
    <x:xf numFmtId="0" fontId="12" fillId="15" borderId="3" xfId="0" applyNumberFormat="1" applyFont="1" applyFill="1" applyBorder="1" applyAlignment="1">
      <x:alignment vertical="center" wrapText="1"/>
    </x:xf>
    <x:xf numFmtId="0" fontId="12" fillId="15" borderId="49" xfId="0" applyNumberFormat="1" applyFont="1" applyFill="1" applyBorder="1" applyAlignment="1">
      <x:alignment vertical="center" wrapText="1"/>
    </x:xf>
    <x:xf numFmtId="0" fontId="12" fillId="15" borderId="50" xfId="0" applyNumberFormat="1" applyFont="1" applyFill="1" applyBorder="1" applyAlignment="1">
      <x:alignment vertical="center" wrapText="1"/>
    </x:xf>
    <x:xf numFmtId="0" fontId="12" fillId="15" borderId="49" xfId="0" applyNumberFormat="1" applyFont="1" applyFill="1" applyBorder="1" applyAlignment="1">
      <x:alignment horizontal="center" vertical="center" wrapText="1"/>
    </x:xf>
    <x:xf numFmtId="0" fontId="12" fillId="15" borderId="50" xfId="0" applyNumberFormat="1" applyFont="1" applyFill="1" applyBorder="1" applyAlignment="1">
      <x:alignment horizontal="center" vertical="center" wrapText="1"/>
    </x:xf>
    <x:xf numFmtId="0" fontId="2" fillId="15" borderId="0" xfId="0" applyNumberFormat="1" applyFont="1" applyFill="1" applyBorder="1"/>
    <x:xf numFmtId="167" fontId="2" fillId="15" borderId="0" xfId="0" applyNumberFormat="1" applyFont="1" applyFill="1" applyBorder="1"/>
    <x:xf numFmtId="0" fontId="7" fillId="14" borderId="51" xfId="0" applyNumberFormat="1" applyFont="1" applyFill="1" applyBorder="1" applyAlignment="1">
      <x:alignment horizontal="center" vertical="center"/>
    </x:xf>
    <x:xf numFmtId="0" fontId="7" fillId="14" borderId="52" xfId="0" applyNumberFormat="1" applyFont="1" applyFill="1" applyBorder="1" applyAlignment="1">
      <x:alignment horizontal="center" vertical="center"/>
    </x:xf>
    <x:xf numFmtId="0" fontId="7" fillId="14" borderId="53" xfId="0" applyNumberFormat="1" applyFont="1" applyFill="1" applyBorder="1" applyAlignment="1">
      <x:alignment horizontal="center" vertical="center"/>
    </x:xf>
    <x:xf numFmtId="0" fontId="12" fillId="15" borderId="54" xfId="0" applyNumberFormat="1" applyFont="1" applyFill="1" applyBorder="1" applyAlignment="1">
      <x:alignment horizontal="center" vertical="center" wrapText="1"/>
    </x:xf>
    <x:xf numFmtId="0" fontId="12" fillId="15" borderId="55" xfId="0" applyNumberFormat="1" applyFont="1" applyFill="1" applyBorder="1" applyAlignment="1">
      <x:alignment horizontal="center" vertical="center" wrapText="1"/>
    </x:xf>
    <x:xf numFmtId="0" fontId="2" fillId="15" borderId="56" xfId="0" applyNumberFormat="1" applyFont="1" applyFill="1" applyBorder="1"/>
    <x:xf numFmtId="167" fontId="2" fillId="15" borderId="57" xfId="0" applyNumberFormat="1" applyFont="1" applyFill="1" applyBorder="1"/>
    <x:xf numFmtId="0" fontId="2" fillId="15" borderId="58" xfId="0" applyNumberFormat="1" applyFont="1" applyFill="1" applyBorder="1"/>
    <x:xf numFmtId="0" fontId="2" fillId="15" borderId="59" xfId="0" applyNumberFormat="1" applyFont="1" applyFill="1" applyBorder="1"/>
    <x:xf numFmtId="167" fontId="2" fillId="15" borderId="60" xfId="0" applyNumberFormat="1" applyFont="1" applyFill="1" applyBorder="1"/>
    <x:xf numFmtId="0" fontId="7" fillId="12" borderId="61" xfId="0" applyNumberFormat="1" applyFont="1" applyFill="1" applyBorder="1" applyAlignment="1">
      <x:alignment horizontal="center" vertical="center"/>
    </x:xf>
    <x:xf numFmtId="0" fontId="12" fillId="13" borderId="62" xfId="0" applyNumberFormat="1" applyFont="1" applyFill="1" applyBorder="1" applyAlignment="1">
      <x:alignment horizontal="center" vertical="center" wrapText="1"/>
    </x:xf>
    <x:xf numFmtId="0" fontId="2" fillId="13" borderId="63" xfId="0" applyNumberFormat="1" applyFont="1" applyFill="1" applyBorder="1"/>
    <x:xf numFmtId="0" fontId="2" fillId="13" borderId="64" xfId="0" applyNumberFormat="1" applyFont="1" applyFill="1" applyBorder="1"/>
    <x:xf numFmtId="0" fontId="7" fillId="14" borderId="65" xfId="0" applyNumberFormat="1" applyFont="1" applyFill="1" applyBorder="1" applyAlignment="1">
      <x:alignment horizontal="center" vertical="center"/>
    </x:xf>
    <x:xf numFmtId="0" fontId="12" fillId="15" borderId="66" xfId="0" applyNumberFormat="1" applyFont="1" applyFill="1" applyBorder="1" applyAlignment="1">
      <x:alignment horizontal="center" vertical="center" wrapText="1"/>
    </x:xf>
    <x:xf numFmtId="0" fontId="2" fillId="15" borderId="63" xfId="0" applyNumberFormat="1" applyFont="1" applyFill="1" applyBorder="1"/>
    <x:xf numFmtId="0" fontId="2" fillId="15" borderId="64"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1b0d356995a4fc6" /><Relationship Type="http://schemas.openxmlformats.org/officeDocument/2006/relationships/theme" Target="/xl/theme/theme1.xml" Id="Rc1945b7bac8046da" /><Relationship Type="http://schemas.openxmlformats.org/officeDocument/2006/relationships/sharedStrings" Target="/xl/sharedStrings.xml" Id="R1dffdf050e154e90" /><Relationship Type="http://schemas.openxmlformats.org/officeDocument/2006/relationships/worksheet" Target="/xl/worksheets/sheet1.xml" Id="R151f59cba1af4ce5" /><Relationship Type="http://schemas.openxmlformats.org/officeDocument/2006/relationships/worksheet" Target="/xl/worksheets/sheet2.xml" Id="Ra6da3ff2c57e4b81" /><Relationship Type="http://schemas.openxmlformats.org/officeDocument/2006/relationships/worksheet" Target="/xl/worksheets/sheet3.xml" Id="R67a138d541a44a2a" /><Relationship Type="http://schemas.openxmlformats.org/officeDocument/2006/relationships/worksheet" Target="/xl/worksheets/sheet4.xml" Id="R29ba58b59b624f84" /><Relationship Type="http://schemas.openxmlformats.org/officeDocument/2006/relationships/worksheet" Target="/xl/worksheets/sheet5.xml" Id="Rc5f6bc750ca04197" /><Relationship Type="http://schemas.openxmlformats.org/officeDocument/2006/relationships/worksheet" Target="/xl/worksheets/sheet6.xml" Id="R484d20934bad45c0" /><Relationship Type="http://schemas.openxmlformats.org/officeDocument/2006/relationships/worksheet" Target="/xl/worksheets/sheet7.xml" Id="Rd4247ecc916f4b3c" /><Relationship Type="http://schemas.openxmlformats.org/officeDocument/2006/relationships/worksheet" Target="/xl/worksheets/sheet8.xml" Id="Rd3d065e9ef024c1a" /><Relationship Type="http://schemas.openxmlformats.org/officeDocument/2006/relationships/worksheet" Target="/xl/worksheets/sheet9.xml" Id="R130b3f483b664a19" /></Relationships>
</file>

<file path=xl/drawings/_rels/drawing1.xml.rels>&#65279;<?xml version="1.0" encoding="utf-8"?><Relationships xmlns="http://schemas.openxmlformats.org/package/2006/relationships"><Relationship Type="http://schemas.openxmlformats.org/officeDocument/2006/relationships/chart" Target="/xl/drawings/charts/chart1.xml" Id="R746dbfe860394142" /><Relationship Type="http://schemas.openxmlformats.org/officeDocument/2006/relationships/chart" Target="/xl/drawings/charts/chart2.xml" Id="R87bc728066874279" /><Relationship Type="http://schemas.openxmlformats.org/officeDocument/2006/relationships/chart" Target="/xl/drawings/charts/chart3.xml" Id="R8388e299183d41b7" /><Relationship Type="http://schemas.openxmlformats.org/officeDocument/2006/relationships/chart" Target="/xl/drawings/charts/chart4.xml" Id="R6c36781eba1b4687" /></Relationships>
</file>

<file path=xl/drawings/charts/chart1.xml><?xml version="1.0" encoding="utf-8"?>
<c:chartSpace xmlns:c="http://schemas.openxmlformats.org/drawingml/2006/chart">
  <c:lang val="en-US"/>
  <c:roundedCorners val="0"/>
  <c:style val="2"/>
  <c:chart>
    <c:title>
      <c:tx>
        <c:rich>
          <a:bodyPr xmlns:a="http://schemas.openxmlformats.org/drawingml/2006/main"/>
          <a:lstStyle xmlns:a="http://schemas.openxmlformats.org/drawingml/2006/main"/>
          <a:p xmlns:a="http://schemas.openxmlformats.org/drawingml/2006/main">
            <a:r>
              <a:t>Personnes prises en charge</a:t>
            </a:r>
          </a:p>
        </c:rich>
      </c:tx>
      <c:overlay val="1"/>
    </c:title>
    <c:autoTitleDeleted val="0"/>
    <c:plotArea>
      <c:lineChart>
        <c:grouping val="standard"/>
        <c:varyColors val="0"/>
        <c:ser>
          <c:idx val="0"/>
          <c:order val="0"/>
          <c:tx>
            <c:v> </c:v>
          </c:tx>
          <c:marker>
            <c:symbol val="none"/>
          </c:marker>
          <c:cat>
            <c:numRef>
              <c:f>Dashboard!$X$2:$X$11</c:f>
              <c:numCache>
                <c:formatCode>General</c:formatCode>
                <c:ptCount val="10"/>
                <c:pt idx="0">
                  <c:v>2015</c:v>
                </c:pt>
                <c:pt idx="1">
                  <c:v>2016</c:v>
                </c:pt>
                <c:pt idx="2">
                  <c:v>2017</c:v>
                </c:pt>
                <c:pt idx="3">
                  <c:v>2018</c:v>
                </c:pt>
                <c:pt idx="4">
                  <c:v>2019</c:v>
                </c:pt>
                <c:pt idx="5">
                  <c:v>2020</c:v>
                </c:pt>
                <c:pt idx="6">
                  <c:v>2021</c:v>
                </c:pt>
                <c:pt idx="7">
                  <c:v>2022</c:v>
                </c:pt>
                <c:pt idx="8">
                  <c:v>2023</c:v>
                </c:pt>
                <c:pt idx="9">
                  <c:v>2024</c:v>
                </c:pt>
              </c:numCache>
            </c:numRef>
          </c:cat>
          <c:val>
            <c:numRef>
              <c:f>Dashboard!$Y$2:$Y$11</c:f>
              <c:numCache>
                <c:formatCode>0.00\ \ " M"</c:formatCode>
                <c:ptCount val="10"/>
                <c:pt idx="0">
                  <c:v>1639980</c:v>
                </c:pt>
                <c:pt idx="1">
                  <c:v>1667100</c:v>
                </c:pt>
                <c:pt idx="2">
                  <c:v>1699880</c:v>
                </c:pt>
                <c:pt idx="3">
                  <c:v>1727820</c:v>
                </c:pt>
                <c:pt idx="4">
                  <c:v>1767210</c:v>
                </c:pt>
                <c:pt idx="5">
                  <c:v>1809420</c:v>
                </c:pt>
                <c:pt idx="6">
                  <c:v>1865860</c:v>
                </c:pt>
                <c:pt idx="7">
                  <c:v>1913470</c:v>
                </c:pt>
                <c:pt idx="8">
                  <c:v>1958380</c:v>
                </c:pt>
                <c:pt idx="9">
                  <c:v>2013970</c:v>
                </c:pt>
              </c:numCache>
            </c:numRef>
          </c:val>
          <c:smooth val="0"/>
        </c:ser>
        <c:dLbls>
          <c:showLegendKey val="0"/>
          <c:showVal val="0"/>
          <c:showCatName val="0"/>
          <c:showSerName val="0"/>
          <c:showPercent val="0"/>
          <c:showBubbleSize val="0"/>
        </c:dLbls>
        <c:smooth val="0"/>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sourceLinked="1"/>
        <c:majorTickMark val="none"/>
        <c:minorTickMark val="none"/>
        <c:tickLblPos val="nextTo"/>
        <c:crossAx val="48672768"/>
        <c:crosses val="autoZero"/>
        <c:lblOffset val="10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00\ \ &quot; M&quot;" sourceLinked="1"/>
        <c:majorTickMark val="none"/>
        <c:minorTickMark val="none"/>
        <c:tickLblPos val="nextTo"/>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style val="2"/>
  <c:chart>
    <c:title>
      <c:tx>
        <c:rich>
          <a:bodyPr xmlns:a="http://schemas.openxmlformats.org/drawingml/2006/main"/>
          <a:lstStyle xmlns:a="http://schemas.openxmlformats.org/drawingml/2006/main"/>
          <a:p xmlns:a="http://schemas.openxmlformats.org/drawingml/2006/main">
            <a:r>
              <a:t>Prévalence selon l’âge</a:t>
            </a:r>
          </a:p>
        </c:rich>
      </c:tx>
      <c:overlay val="1"/>
    </c:title>
    <c:autoTitleDeleted val="0"/>
    <c:plotArea>
      <c:barChart>
        <c:barDir val="col"/>
        <c:grouping val="clustered"/>
        <c:varyColors val="0"/>
        <c:ser>
          <c:idx val="0"/>
          <c:order val="0"/>
          <c:tx>
            <c:v> </c:v>
          </c:tx>
          <c:cat>
            <c:strRef>
              <c:f>Dashboard!$AA$2:$AA$21</c:f>
              <c:strCache>
                <c:ptCount val="20"/>
                <c:pt idx="0">
                  <c:v>de 0 à 4 ans</c:v>
                </c:pt>
                <c:pt idx="1">
                  <c:v>de 5 à 9 ans</c:v>
                </c:pt>
                <c:pt idx="2">
                  <c:v>de 10 à 14 ans</c:v>
                </c:pt>
                <c:pt idx="3">
                  <c:v>de 15 à 19 ans</c:v>
                </c:pt>
                <c:pt idx="4">
                  <c:v>de 20 à 24 ans</c:v>
                </c:pt>
                <c:pt idx="5">
                  <c:v>de 25 à 29 ans</c:v>
                </c:pt>
                <c:pt idx="6">
                  <c:v>de 30 à 34 ans</c:v>
                </c:pt>
                <c:pt idx="7">
                  <c:v>de 35 à 39 ans</c:v>
                </c:pt>
                <c:pt idx="8">
                  <c:v>de 40 à 44 ans</c:v>
                </c:pt>
                <c:pt idx="9">
                  <c:v>de 45 à 49 ans</c:v>
                </c:pt>
                <c:pt idx="10">
                  <c:v>de 50 à 54 ans</c:v>
                </c:pt>
                <c:pt idx="11">
                  <c:v>de 55 à 59 ans</c:v>
                </c:pt>
                <c:pt idx="12">
                  <c:v>de 60 à 64 ans</c:v>
                </c:pt>
                <c:pt idx="13">
                  <c:v>de 65 à 69 ans</c:v>
                </c:pt>
                <c:pt idx="14">
                  <c:v>de 70 à 74 ans</c:v>
                </c:pt>
                <c:pt idx="15">
                  <c:v>de 75 à 79 ans</c:v>
                </c:pt>
                <c:pt idx="16">
                  <c:v>de 80 à 84 ans</c:v>
                </c:pt>
                <c:pt idx="17">
                  <c:v>de 85 à 89 ans</c:v>
                </c:pt>
                <c:pt idx="18">
                  <c:v>de 90 à 94 ans</c:v>
                </c:pt>
                <c:pt idx="19">
                  <c:v>plus de 95 ans</c:v>
                </c:pt>
              </c:strCache>
            </c:strRef>
          </c:cat>
          <c:val>
            <c:numRef>
              <c:f>Dashboard!$AB$2:$AB$21</c:f>
              <c:numCache>
                <c:formatCode>0.0"%"</c:formatCode>
                <c:ptCount val="20"/>
                <c:pt idx="0">
                  <c:v>0.029</c:v>
                </c:pt>
                <c:pt idx="1">
                  <c:v>0.108</c:v>
                </c:pt>
                <c:pt idx="2">
                  <c:v>0.217</c:v>
                </c:pt>
                <c:pt idx="3">
                  <c:v>0.305</c:v>
                </c:pt>
                <c:pt idx="4">
                  <c:v>0.392</c:v>
                </c:pt>
                <c:pt idx="5">
                  <c:v>0.563</c:v>
                </c:pt>
                <c:pt idx="6">
                  <c:v>0.827</c:v>
                </c:pt>
                <c:pt idx="7">
                  <c:v>1.164</c:v>
                </c:pt>
                <c:pt idx="8">
                  <c:v>1.67</c:v>
                </c:pt>
                <c:pt idx="9">
                  <c:v>2.711</c:v>
                </c:pt>
                <c:pt idx="10">
                  <c:v>4.422</c:v>
                </c:pt>
                <c:pt idx="11">
                  <c:v>6.987</c:v>
                </c:pt>
                <c:pt idx="12">
                  <c:v>9.715</c:v>
                </c:pt>
                <c:pt idx="13">
                  <c:v>11.864</c:v>
                </c:pt>
                <c:pt idx="14">
                  <c:v>14.757000000000001</c:v>
                </c:pt>
                <c:pt idx="15">
                  <c:v>16.125</c:v>
                </c:pt>
                <c:pt idx="16">
                  <c:v>16.853</c:v>
                </c:pt>
                <c:pt idx="17">
                  <c:v>15.402</c:v>
                </c:pt>
                <c:pt idx="18">
                  <c:v>12.325</c:v>
                </c:pt>
                <c:pt idx="19">
                  <c:v>9.454</c:v>
                </c:pt>
              </c:numCache>
            </c:numRef>
          </c:val>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sourceLinked="1"/>
        <c:majorTickMark val="none"/>
        <c:minorTickMark val="none"/>
        <c:tickLblPos val="nextTo"/>
        <c:crossAx val="48672768"/>
        <c:crosses val="autoZero"/>
        <c:lblOffset val="10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0&quot;%&quot;" sourceLinked="1"/>
        <c:majorTickMark val="none"/>
        <c:minorTickMark val="none"/>
        <c:tickLblPos val="nextTo"/>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charts/chart3.xml><?xml version="1.0" encoding="utf-8"?>
<c:chartSpace xmlns:c="http://schemas.openxmlformats.org/drawingml/2006/chart">
  <c:lang val="en-US"/>
  <c:roundedCorners val="0"/>
  <c:style val="2"/>
  <c:chart>
    <c:title>
      <c:tx>
        <c:rich>
          <a:bodyPr xmlns:a="http://schemas.openxmlformats.org/drawingml/2006/main"/>
          <a:lstStyle xmlns:a="http://schemas.openxmlformats.org/drawingml/2006/main"/>
          <a:p xmlns:a="http://schemas.openxmlformats.org/drawingml/2006/main">
            <a:r>
              <a:t>Top 5 départements</a:t>
            </a:r>
          </a:p>
        </c:rich>
      </c:tx>
      <c:overlay val="1"/>
    </c:title>
    <c:autoTitleDeleted val="0"/>
    <c:plotArea>
      <c:barChart>
        <c:barDir val="col"/>
        <c:grouping val="clustered"/>
        <c:varyColors val="0"/>
        <c:ser>
          <c:idx val="0"/>
          <c:order val="0"/>
          <c:tx>
            <c:v> </c:v>
          </c:tx>
          <c:cat>
            <c:strRef>
              <c:f>Dashboard!$AQ$2:$AQ$6</c:f>
              <c:strCache>
                <c:ptCount val="5"/>
                <c:pt idx="0">
                  <c:v>Guadeloupe</c:v>
                </c:pt>
                <c:pt idx="1">
                  <c:v>Martinique</c:v>
                </c:pt>
                <c:pt idx="2">
                  <c:v>La Réunion</c:v>
                </c:pt>
                <c:pt idx="3">
                  <c:v>Nièvre</c:v>
                </c:pt>
                <c:pt idx="4">
                  <c:v>Creuse</c:v>
                </c:pt>
              </c:strCache>
            </c:strRef>
          </c:cat>
          <c:val>
            <c:numRef>
              <c:f>Dashboard!$AR$2:$AR$6</c:f>
              <c:numCache>
                <c:formatCode>0.0"%"</c:formatCode>
                <c:ptCount val="5"/>
                <c:pt idx="0">
                  <c:v>10.6</c:v>
                </c:pt>
                <c:pt idx="1">
                  <c:v>9.701</c:v>
                </c:pt>
                <c:pt idx="2">
                  <c:v>8.47</c:v>
                </c:pt>
                <c:pt idx="3">
                  <c:v>7.335</c:v>
                </c:pt>
                <c:pt idx="4">
                  <c:v>6.821</c:v>
                </c:pt>
              </c:numCache>
            </c:numRef>
          </c:val>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sourceLinked="1"/>
        <c:majorTickMark val="none"/>
        <c:minorTickMark val="none"/>
        <c:tickLblPos val="nextTo"/>
        <c:crossAx val="48672768"/>
        <c:crosses val="autoZero"/>
        <c:lblOffset val="10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0&quot;%&quot;" sourceLinked="1"/>
        <c:majorTickMark val="none"/>
        <c:minorTickMark val="none"/>
        <c:tickLblPos val="nextTo"/>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charts/chart4.xml><?xml version="1.0" encoding="utf-8"?>
<c:chartSpace xmlns:c="http://schemas.openxmlformats.org/drawingml/2006/chart">
  <c:lang val="en-US"/>
  <c:roundedCorners val="0"/>
  <c:style val="2"/>
  <c:chart>
    <c:title>
      <c:tx>
        <c:rich>
          <a:bodyPr xmlns:a="http://schemas.openxmlformats.org/drawingml/2006/main"/>
          <a:lstStyle xmlns:a="http://schemas.openxmlformats.org/drawingml/2006/main"/>
          <a:p xmlns:a="http://schemas.openxmlformats.org/drawingml/2006/main">
            <a:r>
              <a:t>Top 8 régions</a:t>
            </a:r>
          </a:p>
        </c:rich>
      </c:tx>
      <c:overlay val="1"/>
    </c:title>
    <c:autoTitleDeleted val="0"/>
    <c:plotArea>
      <c:barChart>
        <c:barDir val="col"/>
        <c:grouping val="clustered"/>
        <c:varyColors val="0"/>
        <c:ser>
          <c:idx val="0"/>
          <c:order val="0"/>
          <c:tx>
            <c:v> </c:v>
          </c:tx>
          <c:cat>
            <c:strRef>
              <c:f>Dashboard!$AN$2:$AN$9</c:f>
              <c:strCache>
                <c:ptCount val="8"/>
                <c:pt idx="0">
                  <c:v>Guadeloupe</c:v>
                </c:pt>
                <c:pt idx="1">
                  <c:v>Martinique</c:v>
                </c:pt>
                <c:pt idx="2">
                  <c:v>La Réunion</c:v>
                </c:pt>
                <c:pt idx="3">
                  <c:v>Grand Est</c:v>
                </c:pt>
                <c:pt idx="4">
                  <c:v>Hauts-de-France</c:v>
                </c:pt>
                <c:pt idx="5">
                  <c:v>Bourgogne-F.-Comté</c:v>
                </c:pt>
                <c:pt idx="6">
                  <c:v>Guyane</c:v>
                </c:pt>
                <c:pt idx="7">
                  <c:v>Centre-Val de Loire</c:v>
                </c:pt>
              </c:strCache>
            </c:strRef>
          </c:cat>
          <c:val>
            <c:numRef>
              <c:f>Dashboard!$AO$2:$AO$9</c:f>
              <c:numCache>
                <c:formatCode>0.0"%"</c:formatCode>
                <c:ptCount val="8"/>
                <c:pt idx="0">
                  <c:v>10.6</c:v>
                </c:pt>
                <c:pt idx="1">
                  <c:v>9.701</c:v>
                </c:pt>
                <c:pt idx="2">
                  <c:v>8.47</c:v>
                </c:pt>
                <c:pt idx="3">
                  <c:v>5.89</c:v>
                </c:pt>
                <c:pt idx="4">
                  <c:v>5.837</c:v>
                </c:pt>
                <c:pt idx="5">
                  <c:v>5.509</c:v>
                </c:pt>
                <c:pt idx="6">
                  <c:v>5.43</c:v>
                </c:pt>
                <c:pt idx="7">
                  <c:v>5.331</c:v>
                </c:pt>
              </c:numCache>
            </c:numRef>
          </c:val>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sourceLinked="1"/>
        <c:majorTickMark val="none"/>
        <c:minorTickMark val="none"/>
        <c:tickLblPos val="nextTo"/>
        <c:crossAx val="48672768"/>
        <c:crosses val="autoZero"/>
        <c:lblOffset val="10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0&quot;%&quot;" sourceLinked="1"/>
        <c:majorTickMark val="none"/>
        <c:minorTickMark val="none"/>
        <c:tickLblPos val="nextTo"/>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0</xdr:col>
      <xdr:colOff>0</xdr:colOff>
      <xdr:row>9</xdr:row>
      <xdr:rowOff>0</xdr:rowOff>
    </xdr:from>
    <xdr:to>
      <xdr:col>6</xdr:col>
      <xdr:colOff>0</xdr:colOff>
      <xdr:row>24</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746dbfe860394142"/>
        </a:graphicData>
      </a:graphic>
    </xdr:graphicFrame>
    <xdr:clientData/>
  </xdr:twoCellAnchor>
  <xdr:twoCellAnchor>
    <xdr:from>
      <xdr:col>6</xdr:col>
      <xdr:colOff>0</xdr:colOff>
      <xdr:row>9</xdr:row>
      <xdr:rowOff>0</xdr:rowOff>
    </xdr:from>
    <xdr:to>
      <xdr:col>12</xdr:col>
      <xdr:colOff>0</xdr:colOff>
      <xdr:row>24</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87bc728066874279"/>
        </a:graphicData>
      </a:graphic>
    </xdr:graphicFrame>
    <xdr:clientData/>
  </xdr:twoCellAnchor>
  <xdr:twoCellAnchor>
    <xdr:from>
      <xdr:col>0</xdr:col>
      <xdr:colOff>0</xdr:colOff>
      <xdr:row>27</xdr:row>
      <xdr:rowOff>0</xdr:rowOff>
    </xdr:from>
    <xdr:to>
      <xdr:col>6</xdr:col>
      <xdr:colOff>0</xdr:colOff>
      <xdr:row>44</xdr:row>
      <xdr:rowOff>0</xdr:rowOff>
    </xdr:to>
    <xdr:graphicFrame macro="">
      <xdr:nvGraphicFramePr>
        <xdr:cNvPr id="3"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8388e299183d41b7"/>
        </a:graphicData>
      </a:graphic>
    </xdr:graphicFrame>
    <xdr:clientData/>
  </xdr:twoCellAnchor>
  <xdr:twoCellAnchor>
    <xdr:from>
      <xdr:col>6</xdr:col>
      <xdr:colOff>0</xdr:colOff>
      <xdr:row>27</xdr:row>
      <xdr:rowOff>0</xdr:rowOff>
    </xdr:from>
    <xdr:to>
      <xdr:col>12</xdr:col>
      <xdr:colOff>0</xdr:colOff>
      <xdr:row>44</xdr:row>
      <xdr:rowOff>0</xdr:rowOff>
    </xdr:to>
    <xdr:graphicFrame macro="">
      <xdr:nvGraphicFramePr>
        <xdr:cNvPr id="4"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6c36781eba1b4687"/>
        </a:graphicData>
      </a:graphic>
    </xdr:graphicFrame>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0808b82ed27b4730" /></Relationships>
</file>

<file path=xl/worksheets/sheet1.xml><?xml version="1.0" encoding="utf-8"?>
<x:worksheet xmlns:x="http://schemas.openxmlformats.org/spreadsheetml/2006/main">
  <x:sheetViews>
    <x:sheetView showGridLines="0" workbookViewId="0"/>
  </x:sheetViews>
  <x:sheetFormatPr baseColWidth="10" defaultColWidth="8.88671875" defaultRowHeight="14.399999618530273"/>
  <x:cols>
    <x:col min="1" max="1" width="14" customWidth="1"/>
    <x:col min="2" max="2" width="18" customWidth="1"/>
    <x:col min="3" max="5" width="14" customWidth="1"/>
    <x:col min="6" max="6" width="25" customWidth="1"/>
    <x:col min="7" max="9" width="14" customWidth="1"/>
    <x:col min="10" max="11" width="22" customWidth="1"/>
    <x:col min="12" max="12" width="14" customWidth="1"/>
  </x:cols>
  <x:sheetData>
    <x:row r="1" ht="25.950000762939453" customHeight="1">
      <x:c r="A1" s="28" t="s">
        <x:v>0</x:v>
      </x:c>
      <x:c r="B1" s="28"/>
      <x:c r="C1" s="28"/>
      <x:c r="D1" s="28"/>
      <x:c r="E1" s="28"/>
      <x:c r="F1" s="28"/>
      <x:c r="G1" s="28"/>
      <x:c r="H1" s="28"/>
      <x:c r="I1" s="28"/>
      <x:c r="J1" s="28"/>
      <x:c r="K1" s="28"/>
      <x:c r="L1" s="28"/>
      <x:c r="M1" s="1"/>
      <x:c r="N1" s="1"/>
      <x:c r="O1" s="1"/>
      <x:c r="P1" s="1"/>
      <x:c r="Q1" s="1"/>
      <x:c r="R1" s="1"/>
      <x:c r="S1" s="1"/>
      <x:c r="T1" s="1"/>
      <x:c r="U1" s="1"/>
      <x:c r="V1" s="1"/>
      <x:c r="W1" s="1"/>
      <x:c r="X1" s="1" t="s">
        <x:v>1</x:v>
      </x:c>
      <x:c r="Y1" s="1" t="str">
        <x:f>"Patients — "&amp;$D$4&amp;" | année repère "&amp;$B$4</x:f>
        <x:v>Patients — femmes | année repère 2015</x:v>
      </x:c>
      <x:c r="Z1" s="1" t="str">
        <x:f>"Point sélectionné — "&amp;$B$4&amp;" — "&amp;$D$4</x:f>
        <x:v>Point sélectionné — 2015 — femmes</x:v>
      </x:c>
      <x:c r="AA1" s="1" t="s">
        <x:v>2</x:v>
      </x:c>
      <x:c r="AB1" s="1" t="str">
        <x:f>"Prévalence — "&amp;$B$4&amp;" — "&amp;$D$4</x:f>
        <x:v>Prévalence — 2015 — femmes</x:v>
      </x:c>
      <x:c r="AC1" s="1"/>
      <x:c r="AD1" s="1" t="s">
        <x:v>3</x:v>
      </x:c>
      <x:c r="AE1" s="1" t="s">
        <x:v>4</x:v>
      </x:c>
      <x:c r="AF1" s="1" t="s">
        <x:v>5</x:v>
      </x:c>
      <x:c r="AG1" s="1" t="s">
        <x:v>6</x:v>
      </x:c>
      <x:c r="AH1" s="1"/>
      <x:c r="AI1" s="1" t="s">
        <x:v>3</x:v>
      </x:c>
      <x:c r="AJ1" s="1" t="s">
        <x:v>7</x:v>
      </x:c>
      <x:c r="AK1" s="1" t="s">
        <x:v>5</x:v>
      </x:c>
      <x:c r="AL1" s="1" t="s">
        <x:v>6</x:v>
      </x:c>
      <x:c r="AM1" s="1"/>
      <x:c r="AN1" s="1" t="s">
        <x:v>7</x:v>
      </x:c>
      <x:c r="AO1" s="1" t="str">
        <x:f>"Prévalence — "&amp;$B$4&amp;" — "&amp;$D$4</x:f>
        <x:v>Prévalence — 2015 — femmes</x:v>
      </x:c>
      <x:c r="AP1" s="1"/>
      <x:c r="AQ1" s="1" t="s">
        <x:v>4</x:v>
      </x:c>
      <x:c r="AR1" s="1" t="str">
        <x:f>"Prévalence — "&amp;$B$4&amp;" — "&amp;$D$4</x:f>
        <x:v>Prévalence — 2015 — femmes</x:v>
      </x:c>
    </x:row>
    <x:row r="2" ht="25.950000762939453" customHeight="1">
      <x:c r="A2" s="28"/>
      <x:c r="B2" s="28"/>
      <x:c r="C2" s="28"/>
      <x:c r="D2" s="28"/>
      <x:c r="E2" s="28"/>
      <x:c r="F2" s="28"/>
      <x:c r="G2" s="28"/>
      <x:c r="H2" s="28"/>
      <x:c r="I2" s="28"/>
      <x:c r="J2" s="28"/>
      <x:c r="K2" s="28"/>
      <x:c r="L2" s="28"/>
      <x:c r="M2" s="1"/>
      <x:c r="N2" s="1"/>
      <x:c r="O2" s="1"/>
      <x:c r="P2" s="1"/>
      <x:c r="Q2" s="1"/>
      <x:c r="R2" s="1"/>
      <x:c r="S2" s="1"/>
      <x:c r="T2" s="1"/>
      <x:c r="U2" s="1"/>
      <x:c r="V2" s="1"/>
      <x:c r="W2" s="1"/>
      <x:c r="X2" s="1">
        <x:v>2015</x:v>
      </x:c>
      <x:c r="Y2" s="27" t="n">
        <x:f>SUMIFS('Donnees nationales'!$D$4:$D$33,'Donnees nationales'!$A$4:$A$33,X2,'Donnees nationales'!$C$4:$C$33,$D$4)</x:f>
        <x:v>1639980</x:v>
      </x:c>
      <x:c r="Z2" s="1" t="n">
        <x:f t="shared" ref="Z2:Z11" si="0">IF(X2=$B$4,Y2,"")</x:f>
        <x:v>1639980</x:v>
      </x:c>
      <x:c r="AA2" s="1" t="s">
        <x:v>8</x:v>
      </x:c>
      <x:c r="AB2" s="17" t="n">
        <x:f>SUMIFS('Age et sexe'!$G$4:$G$603,'Age et sexe'!$A$4:$A$603,$B$4,'Age et sexe'!$B$4:$B$603,AA2,'Age et sexe'!$D$4:$D$603,$D$4)*100</x:f>
        <x:v>0.029</x:v>
      </x:c>
      <x:c r="AC2" s="1"/>
      <x:c r="AD2" s="1" t="s">
        <x:v>9</x:v>
      </x:c>
      <x:c r="AE2" s="1" t="s">
        <x:v>10</x:v>
      </x:c>
      <x:c r="AF2" s="1">
        <x:v>9.9920000000000009</x:v>
      </x:c>
      <x:c r="AG2" s="1">
        <x:v>37560</x:v>
      </x:c>
      <x:c r="AH2" s="1"/>
      <x:c r="AI2" s="1" t="s">
        <x:v>9</x:v>
      </x:c>
      <x:c r="AJ2" s="1" t="s">
        <x:v>10</x:v>
      </x:c>
      <x:c r="AK2" s="1">
        <x:v>9.9920000000000009</x:v>
      </x:c>
      <x:c r="AL2" s="1">
        <x:v>37560</x:v>
      </x:c>
      <x:c r="AM2" s="1"/>
      <x:c r="AN2" s="1" t="str">
        <x:f>INDEX($AJ$2:$AJ$536,MATCH($B$4&amp;"-"&amp;$D$4&amp;"-"&amp;1,$AI$2:$AI$536,0))</x:f>
        <x:v>Guadeloupe</x:v>
      </x:c>
      <x:c r="AO2" s="17" t="n">
        <x:f>INDEX($AK$2:$AK$536,MATCH($B$4&amp;"-"&amp;$D$4&amp;"-"&amp;1,$AI$2:$AI$536,0))</x:f>
        <x:v>10.6</x:v>
      </x:c>
      <x:c r="AP2" s="1"/>
      <x:c r="AQ2" s="1" t="str">
        <x:f t="shared" ref="AQ2:AR6" si="1">F50</x:f>
        <x:v>Guadeloupe</x:v>
      </x:c>
      <x:c r="AR2" s="17">
        <x:f t="shared" si="1"/>
        <x:v>10.6</x:v>
      </x:c>
    </x:row>
    <x:row r="3">
      <x:c r="A3" s="29" t="s">
        <x:v>11</x:v>
      </x:c>
      <x:c r="B3" s="29"/>
      <x:c r="C3" s="29"/>
      <x:c r="D3" s="29"/>
      <x:c r="E3" s="29"/>
      <x:c r="F3" s="29"/>
      <x:c r="G3" s="29"/>
      <x:c r="H3" s="29"/>
      <x:c r="I3" s="29"/>
      <x:c r="J3" s="29"/>
      <x:c r="K3" s="29"/>
      <x:c r="L3" s="29"/>
      <x:c r="M3" s="1"/>
      <x:c r="N3" s="1"/>
      <x:c r="O3" s="1"/>
      <x:c r="P3" s="1"/>
      <x:c r="Q3" s="1"/>
      <x:c r="R3" s="1"/>
      <x:c r="S3" s="1"/>
      <x:c r="T3" s="1"/>
      <x:c r="U3" s="1"/>
      <x:c r="V3" s="1"/>
      <x:c r="W3" s="1"/>
      <x:c r="X3" s="1">
        <x:v>2016</x:v>
      </x:c>
      <x:c r="Y3" s="27" t="n">
        <x:f>SUMIFS('Donnees nationales'!$D$4:$D$33,'Donnees nationales'!$A$4:$A$33,X3,'Donnees nationales'!$C$4:$C$33,$D$4)</x:f>
        <x:v>1667100</x:v>
      </x:c>
      <x:c r="Z3" s="1" t="str">
        <x:f t="shared" si="0"/>
      </x:c>
      <x:c r="AA3" s="1" t="s">
        <x:v>12</x:v>
      </x:c>
      <x:c r="AB3" s="17" t="n">
        <x:f>SUMIFS('Age et sexe'!$G$4:$G$603,'Age et sexe'!$A$4:$A$603,$B$4,'Age et sexe'!$B$4:$B$603,AA3,'Age et sexe'!$D$4:$D$603,$D$4)*100</x:f>
        <x:v>0.108</x:v>
      </x:c>
      <x:c r="AC3" s="1"/>
      <x:c r="AD3" s="1" t="s">
        <x:v>13</x:v>
      </x:c>
      <x:c r="AE3" s="1" t="s">
        <x:v>14</x:v>
      </x:c>
      <x:c r="AF3" s="1">
        <x:v>9.2690000000000001</x:v>
      </x:c>
      <x:c r="AG3" s="1">
        <x:v>32910</x:v>
      </x:c>
      <x:c r="AH3" s="1"/>
      <x:c r="AI3" s="1" t="s">
        <x:v>13</x:v>
      </x:c>
      <x:c r="AJ3" s="1" t="s">
        <x:v>14</x:v>
      </x:c>
      <x:c r="AK3" s="1">
        <x:v>9.2690000000000001</x:v>
      </x:c>
      <x:c r="AL3" s="1">
        <x:v>32910</x:v>
      </x:c>
      <x:c r="AM3" s="1"/>
      <x:c r="AN3" s="1" t="str">
        <x:f>INDEX($AJ$2:$AJ$536,MATCH($B$4&amp;"-"&amp;$D$4&amp;"-"&amp;2,$AI$2:$AI$536,0))</x:f>
        <x:v>Martinique</x:v>
      </x:c>
      <x:c r="AO3" s="17" t="n">
        <x:f>INDEX($AK$2:$AK$536,MATCH($B$4&amp;"-"&amp;$D$4&amp;"-"&amp;2,$AI$2:$AI$536,0))</x:f>
        <x:v>9.701</x:v>
      </x:c>
      <x:c r="AP3" s="1"/>
      <x:c r="AQ3" s="1" t="str">
        <x:f t="shared" si="1"/>
        <x:v>Martinique</x:v>
      </x:c>
      <x:c r="AR3" s="17">
        <x:f t="shared" si="1"/>
        <x:v>9.7010000000000005</x:v>
      </x:c>
    </x:row>
    <x:row r="4">
      <x:c r="A4" s="18" t="s">
        <x:v>1</x:v>
      </x:c>
      <x:c r="B4" s="19">
        <x:v>2015</x:v>
      </x:c>
      <x:c r="C4" s="18" t="s">
        <x:v>15</x:v>
      </x:c>
      <x:c r="D4" s="19" t="s">
        <x:v>16</x:v>
      </x:c>
      <x:c r="E4" s="1"/>
      <x:c r="F4" s="30"/>
      <x:c r="G4" s="30"/>
      <x:c r="H4" s="30"/>
      <x:c r="I4" s="30"/>
      <x:c r="J4" s="30"/>
      <x:c r="K4" s="30"/>
      <x:c r="L4" s="30"/>
      <x:c r="M4" s="1"/>
      <x:c r="N4" s="1"/>
      <x:c r="O4" s="1"/>
      <x:c r="P4" s="1"/>
      <x:c r="Q4" s="1"/>
      <x:c r="R4" s="1"/>
      <x:c r="S4" s="1"/>
      <x:c r="T4" s="1"/>
      <x:c r="U4" s="1"/>
      <x:c r="V4" s="1"/>
      <x:c r="W4" s="1"/>
      <x:c r="X4" s="1">
        <x:v>2017</x:v>
      </x:c>
      <x:c r="Y4" s="27" t="n">
        <x:f>SUMIFS('Donnees nationales'!$D$4:$D$33,'Donnees nationales'!$A$4:$A$33,X4,'Donnees nationales'!$C$4:$C$33,$D$4)</x:f>
        <x:v>1699880</x:v>
      </x:c>
      <x:c r="Z4" s="1" t="str">
        <x:f t="shared" si="0"/>
      </x:c>
      <x:c r="AA4" s="1" t="s">
        <x:v>17</x:v>
      </x:c>
      <x:c r="AB4" s="17" t="n">
        <x:f>SUMIFS('Age et sexe'!$G$4:$G$603,'Age et sexe'!$A$4:$A$603,$B$4,'Age et sexe'!$B$4:$B$603,AA4,'Age et sexe'!$D$4:$D$603,$D$4)*100</x:f>
        <x:v>0.217</x:v>
      </x:c>
      <x:c r="AC4" s="1"/>
      <x:c r="AD4" s="1" t="s">
        <x:v>18</x:v>
      </x:c>
      <x:c r="AE4" s="1" t="s">
        <x:v>19</x:v>
      </x:c>
      <x:c r="AF4" s="1">
        <x:v>8.3420000000000005</x:v>
      </x:c>
      <x:c r="AG4" s="1">
        <x:v>16490</x:v>
      </x:c>
      <x:c r="AH4" s="1"/>
      <x:c r="AI4" s="1" t="s">
        <x:v>18</x:v>
      </x:c>
      <x:c r="AJ4" s="1" t="s">
        <x:v>20</x:v>
      </x:c>
      <x:c r="AK4" s="1">
        <x:v>7.9930000000000003</x:v>
      </x:c>
      <x:c r="AL4" s="1">
        <x:v>68430</x:v>
      </x:c>
      <x:c r="AM4" s="1"/>
      <x:c r="AN4" s="1" t="str">
        <x:f>INDEX($AJ$2:$AJ$536,MATCH($B$4&amp;"-"&amp;$D$4&amp;"-"&amp;3,$AI$2:$AI$536,0))</x:f>
        <x:v>La Réunion</x:v>
      </x:c>
      <x:c r="AO4" s="17" t="n">
        <x:f>INDEX($AK$2:$AK$536,MATCH($B$4&amp;"-"&amp;$D$4&amp;"-"&amp;3,$AI$2:$AI$536,0))</x:f>
        <x:v>8.47</x:v>
      </x:c>
      <x:c r="AP4" s="1"/>
      <x:c r="AQ4" s="1" t="str">
        <x:f t="shared" si="1"/>
        <x:v>La Réunion</x:v>
      </x:c>
      <x:c r="AR4" s="17">
        <x:f t="shared" si="1"/>
        <x:v>8.4700000000000006</x:v>
      </x:c>
    </x:row>
    <x:row r="5">
      <x:c r="A5" s="31" t="s">
        <x:v>21</x:v>
      </x:c>
      <x:c r="B5" s="31" t="s">
        <x:v>21</x:v>
      </x:c>
      <x:c r="C5" s="31" t="s">
        <x:v>21</x:v>
      </x:c>
      <x:c r="D5" s="31" t="s">
        <x:v>22</x:v>
      </x:c>
      <x:c r="E5" s="31" t="s">
        <x:v>22</x:v>
      </x:c>
      <x:c r="F5" s="31" t="s">
        <x:v>22</x:v>
      </x:c>
      <x:c r="G5" s="31" t="s">
        <x:v>23</x:v>
      </x:c>
      <x:c r="H5" s="31" t="s">
        <x:v>23</x:v>
      </x:c>
      <x:c r="I5" s="31" t="s">
        <x:v>23</x:v>
      </x:c>
      <x:c r="J5" s="31" t="s">
        <x:v>24</x:v>
      </x:c>
      <x:c r="K5" s="31" t="s">
        <x:v>24</x:v>
      </x:c>
      <x:c r="L5" s="31" t="s">
        <x:v>24</x:v>
      </x:c>
      <x:c r="M5" s="1"/>
      <x:c r="N5" s="1"/>
      <x:c r="O5" s="1"/>
      <x:c r="P5" s="1"/>
      <x:c r="Q5" s="1"/>
      <x:c r="R5" s="1"/>
      <x:c r="S5" s="1"/>
      <x:c r="T5" s="1"/>
      <x:c r="U5" s="1"/>
      <x:c r="V5" s="1"/>
      <x:c r="W5" s="1"/>
      <x:c r="X5" s="1">
        <x:v>2018</x:v>
      </x:c>
      <x:c r="Y5" s="27" t="n">
        <x:f>SUMIFS('Donnees nationales'!$D$4:$D$33,'Donnees nationales'!$A$4:$A$33,X5,'Donnees nationales'!$C$4:$C$33,$D$4)</x:f>
        <x:v>1727820</x:v>
      </x:c>
      <x:c r="Z5" s="1" t="str">
        <x:f t="shared" si="0"/>
      </x:c>
      <x:c r="AA5" s="1" t="s">
        <x:v>25</x:v>
      </x:c>
      <x:c r="AB5" s="17" t="n">
        <x:f>SUMIFS('Age et sexe'!$G$4:$G$603,'Age et sexe'!$A$4:$A$603,$B$4,'Age et sexe'!$B$4:$B$603,AA5,'Age et sexe'!$D$4:$D$603,$D$4)*100</x:f>
        <x:v>0.305</x:v>
      </x:c>
      <x:c r="AC5" s="1"/>
      <x:c r="AD5" s="1" t="s">
        <x:v>26</x:v>
      </x:c>
      <x:c r="AE5" s="1" t="s">
        <x:v>20</x:v>
      </x:c>
      <x:c r="AF5" s="1">
        <x:v>7.9930000000000003</x:v>
      </x:c>
      <x:c r="AG5" s="1">
        <x:v>68430</x:v>
      </x:c>
      <x:c r="AH5" s="1"/>
      <x:c r="AI5" s="1" t="s">
        <x:v>26</x:v>
      </x:c>
      <x:c r="AJ5" s="1" t="s">
        <x:v>27</x:v>
      </x:c>
      <x:c r="AK5" s="1">
        <x:v>6.6</x:v>
      </x:c>
      <x:c r="AL5" s="1">
        <x:v>337260</x:v>
      </x:c>
      <x:c r="AM5" s="1"/>
      <x:c r="AN5" s="1" t="str">
        <x:f>INDEX($AJ$2:$AJ$536,MATCH($B$4&amp;"-"&amp;$D$4&amp;"-"&amp;4,$AI$2:$AI$536,0))</x:f>
        <x:v>Grand Est</x:v>
      </x:c>
      <x:c r="AO5" s="17" t="n">
        <x:f>INDEX($AK$2:$AK$536,MATCH($B$4&amp;"-"&amp;$D$4&amp;"-"&amp;4,$AI$2:$AI$536,0))</x:f>
        <x:v>5.89</x:v>
      </x:c>
      <x:c r="AP5" s="1"/>
      <x:c r="AQ5" s="1" t="str">
        <x:f t="shared" si="1"/>
        <x:v>Nièvre</x:v>
      </x:c>
      <x:c r="AR5" s="17">
        <x:f t="shared" si="1"/>
        <x:v>7.335</x:v>
      </x:c>
    </x:row>
    <x:row r="6">
      <x:c r="A6" s="32" t="n">
        <x:f>SUMIFS('Donnees nationales'!$D$4:$D$33,'Donnees nationales'!$A$4:$A$33,$B$4,'Donnees nationales'!$C$4:$C$33,$D$4)</x:f>
        <x:v>1639980</x:v>
      </x:c>
      <x:c r="B6" s="33"/>
      <x:c r="C6" s="34"/>
      <x:c r="D6" s="38" t="n">
        <x:f>SUMIFS('Donnees nationales'!$F$4:$F$33,'Donnees nationales'!$A$4:$A$33,$B$4,'Donnees nationales'!$C$4:$C$33,$D$4)</x:f>
        <x:v>0.048780000000000004</x:v>
      </x:c>
      <x:c r="E6" s="39"/>
      <x:c r="F6" s="40"/>
      <x:c r="G6" s="44" t="n">
        <x:f>SUMIFS(Depenses!$D$4:$D$313,Depenses!$A$4:$A$313,$B$4,Depenses!$C$4:$C$313,"Total des dépenses remboursées")</x:f>
        <x:v>7823925081</x:v>
      </x:c>
      <x:c r="H6" s="45"/>
      <x:c r="I6" s="46"/>
      <x:c r="J6" s="50" t="n">
        <x:f>SUMIFS(Depenses!$G$4:$G$313,Depenses!$A$4:$A$313,$B$4,Depenses!$C$4:$C$313,"Total des dépenses remboursées")</x:f>
        <x:v>2178</x:v>
      </x:c>
      <x:c r="K6" s="51"/>
      <x:c r="L6" s="52"/>
      <x:c r="M6" s="1"/>
      <x:c r="N6" s="1"/>
      <x:c r="O6" s="1"/>
      <x:c r="P6" s="1"/>
      <x:c r="Q6" s="1"/>
      <x:c r="R6" s="1"/>
      <x:c r="S6" s="1"/>
      <x:c r="T6" s="1"/>
      <x:c r="U6" s="1"/>
      <x:c r="V6" s="1"/>
      <x:c r="W6" s="1"/>
      <x:c r="X6" s="1">
        <x:v>2019</x:v>
      </x:c>
      <x:c r="Y6" s="27" t="n">
        <x:f>SUMIFS('Donnees nationales'!$D$4:$D$33,'Donnees nationales'!$A$4:$A$33,X6,'Donnees nationales'!$C$4:$C$33,$D$4)</x:f>
        <x:v>1767210</x:v>
      </x:c>
      <x:c r="Z6" s="1" t="str">
        <x:f t="shared" si="0"/>
      </x:c>
      <x:c r="AA6" s="1" t="s">
        <x:v>28</x:v>
      </x:c>
      <x:c r="AB6" s="17" t="n">
        <x:f>SUMIFS('Age et sexe'!$G$4:$G$603,'Age et sexe'!$A$4:$A$603,$B$4,'Age et sexe'!$B$4:$B$603,AA6,'Age et sexe'!$D$4:$D$603,$D$4)*100</x:f>
        <x:v>0.392</x:v>
      </x:c>
      <x:c r="AC6" s="1"/>
      <x:c r="AD6" s="1" t="s">
        <x:v>29</x:v>
      </x:c>
      <x:c r="AE6" s="1" t="s">
        <x:v>30</x:v>
      </x:c>
      <x:c r="AF6" s="1">
        <x:v>7.8029999999999999</x:v>
      </x:c>
      <x:c r="AG6" s="1">
        <x:v>8530</x:v>
      </x:c>
      <x:c r="AH6" s="1"/>
      <x:c r="AI6" s="1" t="s">
        <x:v>29</x:v>
      </x:c>
      <x:c r="AJ6" s="1" t="s">
        <x:v>31</x:v>
      </x:c>
      <x:c r="AK6" s="1">
        <x:v>6.3739999999999997</x:v>
      </x:c>
      <x:c r="AL6" s="1">
        <x:v>367080</x:v>
      </x:c>
      <x:c r="AM6" s="1"/>
      <x:c r="AN6" s="1" t="str">
        <x:f>INDEX($AJ$2:$AJ$536,MATCH($B$4&amp;"-"&amp;$D$4&amp;"-"&amp;5,$AI$2:$AI$536,0))</x:f>
        <x:v>Hauts-de-France</x:v>
      </x:c>
      <x:c r="AO6" s="17" t="n">
        <x:f>INDEX($AK$2:$AK$536,MATCH($B$4&amp;"-"&amp;$D$4&amp;"-"&amp;5,$AI$2:$AI$536,0))</x:f>
        <x:v>5.837</x:v>
      </x:c>
      <x:c r="AP6" s="1"/>
      <x:c r="AQ6" s="1" t="str">
        <x:f t="shared" si="1"/>
        <x:v>Creuse</x:v>
      </x:c>
      <x:c r="AR6" s="17">
        <x:f t="shared" si="1"/>
        <x:v>6.8209999999999997</x:v>
      </x:c>
    </x:row>
    <x:row r="7">
      <x:c r="A7" s="35"/>
      <x:c r="B7" s="36"/>
      <x:c r="C7" s="37"/>
      <x:c r="D7" s="41"/>
      <x:c r="E7" s="42"/>
      <x:c r="F7" s="43"/>
      <x:c r="G7" s="47"/>
      <x:c r="H7" s="48"/>
      <x:c r="I7" s="49"/>
      <x:c r="J7" s="53"/>
      <x:c r="K7" s="54"/>
      <x:c r="L7" s="55"/>
      <x:c r="M7" s="1"/>
      <x:c r="N7" s="1"/>
      <x:c r="O7" s="1"/>
      <x:c r="P7" s="1"/>
      <x:c r="Q7" s="1"/>
      <x:c r="R7" s="1"/>
      <x:c r="S7" s="1"/>
      <x:c r="T7" s="1"/>
      <x:c r="U7" s="1"/>
      <x:c r="V7" s="1"/>
      <x:c r="W7" s="1"/>
      <x:c r="X7" s="1">
        <x:v>2020</x:v>
      </x:c>
      <x:c r="Y7" s="27" t="n">
        <x:f>SUMIFS('Donnees nationales'!$D$4:$D$33,'Donnees nationales'!$A$4:$A$33,X7,'Donnees nationales'!$C$4:$C$33,$D$4)</x:f>
        <x:v>1809420</x:v>
      </x:c>
      <x:c r="Z7" s="1" t="str">
        <x:f t="shared" si="0"/>
      </x:c>
      <x:c r="AA7" s="1" t="s">
        <x:v>32</x:v>
      </x:c>
      <x:c r="AB7" s="17" t="n">
        <x:f>SUMIFS('Age et sexe'!$G$4:$G$603,'Age et sexe'!$A$4:$A$603,$B$4,'Age et sexe'!$B$4:$B$603,AA7,'Age et sexe'!$D$4:$D$603,$D$4)*100</x:f>
        <x:v>0.563</x:v>
      </x:c>
      <x:c r="AC7" s="1"/>
      <x:c r="AD7" s="1" t="s">
        <x:v>33</x:v>
      </x:c>
      <x:c r="AE7" s="1" t="s">
        <x:v>34</x:v>
      </x:c>
      <x:c r="AF7" s="1">
        <x:v>7.3879999999999999</x:v>
      </x:c>
      <x:c r="AG7" s="1">
        <x:v>15590</x:v>
      </x:c>
      <x:c r="AH7" s="1"/>
      <x:c r="AI7" s="1" t="s">
        <x:v>33</x:v>
      </x:c>
      <x:c r="AJ7" s="1" t="s">
        <x:v>35</x:v>
      </x:c>
      <x:c r="AK7" s="1">
        <x:v>6.2359999999999998</x:v>
      </x:c>
      <x:c r="AL7" s="1">
        <x:v>167200</x:v>
      </x:c>
      <x:c r="AM7" s="1"/>
      <x:c r="AN7" s="1" t="str">
        <x:f>INDEX($AJ$2:$AJ$536,MATCH($B$4&amp;"-"&amp;$D$4&amp;"-"&amp;6,$AI$2:$AI$536,0))</x:f>
        <x:v>Bourgogne-F.-Comté</x:v>
      </x:c>
      <x:c r="AO7" s="17" t="n">
        <x:f>INDEX($AK$2:$AK$536,MATCH($B$4&amp;"-"&amp;$D$4&amp;"-"&amp;6,$AI$2:$AI$536,0))</x:f>
        <x:v>5.509</x:v>
      </x:c>
      <x:c r="AP7" s="1"/>
      <x:c r="AQ7" s="1"/>
      <x:c r="AR7" s="1"/>
    </x:row>
    <x:row r="8">
      <x:c r="A8" s="1"/>
      <x:c r="B8" s="1"/>
      <x:c r="C8" s="1"/>
      <x:c r="D8" s="1"/>
      <x:c r="E8" s="1"/>
      <x:c r="F8" s="1"/>
      <x:c r="G8" s="1"/>
      <x:c r="H8" s="1"/>
      <x:c r="I8" s="1"/>
      <x:c r="J8" s="1"/>
      <x:c r="K8" s="1"/>
      <x:c r="L8" s="1"/>
      <x:c r="M8" s="1"/>
      <x:c r="N8" s="1"/>
      <x:c r="O8" s="1"/>
      <x:c r="P8" s="1"/>
      <x:c r="Q8" s="1"/>
      <x:c r="R8" s="1"/>
      <x:c r="S8" s="1"/>
      <x:c r="T8" s="1"/>
      <x:c r="U8" s="1"/>
      <x:c r="V8" s="1"/>
      <x:c r="W8" s="1"/>
      <x:c r="X8" s="1">
        <x:v>2021</x:v>
      </x:c>
      <x:c r="Y8" s="27" t="n">
        <x:f>SUMIFS('Donnees nationales'!$D$4:$D$33,'Donnees nationales'!$A$4:$A$33,X8,'Donnees nationales'!$C$4:$C$33,$D$4)</x:f>
        <x:v>1865860</x:v>
      </x:c>
      <x:c r="Z8" s="1" t="str">
        <x:f t="shared" si="0"/>
      </x:c>
      <x:c r="AA8" s="1" t="s">
        <x:v>36</x:v>
      </x:c>
      <x:c r="AB8" s="17" t="n">
        <x:f>SUMIFS('Age et sexe'!$G$4:$G$603,'Age et sexe'!$A$4:$A$603,$B$4,'Age et sexe'!$B$4:$B$603,AA8,'Age et sexe'!$D$4:$D$603,$D$4)*100</x:f>
        <x:v>0.827</x:v>
      </x:c>
      <x:c r="AC8" s="1"/>
      <x:c r="AD8" s="1" t="s">
        <x:v>37</x:v>
      </x:c>
      <x:c r="AE8" s="1" t="s">
        <x:v>38</x:v>
      </x:c>
      <x:c r="AF8" s="1">
        <x:v>7.2729999999999997</x:v>
      </x:c>
      <x:c r="AG8" s="1">
        <x:v>64750</x:v>
      </x:c>
      <x:c r="AH8" s="1"/>
      <x:c r="AI8" s="1" t="s">
        <x:v>37</x:v>
      </x:c>
      <x:c r="AJ8" s="1" t="s">
        <x:v>39</x:v>
      </x:c>
      <x:c r="AK8" s="1">
        <x:v>6.149</x:v>
      </x:c>
      <x:c r="AL8" s="1">
        <x:v>151770</x:v>
      </x:c>
      <x:c r="AM8" s="1"/>
      <x:c r="AN8" s="1" t="str">
        <x:f>INDEX($AJ$2:$AJ$536,MATCH($B$4&amp;"-"&amp;$D$4&amp;"-"&amp;7,$AI$2:$AI$536,0))</x:f>
        <x:v>Guyane</x:v>
      </x:c>
      <x:c r="AO8" s="17" t="n">
        <x:f>INDEX($AK$2:$AK$536,MATCH($B$4&amp;"-"&amp;$D$4&amp;"-"&amp;7,$AI$2:$AI$536,0))</x:f>
        <x:v>5.43</x:v>
      </x:c>
      <x:c r="AP8" s="1"/>
      <x:c r="AQ8" s="1"/>
      <x:c r="AR8" s="1"/>
    </x:row>
    <x:row r="9">
      <x:c r="A9" s="56" t="str">
        <x:f>"ÉVOLUTION NATIONALE - "&amp;$B$4&amp;" - "&amp;$D$4</x:f>
        <x:v>ÉVOLUTION NATIONALE - 2015 - femmes</x:v>
      </x:c>
      <x:c r="B9" s="56"/>
      <x:c r="C9" s="56"/>
      <x:c r="D9" s="56"/>
      <x:c r="E9" s="56"/>
      <x:c r="F9" s="56"/>
      <x:c r="G9" s="56" t="str">
        <x:f>"PRÉVALENCE PAR ÂGE  - " &amp;$B$4 &amp;  " - "&amp;$D$4</x:f>
        <x:v>PRÉVALENCE PAR ÂGE  - 2015 - femmes</x:v>
      </x:c>
      <x:c r="H9" s="56"/>
      <x:c r="I9" s="56"/>
      <x:c r="J9" s="56"/>
      <x:c r="K9" s="56"/>
      <x:c r="L9" s="56"/>
      <x:c r="M9" s="1"/>
      <x:c r="N9" s="1"/>
      <x:c r="O9" s="1"/>
      <x:c r="P9" s="1"/>
      <x:c r="Q9" s="1"/>
      <x:c r="R9" s="1"/>
      <x:c r="S9" s="1"/>
      <x:c r="T9" s="1"/>
      <x:c r="U9" s="1"/>
      <x:c r="V9" s="1"/>
      <x:c r="W9" s="1"/>
      <x:c r="X9" s="1">
        <x:v>2022</x:v>
      </x:c>
      <x:c r="Y9" s="27" t="n">
        <x:f>SUMIFS('Donnees nationales'!$D$4:$D$33,'Donnees nationales'!$A$4:$A$33,X9,'Donnees nationales'!$C$4:$C$33,$D$4)</x:f>
        <x:v>1913470</x:v>
      </x:c>
      <x:c r="Z9" s="1" t="str">
        <x:f t="shared" si="0"/>
      </x:c>
      <x:c r="AA9" s="1" t="s">
        <x:v>40</x:v>
      </x:c>
      <x:c r="AB9" s="17" t="n">
        <x:f>SUMIFS('Age et sexe'!$G$4:$G$603,'Age et sexe'!$A$4:$A$603,$B$4,'Age et sexe'!$B$4:$B$603,AA9,'Age et sexe'!$D$4:$D$603,$D$4)*100</x:f>
        <x:v>1.164</x:v>
      </x:c>
      <x:c r="AC9" s="1"/>
      <x:c r="AD9" s="1" t="s">
        <x:v>41</x:v>
      </x:c>
      <x:c r="AE9" s="1" t="s">
        <x:v>42</x:v>
      </x:c>
      <x:c r="AF9" s="1">
        <x:v>7.1609999999999996</x:v>
      </x:c>
      <x:c r="AG9" s="1">
        <x:v>23330</x:v>
      </x:c>
      <x:c r="AH9" s="1"/>
      <x:c r="AI9" s="1" t="s">
        <x:v>41</x:v>
      </x:c>
      <x:c r="AJ9" s="1" t="s">
        <x:v>43</x:v>
      </x:c>
      <x:c r="AK9" s="1">
        <x:v>6.0369999999999999</x:v>
      </x:c>
      <x:c r="AL9" s="1">
        <x:v>16860</x:v>
      </x:c>
      <x:c r="AM9" s="1"/>
      <x:c r="AN9" s="1" t="str">
        <x:f>INDEX($AJ$2:$AJ$536,MATCH($B$4&amp;"-"&amp;$D$4&amp;"-"&amp;8,$AI$2:$AI$536,0))</x:f>
        <x:v>Centre-Val de Loire</x:v>
      </x:c>
      <x:c r="AO9" s="17" t="n">
        <x:f>INDEX($AK$2:$AK$536,MATCH($B$4&amp;"-"&amp;$D$4&amp;"-"&amp;8,$AI$2:$AI$536,0))</x:f>
        <x:v>5.331</x:v>
      </x:c>
      <x:c r="AP9" s="1"/>
      <x:c r="AQ9" s="1"/>
      <x:c r="AR9" s="1"/>
    </x:row>
    <x:row r="10">
      <x:c r="A10" s="1"/>
      <x:c r="B10" s="1"/>
      <x:c r="C10" s="1"/>
      <x:c r="D10" s="1"/>
      <x:c r="E10" s="1"/>
      <x:c r="F10" s="1"/>
      <x:c r="G10" s="1"/>
      <x:c r="H10" s="1"/>
      <x:c r="I10" s="1"/>
      <x:c r="J10" s="1"/>
      <x:c r="K10" s="1"/>
      <x:c r="L10" s="1"/>
      <x:c r="M10" s="1"/>
      <x:c r="N10" s="1"/>
      <x:c r="O10" s="1"/>
      <x:c r="P10" s="1"/>
      <x:c r="Q10" s="1"/>
      <x:c r="R10" s="1"/>
      <x:c r="S10" s="1"/>
      <x:c r="T10" s="1"/>
      <x:c r="U10" s="1"/>
      <x:c r="V10" s="1"/>
      <x:c r="W10" s="1"/>
      <x:c r="X10" s="1">
        <x:v>2023</x:v>
      </x:c>
      <x:c r="Y10" s="27" t="n">
        <x:f>SUMIFS('Donnees nationales'!$D$4:$D$33,'Donnees nationales'!$A$4:$A$33,X10,'Donnees nationales'!$C$4:$C$33,$D$4)</x:f>
        <x:v>1958380</x:v>
      </x:c>
      <x:c r="Z10" s="1" t="str">
        <x:f t="shared" si="0"/>
      </x:c>
      <x:c r="AA10" s="1" t="s">
        <x:v>44</x:v>
      </x:c>
      <x:c r="AB10" s="17" t="n">
        <x:f>SUMIFS('Age et sexe'!$G$4:$G$603,'Age et sexe'!$A$4:$A$603,$B$4,'Age et sexe'!$B$4:$B$603,AA10,'Age et sexe'!$D$4:$D$603,$D$4)*100</x:f>
        <x:v>1.67</x:v>
      </x:c>
      <x:c r="AC10" s="1"/>
      <x:c r="AD10" s="1" t="s">
        <x:v>45</x:v>
      </x:c>
      <x:c r="AE10" s="1" t="s">
        <x:v>46</x:v>
      </x:c>
      <x:c r="AF10" s="1">
        <x:v>7.0819999999999999</x:v>
      </x:c>
      <x:c r="AG10" s="1">
        <x:v>22960</x:v>
      </x:c>
      <x:c r="AH10" s="1"/>
      <x:c r="AI10" s="1" t="s">
        <x:v>45</x:v>
      </x:c>
      <x:c r="AJ10" s="1" t="s">
        <x:v>47</x:v>
      </x:c>
      <x:c r="AK10" s="1">
        <x:v>5.7889999999999997</x:v>
      </x:c>
      <x:c r="AL10" s="1">
        <x:v>287630</x:v>
      </x:c>
      <x:c r="AM10" s="1"/>
      <x:c r="AN10" s="1"/>
      <x:c r="AO10" s="1"/>
      <x:c r="AP10" s="1"/>
      <x:c r="AQ10" s="1"/>
      <x:c r="AR10" s="1"/>
    </x:row>
    <x:row r="11">
      <x:c r="A11" s="1"/>
      <x:c r="B11" s="1"/>
      <x:c r="C11" s="1"/>
      <x:c r="D11" s="1"/>
      <x:c r="E11" s="1"/>
      <x:c r="F11" s="1"/>
      <x:c r="G11" s="1"/>
      <x:c r="H11" s="1"/>
      <x:c r="I11" s="1"/>
      <x:c r="J11" s="1"/>
      <x:c r="K11" s="1"/>
      <x:c r="L11" s="1"/>
      <x:c r="M11" s="1"/>
      <x:c r="N11" s="1"/>
      <x:c r="O11" s="1"/>
      <x:c r="P11" s="1"/>
      <x:c r="Q11" s="1"/>
      <x:c r="R11" s="1"/>
      <x:c r="S11" s="1"/>
      <x:c r="T11" s="1"/>
      <x:c r="U11" s="1"/>
      <x:c r="V11" s="1"/>
      <x:c r="W11" s="1"/>
      <x:c r="X11" s="1">
        <x:v>2024</x:v>
      </x:c>
      <x:c r="Y11" s="27" t="n">
        <x:f>SUMIFS('Donnees nationales'!$D$4:$D$33,'Donnees nationales'!$A$4:$A$33,X11,'Donnees nationales'!$C$4:$C$33,$D$4)</x:f>
        <x:v>2013970</x:v>
      </x:c>
      <x:c r="Z11" s="1" t="str">
        <x:f t="shared" si="0"/>
      </x:c>
      <x:c r="AA11" s="1" t="s">
        <x:v>48</x:v>
      </x:c>
      <x:c r="AB11" s="17" t="n">
        <x:f>SUMIFS('Age et sexe'!$G$4:$G$603,'Age et sexe'!$A$4:$A$603,$B$4,'Age et sexe'!$B$4:$B$603,AA11,'Age et sexe'!$D$4:$D$603,$D$4)*100</x:f>
        <x:v>2.711</x:v>
      </x:c>
      <x:c r="AC11" s="1"/>
      <x:c r="AD11" s="1" t="s">
        <x:v>49</x:v>
      </x:c>
      <x:c r="AE11" s="1" t="s">
        <x:v>50</x:v>
      </x:c>
      <x:c r="AF11" s="1">
        <x:v>6.9939999999999998</x:v>
      </x:c>
      <x:c r="AG11" s="1">
        <x:v>35890</x:v>
      </x:c>
      <x:c r="AH11" s="1"/>
      <x:c r="AI11" s="1" t="s">
        <x:v>49</x:v>
      </x:c>
      <x:c r="AJ11" s="1" t="s">
        <x:v>51</x:v>
      </x:c>
      <x:c r="AK11" s="1">
        <x:v>5.5880000000000001</x:v>
      </x:c>
      <x:c r="AL11" s="1">
        <x:v>316330</x:v>
      </x:c>
      <x:c r="AM11" s="1"/>
      <x:c r="AN11" s="1"/>
      <x:c r="AO11" s="1"/>
      <x:c r="AP11" s="1"/>
      <x:c r="AQ11" s="1"/>
      <x:c r="AR11" s="1"/>
    </x:row>
    <x:row r="12">
      <x:c r="A12" s="1"/>
      <x:c r="B12" s="1"/>
      <x:c r="C12" s="1"/>
      <x:c r="D12" s="1"/>
      <x:c r="E12" s="1"/>
      <x:c r="F12" s="1"/>
      <x:c r="G12" s="1"/>
      <x:c r="H12" s="1"/>
      <x:c r="I12" s="1"/>
      <x:c r="J12" s="1"/>
      <x:c r="K12" s="1"/>
      <x:c r="L12" s="1"/>
      <x:c r="M12" s="1"/>
      <x:c r="N12" s="1"/>
      <x:c r="O12" s="1"/>
      <x:c r="P12" s="1"/>
      <x:c r="Q12" s="1"/>
      <x:c r="R12" s="1"/>
      <x:c r="S12" s="1"/>
      <x:c r="T12" s="1"/>
      <x:c r="U12" s="1"/>
      <x:c r="V12" s="1"/>
      <x:c r="W12" s="1"/>
      <x:c r="X12" s="1"/>
      <x:c r="Y12" s="1"/>
      <x:c r="Z12" s="1"/>
      <x:c r="AA12" s="1" t="s">
        <x:v>52</x:v>
      </x:c>
      <x:c r="AB12" s="17" t="n">
        <x:f>SUMIFS('Age et sexe'!$G$4:$G$603,'Age et sexe'!$A$4:$A$603,$B$4,'Age et sexe'!$B$4:$B$603,AA12,'Age et sexe'!$D$4:$D$603,$D$4)*100</x:f>
        <x:v>4.422</x:v>
      </x:c>
      <x:c r="AC12" s="1"/>
      <x:c r="AD12" s="1" t="s">
        <x:v>53</x:v>
      </x:c>
      <x:c r="AE12" s="1" t="s">
        <x:v>19</x:v>
      </x:c>
      <x:c r="AF12" s="1">
        <x:v>9.4640000000000004</x:v>
      </x:c>
      <x:c r="AG12" s="1">
        <x:v>8840</x:v>
      </x:c>
      <x:c r="AH12" s="1"/>
      <x:c r="AI12" s="1" t="s">
        <x:v>54</x:v>
      </x:c>
      <x:c r="AJ12" s="1" t="s">
        <x:v>55</x:v>
      </x:c>
      <x:c r="AK12" s="1">
        <x:v>5.5750000000000002</x:v>
      </x:c>
      <x:c r="AL12" s="1">
        <x:v>178080</x:v>
      </x:c>
      <x:c r="AM12" s="1"/>
      <x:c r="AN12" s="1"/>
      <x:c r="AO12" s="1"/>
      <x:c r="AP12" s="1"/>
      <x:c r="AQ12" s="1"/>
      <x:c r="AR12" s="1"/>
    </x:row>
    <x:row r="13">
      <x:c r="A13" s="1"/>
      <x:c r="B13" s="1"/>
      <x:c r="C13" s="1"/>
      <x:c r="D13" s="1"/>
      <x:c r="E13" s="1"/>
      <x:c r="F13" s="1"/>
      <x:c r="G13" s="1"/>
      <x:c r="H13" s="1"/>
      <x:c r="I13" s="1"/>
      <x:c r="J13" s="1"/>
      <x:c r="K13" s="1"/>
      <x:c r="L13" s="1"/>
      <x:c r="M13" s="1"/>
      <x:c r="N13" s="1"/>
      <x:c r="O13" s="1"/>
      <x:c r="P13" s="1"/>
      <x:c r="Q13" s="1"/>
      <x:c r="R13" s="1"/>
      <x:c r="S13" s="1"/>
      <x:c r="T13" s="1"/>
      <x:c r="U13" s="1"/>
      <x:c r="V13" s="1"/>
      <x:c r="W13" s="1"/>
      <x:c r="X13" s="1"/>
      <x:c r="Y13" s="1"/>
      <x:c r="Z13" s="1"/>
      <x:c r="AA13" s="1" t="s">
        <x:v>56</x:v>
      </x:c>
      <x:c r="AB13" s="17" t="n">
        <x:f>SUMIFS('Age et sexe'!$G$4:$G$603,'Age et sexe'!$A$4:$A$603,$B$4,'Age et sexe'!$B$4:$B$603,AA13,'Age et sexe'!$D$4:$D$603,$D$4)*100</x:f>
        <x:v>6.987</x:v>
      </x:c>
      <x:c r="AC13" s="1"/>
      <x:c r="AD13" s="1" t="s">
        <x:v>57</x:v>
      </x:c>
      <x:c r="AE13" s="1" t="s">
        <x:v>10</x:v>
      </x:c>
      <x:c r="AF13" s="1">
        <x:v>9.23</x:v>
      </x:c>
      <x:c r="AG13" s="1">
        <x:v>15400</x:v>
      </x:c>
      <x:c r="AH13" s="1"/>
      <x:c r="AI13" s="1" t="s">
        <x:v>58</x:v>
      </x:c>
      <x:c r="AJ13" s="1" t="s">
        <x:v>59</x:v>
      </x:c>
      <x:c r="AK13" s="1">
        <x:v>5.4630000000000001</x:v>
      </x:c>
      <x:c r="AL13" s="1">
        <x:v>304200</x:v>
      </x:c>
      <x:c r="AM13" s="1"/>
      <x:c r="AN13" s="1"/>
      <x:c r="AO13" s="1"/>
      <x:c r="AP13" s="1"/>
      <x:c r="AQ13" s="1"/>
      <x:c r="AR13" s="1"/>
    </x:row>
    <x:row r="14">
      <x:c r="A14" s="1"/>
      <x:c r="B14" s="1"/>
      <x:c r="C14" s="1"/>
      <x:c r="D14" s="1"/>
      <x:c r="E14" s="1"/>
      <x:c r="F14" s="1"/>
      <x:c r="G14" s="1"/>
      <x:c r="H14" s="1"/>
      <x:c r="I14" s="1"/>
      <x:c r="J14" s="1"/>
      <x:c r="K14" s="1"/>
      <x:c r="L14" s="1"/>
      <x:c r="M14" s="1"/>
      <x:c r="N14" s="1"/>
      <x:c r="O14" s="1"/>
      <x:c r="P14" s="1"/>
      <x:c r="Q14" s="1"/>
      <x:c r="R14" s="1"/>
      <x:c r="S14" s="1"/>
      <x:c r="T14" s="1"/>
      <x:c r="U14" s="1"/>
      <x:c r="V14" s="1"/>
      <x:c r="W14" s="1"/>
      <x:c r="X14" s="1"/>
      <x:c r="Y14" s="1"/>
      <x:c r="Z14" s="1"/>
      <x:c r="AA14" s="1" t="s">
        <x:v>60</x:v>
      </x:c>
      <x:c r="AB14" s="17" t="n">
        <x:f>SUMIFS('Age et sexe'!$G$4:$G$603,'Age et sexe'!$A$4:$A$603,$B$4,'Age et sexe'!$B$4:$B$603,AA14,'Age et sexe'!$D$4:$D$603,$D$4)*100</x:f>
        <x:v>9.715</x:v>
      </x:c>
      <x:c r="AC14" s="1"/>
      <x:c r="AD14" s="1" t="s">
        <x:v>61</x:v>
      </x:c>
      <x:c r="AE14" s="1" t="s">
        <x:v>30</x:v>
      </x:c>
      <x:c r="AF14" s="1">
        <x:v>8.8889999999999993</x:v>
      </x:c>
      <x:c r="AG14" s="1">
        <x:v>4620</x:v>
      </x:c>
      <x:c r="AH14" s="1"/>
      <x:c r="AI14" s="1" t="s">
        <x:v>62</x:v>
      </x:c>
      <x:c r="AJ14" s="1" t="s">
        <x:v>63</x:v>
      </x:c>
      <x:c r="AK14" s="1">
        <x:v>5.2290000000000001</x:v>
      </x:c>
      <x:c r="AL14" s="1">
        <x:v>393960</x:v>
      </x:c>
      <x:c r="AM14" s="1"/>
      <x:c r="AN14" s="1"/>
      <x:c r="AO14" s="1"/>
      <x:c r="AP14" s="1"/>
      <x:c r="AQ14" s="1"/>
      <x:c r="AR14" s="1"/>
    </x:row>
    <x:row r="15">
      <x:c r="A15" s="1"/>
      <x:c r="B15" s="1"/>
      <x:c r="C15" s="1"/>
      <x:c r="D15" s="1"/>
      <x:c r="E15" s="1"/>
      <x:c r="F15" s="1"/>
      <x:c r="G15" s="1"/>
      <x:c r="H15" s="1"/>
      <x:c r="I15" s="1"/>
      <x:c r="J15" s="1"/>
      <x:c r="K15" s="1"/>
      <x:c r="L15" s="1"/>
      <x:c r="M15" s="1"/>
      <x:c r="N15" s="1"/>
      <x:c r="O15" s="1"/>
      <x:c r="P15" s="1"/>
      <x:c r="Q15" s="1"/>
      <x:c r="R15" s="1"/>
      <x:c r="S15" s="1"/>
      <x:c r="T15" s="1"/>
      <x:c r="U15" s="1"/>
      <x:c r="V15" s="1"/>
      <x:c r="W15" s="1"/>
      <x:c r="X15" s="1"/>
      <x:c r="Y15" s="1"/>
      <x:c r="Z15" s="1"/>
      <x:c r="AA15" s="1" t="s">
        <x:v>64</x:v>
      </x:c>
      <x:c r="AB15" s="17" t="n">
        <x:f>SUMIFS('Age et sexe'!$G$4:$G$603,'Age et sexe'!$A$4:$A$603,$B$4,'Age et sexe'!$B$4:$B$603,AA15,'Age et sexe'!$D$4:$D$603,$D$4)*100</x:f>
        <x:v>11.864</x:v>
      </x:c>
      <x:c r="AC15" s="1"/>
      <x:c r="AD15" s="1" t="s">
        <x:v>65</x:v>
      </x:c>
      <x:c r="AE15" s="1" t="s">
        <x:v>14</x:v>
      </x:c>
      <x:c r="AF15" s="1">
        <x:v>8.718</x:v>
      </x:c>
      <x:c r="AG15" s="1">
        <x:v>13620</x:v>
      </x:c>
      <x:c r="AH15" s="1"/>
      <x:c r="AI15" s="1" t="s">
        <x:v>66</x:v>
      </x:c>
      <x:c r="AJ15" s="1" t="s">
        <x:v>67</x:v>
      </x:c>
      <x:c r="AK15" s="1">
        <x:v>5.1440000000000001</x:v>
      </x:c>
      <x:c r="AL15" s="1">
        <x:v>9210</x:v>
      </x:c>
      <x:c r="AM15" s="1"/>
      <x:c r="AN15" s="1"/>
      <x:c r="AO15" s="1"/>
      <x:c r="AP15" s="1"/>
      <x:c r="AQ15" s="1"/>
      <x:c r="AR15" s="1"/>
    </x:row>
    <x:row r="16">
      <x:c r="A16" s="1"/>
      <x:c r="B16" s="1"/>
      <x:c r="C16" s="1"/>
      <x:c r="D16" s="1"/>
      <x:c r="E16" s="1"/>
      <x:c r="F16" s="1"/>
      <x:c r="G16" s="1"/>
      <x:c r="H16" s="1"/>
      <x:c r="I16" s="1"/>
      <x:c r="J16" s="1"/>
      <x:c r="K16" s="1"/>
      <x:c r="L16" s="1"/>
      <x:c r="M16" s="1"/>
      <x:c r="N16" s="1"/>
      <x:c r="O16" s="1"/>
      <x:c r="P16" s="1"/>
      <x:c r="Q16" s="1"/>
      <x:c r="R16" s="1"/>
      <x:c r="S16" s="1"/>
      <x:c r="T16" s="1"/>
      <x:c r="U16" s="1"/>
      <x:c r="V16" s="1"/>
      <x:c r="W16" s="1"/>
      <x:c r="X16" s="1"/>
      <x:c r="Y16" s="1"/>
      <x:c r="Z16" s="1"/>
      <x:c r="AA16" s="1" t="s">
        <x:v>68</x:v>
      </x:c>
      <x:c r="AB16" s="17" t="n">
        <x:f>SUMIFS('Age et sexe'!$G$4:$G$603,'Age et sexe'!$A$4:$A$603,$B$4,'Age et sexe'!$B$4:$B$603,AA16,'Age et sexe'!$D$4:$D$603,$D$4)*100</x:f>
        <x:v>14.757000000000001</x:v>
      </x:c>
      <x:c r="AC16" s="1"/>
      <x:c r="AD16" s="1" t="s">
        <x:v>69</x:v>
      </x:c>
      <x:c r="AE16" s="1" t="s">
        <x:v>34</x:v>
      </x:c>
      <x:c r="AF16" s="1">
        <x:v>8.423</x:v>
      </x:c>
      <x:c r="AG16" s="1">
        <x:v>8430</x:v>
      </x:c>
      <x:c r="AH16" s="1"/>
      <x:c r="AI16" s="1" t="s">
        <x:v>70</x:v>
      </x:c>
      <x:c r="AJ16" s="1" t="s">
        <x:v>71</x:v>
      </x:c>
      <x:c r="AK16" s="1">
        <x:v>5.0270000000000001</x:v>
      </x:c>
      <x:c r="AL16" s="1">
        <x:v>580100</x:v>
      </x:c>
      <x:c r="AM16" s="1"/>
      <x:c r="AN16" s="1"/>
      <x:c r="AO16" s="1"/>
      <x:c r="AP16" s="1"/>
      <x:c r="AQ16" s="1"/>
      <x:c r="AR16" s="1"/>
    </x:row>
    <x:row r="17">
      <x:c r="A17" s="1"/>
      <x:c r="B17" s="1"/>
      <x:c r="C17" s="1"/>
      <x:c r="D17" s="1"/>
      <x:c r="E17" s="1"/>
      <x:c r="F17" s="1"/>
      <x:c r="G17" s="1"/>
      <x:c r="H17" s="1"/>
      <x:c r="I17" s="1"/>
      <x:c r="J17" s="1"/>
      <x:c r="K17" s="1"/>
      <x:c r="L17" s="1"/>
      <x:c r="M17" s="1"/>
      <x:c r="N17" s="1"/>
      <x:c r="O17" s="1"/>
      <x:c r="P17" s="1"/>
      <x:c r="Q17" s="1"/>
      <x:c r="R17" s="1"/>
      <x:c r="S17" s="1"/>
      <x:c r="T17" s="1"/>
      <x:c r="U17" s="1"/>
      <x:c r="V17" s="1"/>
      <x:c r="W17" s="1"/>
      <x:c r="X17" s="1"/>
      <x:c r="Y17" s="1"/>
      <x:c r="Z17" s="1"/>
      <x:c r="AA17" s="1" t="s">
        <x:v>72</x:v>
      </x:c>
      <x:c r="AB17" s="17" t="n">
        <x:f>SUMIFS('Age et sexe'!$G$4:$G$603,'Age et sexe'!$A$4:$A$603,$B$4,'Age et sexe'!$B$4:$B$603,AA17,'Age et sexe'!$D$4:$D$603,$D$4)*100</x:f>
        <x:v>16.125</x:v>
      </x:c>
      <x:c r="AC17" s="1"/>
      <x:c r="AD17" s="1" t="s">
        <x:v>73</x:v>
      </x:c>
      <x:c r="AE17" s="1" t="s">
        <x:v>46</x:v>
      </x:c>
      <x:c r="AF17" s="1">
        <x:v>8.1969999999999992</x:v>
      </x:c>
      <x:c r="AG17" s="1">
        <x:v>12540</x:v>
      </x:c>
      <x:c r="AH17" s="1"/>
      <x:c r="AI17" s="1" t="s">
        <x:v>74</x:v>
      </x:c>
      <x:c r="AJ17" s="1" t="s">
        <x:v>75</x:v>
      </x:c>
      <x:c r="AK17" s="1">
        <x:v>4.7519999999999998</x:v>
      </x:c>
      <x:c r="AL17" s="1">
        <x:v>4370</x:v>
      </x:c>
      <x:c r="AM17" s="1"/>
      <x:c r="AN17" s="1"/>
      <x:c r="AO17" s="1"/>
      <x:c r="AP17" s="1"/>
      <x:c r="AQ17" s="1"/>
      <x:c r="AR17" s="1"/>
    </x:row>
    <x:row r="18">
      <x:c r="A18" s="1"/>
      <x:c r="B18" s="1"/>
      <x:c r="C18" s="1"/>
      <x:c r="D18" s="1"/>
      <x:c r="E18" s="1"/>
      <x:c r="F18" s="1"/>
      <x:c r="G18" s="1"/>
      <x:c r="H18" s="1"/>
      <x:c r="I18" s="1"/>
      <x:c r="J18" s="1"/>
      <x:c r="K18" s="1"/>
      <x:c r="L18" s="1"/>
      <x:c r="M18" s="1"/>
      <x:c r="N18" s="1"/>
      <x:c r="O18" s="1"/>
      <x:c r="P18" s="1"/>
      <x:c r="Q18" s="1"/>
      <x:c r="R18" s="1"/>
      <x:c r="S18" s="1"/>
      <x:c r="T18" s="1"/>
      <x:c r="U18" s="1"/>
      <x:c r="V18" s="1"/>
      <x:c r="W18" s="1"/>
      <x:c r="X18" s="1"/>
      <x:c r="Y18" s="1"/>
      <x:c r="Z18" s="1"/>
      <x:c r="AA18" s="1" t="s">
        <x:v>76</x:v>
      </x:c>
      <x:c r="AB18" s="17" t="n">
        <x:f>SUMIFS('Age et sexe'!$G$4:$G$603,'Age et sexe'!$A$4:$A$603,$B$4,'Age et sexe'!$B$4:$B$603,AA18,'Age et sexe'!$D$4:$D$603,$D$4)*100</x:f>
        <x:v>16.853</x:v>
      </x:c>
      <x:c r="AC18" s="1"/>
      <x:c r="AD18" s="1" t="s">
        <x:v>77</x:v>
      </x:c>
      <x:c r="AE18" s="1" t="s">
        <x:v>42</x:v>
      </x:c>
      <x:c r="AF18" s="1">
        <x:v>8.1549999999999994</x:v>
      </x:c>
      <x:c r="AG18" s="1">
        <x:v>12720</x:v>
      </x:c>
      <x:c r="AH18" s="1"/>
      <x:c r="AI18" s="1" t="s">
        <x:v>78</x:v>
      </x:c>
      <x:c r="AJ18" s="1" t="s">
        <x:v>79</x:v>
      </x:c>
      <x:c r="AK18" s="1">
        <x:v>4.5720000000000001</x:v>
      </x:c>
      <x:c r="AL18" s="1">
        <x:v>164500</x:v>
      </x:c>
      <x:c r="AM18" s="1"/>
      <x:c r="AN18" s="1"/>
      <x:c r="AO18" s="1"/>
      <x:c r="AP18" s="1"/>
      <x:c r="AQ18" s="1"/>
      <x:c r="AR18" s="1"/>
    </x:row>
    <x:row r="19">
      <x:c r="A19" s="1"/>
      <x:c r="B19" s="1"/>
      <x:c r="C19" s="1"/>
      <x:c r="D19" s="1"/>
      <x:c r="E19" s="1"/>
      <x:c r="F19" s="1"/>
      <x:c r="G19" s="1"/>
      <x:c r="H19" s="1"/>
      <x:c r="I19" s="1"/>
      <x:c r="J19" s="1"/>
      <x:c r="K19" s="1"/>
      <x:c r="L19" s="1"/>
      <x:c r="M19" s="1"/>
      <x:c r="N19" s="1"/>
      <x:c r="O19" s="1"/>
      <x:c r="P19" s="1"/>
      <x:c r="Q19" s="1"/>
      <x:c r="R19" s="1"/>
      <x:c r="S19" s="1"/>
      <x:c r="T19" s="1"/>
      <x:c r="U19" s="1"/>
      <x:c r="V19" s="1"/>
      <x:c r="W19" s="1"/>
      <x:c r="X19" s="1"/>
      <x:c r="Y19" s="1"/>
      <x:c r="Z19" s="1"/>
      <x:c r="AA19" s="1" t="s">
        <x:v>80</x:v>
      </x:c>
      <x:c r="AB19" s="17" t="n">
        <x:f>SUMIFS('Age et sexe'!$G$4:$G$603,'Age et sexe'!$A$4:$A$603,$B$4,'Age et sexe'!$B$4:$B$603,AA19,'Age et sexe'!$D$4:$D$603,$D$4)*100</x:f>
        <x:v>15.402</x:v>
      </x:c>
      <x:c r="AC19" s="1"/>
      <x:c r="AD19" s="1" t="s">
        <x:v>81</x:v>
      </x:c>
      <x:c r="AE19" s="1" t="s">
        <x:v>38</x:v>
      </x:c>
      <x:c r="AF19" s="1">
        <x:v>8.093</x:v>
      </x:c>
      <x:c r="AG19" s="1">
        <x:v>34280</x:v>
      </x:c>
      <x:c r="AH19" s="1"/>
      <x:c r="AI19" s="1" t="s">
        <x:v>82</x:v>
      </x:c>
      <x:c r="AJ19" s="1" t="s">
        <x:v>83</x:v>
      </x:c>
      <x:c r="AK19" s="1">
        <x:v>3.9750000000000001</x:v>
      </x:c>
      <x:c r="AL19" s="1">
        <x:v>125690</x:v>
      </x:c>
      <x:c r="AM19" s="1"/>
      <x:c r="AN19" s="1"/>
      <x:c r="AO19" s="1"/>
      <x:c r="AP19" s="1"/>
      <x:c r="AQ19" s="1"/>
      <x:c r="AR19" s="1"/>
    </x:row>
    <x:row r="20">
      <x:c r="A20" s="1"/>
      <x:c r="B20" s="1"/>
      <x:c r="C20" s="1"/>
      <x:c r="D20" s="1"/>
      <x:c r="E20" s="1"/>
      <x:c r="F20" s="1"/>
      <x:c r="G20" s="1"/>
      <x:c r="H20" s="1"/>
      <x:c r="I20" s="1"/>
      <x:c r="J20" s="1"/>
      <x:c r="K20" s="1"/>
      <x:c r="L20" s="1"/>
      <x:c r="M20" s="1"/>
      <x:c r="N20" s="1"/>
      <x:c r="O20" s="1"/>
      <x:c r="P20" s="1"/>
      <x:c r="Q20" s="1"/>
      <x:c r="R20" s="1"/>
      <x:c r="S20" s="1"/>
      <x:c r="T20" s="1"/>
      <x:c r="U20" s="1"/>
      <x:c r="V20" s="1"/>
      <x:c r="W20" s="1"/>
      <x:c r="X20" s="1"/>
      <x:c r="Y20" s="1"/>
      <x:c r="Z20" s="1"/>
      <x:c r="AA20" s="1" t="s">
        <x:v>84</x:v>
      </x:c>
      <x:c r="AB20" s="17" t="n">
        <x:f>SUMIFS('Age et sexe'!$G$4:$G$603,'Age et sexe'!$A$4:$A$603,$B$4,'Age et sexe'!$B$4:$B$603,AA20,'Age et sexe'!$D$4:$D$603,$D$4)*100</x:f>
        <x:v>12.325</x:v>
      </x:c>
      <x:c r="AC20" s="1"/>
      <x:c r="AD20" s="1" t="s">
        <x:v>85</x:v>
      </x:c>
      <x:c r="AE20" s="1" t="s">
        <x:v>86</x:v>
      </x:c>
      <x:c r="AF20" s="1">
        <x:v>8.01</x:v>
      </x:c>
      <x:c r="AG20" s="1">
        <x:v>11010</x:v>
      </x:c>
      <x:c r="AH20" s="1"/>
      <x:c r="AI20" s="1" t="s">
        <x:v>53</x:v>
      </x:c>
      <x:c r="AJ20" s="1" t="s">
        <x:v>10</x:v>
      </x:c>
      <x:c r="AK20" s="1">
        <x:v>9.23</x:v>
      </x:c>
      <x:c r="AL20" s="1">
        <x:v>15400</x:v>
      </x:c>
      <x:c r="AM20" s="1"/>
      <x:c r="AN20" s="1"/>
      <x:c r="AO20" s="1"/>
      <x:c r="AP20" s="1"/>
      <x:c r="AQ20" s="1"/>
      <x:c r="AR20" s="1"/>
    </x:row>
    <x:row r="21">
      <x:c r="A21" s="1"/>
      <x:c r="B21" s="1"/>
      <x:c r="C21" s="1"/>
      <x:c r="D21" s="1"/>
      <x:c r="E21" s="1"/>
      <x:c r="F21" s="1"/>
      <x:c r="G21" s="1"/>
      <x:c r="H21" s="1"/>
      <x:c r="I21" s="1"/>
      <x:c r="J21" s="1"/>
      <x:c r="K21" s="1"/>
      <x:c r="L21" s="1"/>
      <x:c r="M21" s="1"/>
      <x:c r="N21" s="1"/>
      <x:c r="O21" s="1"/>
      <x:c r="P21" s="1"/>
      <x:c r="Q21" s="1"/>
      <x:c r="R21" s="1"/>
      <x:c r="S21" s="1"/>
      <x:c r="T21" s="1"/>
      <x:c r="U21" s="1"/>
      <x:c r="V21" s="1"/>
      <x:c r="W21" s="1"/>
      <x:c r="X21" s="1"/>
      <x:c r="Y21" s="1"/>
      <x:c r="Z21" s="1"/>
      <x:c r="AA21" s="1" t="s">
        <x:v>87</x:v>
      </x:c>
      <x:c r="AB21" s="17" t="n">
        <x:f>SUMIFS('Age et sexe'!$G$4:$G$603,'Age et sexe'!$A$4:$A$603,$B$4,'Age et sexe'!$B$4:$B$603,AA21,'Age et sexe'!$D$4:$D$603,$D$4)*100</x:f>
        <x:v>9.454</x:v>
      </x:c>
      <x:c r="AC21" s="1"/>
      <x:c r="AD21" s="1" t="s">
        <x:v>88</x:v>
      </x:c>
      <x:c r="AE21" s="1" t="s">
        <x:v>89</x:v>
      </x:c>
      <x:c r="AF21" s="1">
        <x:v>7.8680000000000003</x:v>
      </x:c>
      <x:c r="AG21" s="1">
        <x:v>13170</x:v>
      </x:c>
      <x:c r="AH21" s="1"/>
      <x:c r="AI21" s="1" t="s">
        <x:v>57</x:v>
      </x:c>
      <x:c r="AJ21" s="1" t="s">
        <x:v>14</x:v>
      </x:c>
      <x:c r="AK21" s="1">
        <x:v>8.718</x:v>
      </x:c>
      <x:c r="AL21" s="1">
        <x:v>13620</x:v>
      </x:c>
      <x:c r="AM21" s="1"/>
      <x:c r="AN21" s="1"/>
      <x:c r="AO21" s="1"/>
      <x:c r="AP21" s="1"/>
      <x:c r="AQ21" s="1"/>
      <x:c r="AR21" s="1"/>
    </x:row>
    <x:row r="22">
      <x:c r="A22" s="1"/>
      <x:c r="B22" s="1"/>
      <x:c r="C22" s="1"/>
      <x:c r="D22" s="1"/>
      <x:c r="E22" s="1"/>
      <x:c r="F22" s="1"/>
      <x:c r="G22" s="1"/>
      <x:c r="H22" s="1"/>
      <x:c r="I22" s="1"/>
      <x:c r="J22" s="1"/>
      <x:c r="K22" s="1"/>
      <x:c r="L22" s="1"/>
      <x:c r="M22" s="1"/>
      <x:c r="N22" s="1"/>
      <x:c r="O22" s="1"/>
      <x:c r="P22" s="1"/>
      <x:c r="Q22" s="1"/>
      <x:c r="R22" s="1"/>
      <x:c r="S22" s="1"/>
      <x:c r="T22" s="1"/>
      <x:c r="U22" s="1"/>
      <x:c r="V22" s="1"/>
      <x:c r="W22" s="1"/>
      <x:c r="X22" s="1"/>
      <x:c r="Y22" s="1"/>
      <x:c r="Z22" s="1"/>
      <x:c r="AA22" s="1"/>
      <x:c r="AB22" s="1"/>
      <x:c r="AC22" s="1"/>
      <x:c r="AD22" s="1" t="s">
        <x:v>90</x:v>
      </x:c>
      <x:c r="AE22" s="1" t="s">
        <x:v>10</x:v>
      </x:c>
      <x:c r="AF22" s="1">
        <x:v>10.6</x:v>
      </x:c>
      <x:c r="AG22" s="1">
        <x:v>22160</x:v>
      </x:c>
      <x:c r="AH22" s="1"/>
      <x:c r="AI22" s="1" t="s">
        <x:v>61</x:v>
      </x:c>
      <x:c r="AJ22" s="1" t="s">
        <x:v>20</x:v>
      </x:c>
      <x:c r="AK22" s="1">
        <x:v>7.47</x:v>
      </x:c>
      <x:c r="AL22" s="1">
        <x:v>30500</x:v>
      </x:c>
      <x:c r="AM22" s="1"/>
      <x:c r="AN22" s="1"/>
      <x:c r="AO22" s="1"/>
      <x:c r="AP22" s="1"/>
      <x:c r="AQ22" s="1"/>
      <x:c r="AR22" s="1"/>
    </x:row>
    <x:row r="23">
      <x:c r="A23" s="1"/>
      <x:c r="B23" s="1"/>
      <x:c r="C23" s="1"/>
      <x:c r="D23" s="1"/>
      <x:c r="E23" s="1"/>
      <x:c r="F23" s="1"/>
      <x:c r="G23" s="1"/>
      <x:c r="H23" s="1"/>
      <x:c r="I23" s="1"/>
      <x:c r="J23" s="1"/>
      <x:c r="K23" s="1"/>
      <x:c r="L23" s="1"/>
      <x:c r="M23" s="1"/>
      <x:c r="N23" s="1"/>
      <x:c r="O23" s="1"/>
      <x:c r="P23" s="1"/>
      <x:c r="Q23" s="1"/>
      <x:c r="R23" s="1"/>
      <x:c r="S23" s="1"/>
      <x:c r="T23" s="1"/>
      <x:c r="U23" s="1"/>
      <x:c r="V23" s="1"/>
      <x:c r="W23" s="1"/>
      <x:c r="X23" s="1"/>
      <x:c r="Y23" s="1"/>
      <x:c r="Z23" s="1"/>
      <x:c r="AA23" s="1"/>
      <x:c r="AB23" s="1"/>
      <x:c r="AC23" s="1"/>
      <x:c r="AD23" s="1" t="s">
        <x:v>91</x:v>
      </x:c>
      <x:c r="AE23" s="1" t="s">
        <x:v>14</x:v>
      </x:c>
      <x:c r="AF23" s="1">
        <x:v>9.7010000000000005</x:v>
      </x:c>
      <x:c r="AG23" s="1">
        <x:v>19300</x:v>
      </x:c>
      <x:c r="AH23" s="1"/>
      <x:c r="AI23" s="1" t="s">
        <x:v>65</x:v>
      </x:c>
      <x:c r="AJ23" s="1" t="s">
        <x:v>27</x:v>
      </x:c>
      <x:c r="AK23" s="1">
        <x:v>7.375</x:v>
      </x:c>
      <x:c r="AL23" s="1">
        <x:v>180140</x:v>
      </x:c>
      <x:c r="AM23" s="1"/>
      <x:c r="AN23" s="1"/>
      <x:c r="AO23" s="1"/>
      <x:c r="AP23" s="1"/>
      <x:c r="AQ23" s="1"/>
      <x:c r="AR23" s="1"/>
    </x:row>
    <x:row r="24">
      <x:c r="A24" s="1"/>
      <x:c r="B24" s="1"/>
      <x:c r="C24" s="1"/>
      <x:c r="D24" s="1"/>
      <x:c r="E24" s="1"/>
      <x:c r="F24" s="1"/>
      <x:c r="G24" s="1"/>
      <x:c r="H24" s="1"/>
      <x:c r="I24" s="1"/>
      <x:c r="J24" s="1"/>
      <x:c r="K24" s="1"/>
      <x:c r="L24" s="1"/>
      <x:c r="M24" s="1"/>
      <x:c r="N24" s="1"/>
      <x:c r="O24" s="1"/>
      <x:c r="P24" s="1"/>
      <x:c r="Q24" s="1"/>
      <x:c r="R24" s="1"/>
      <x:c r="S24" s="1"/>
      <x:c r="T24" s="1"/>
      <x:c r="U24" s="1"/>
      <x:c r="V24" s="1"/>
      <x:c r="W24" s="1"/>
      <x:c r="X24" s="1"/>
      <x:c r="Y24" s="1"/>
      <x:c r="Z24" s="1"/>
      <x:c r="AA24" s="1"/>
      <x:c r="AB24" s="1"/>
      <x:c r="AC24" s="1"/>
      <x:c r="AD24" s="1" t="s">
        <x:v>92</x:v>
      </x:c>
      <x:c r="AE24" s="1" t="s">
        <x:v>20</x:v>
      </x:c>
      <x:c r="AF24" s="1">
        <x:v>8.4700000000000006</x:v>
      </x:c>
      <x:c r="AG24" s="1">
        <x:v>37930</x:v>
      </x:c>
      <x:c r="AH24" s="1"/>
      <x:c r="AI24" s="1" t="s">
        <x:v>69</x:v>
      </x:c>
      <x:c r="AJ24" s="1" t="s">
        <x:v>39</x:v>
      </x:c>
      <x:c r="AK24" s="1">
        <x:v>7.0469999999999997</x:v>
      </x:c>
      <x:c r="AL24" s="1">
        <x:v>82940</x:v>
      </x:c>
      <x:c r="AM24" s="1"/>
      <x:c r="AN24" s="1"/>
      <x:c r="AO24" s="1"/>
      <x:c r="AP24" s="1"/>
      <x:c r="AQ24" s="1"/>
      <x:c r="AR24" s="1"/>
    </x:row>
    <x:row r="25" ht="7.949999809265137" customHeight="1">
      <x:c r="A25" s="57"/>
      <x:c r="B25" s="57"/>
      <x:c r="C25" s="57"/>
      <x:c r="D25" s="57"/>
      <x:c r="E25" s="57"/>
      <x:c r="F25" s="57"/>
      <x:c r="G25" s="57"/>
      <x:c r="H25" s="57"/>
      <x:c r="I25" s="57"/>
      <x:c r="J25" s="57"/>
      <x:c r="K25" s="57"/>
      <x:c r="L25" s="57"/>
      <x:c r="M25" s="1"/>
      <x:c r="N25" s="1"/>
      <x:c r="O25" s="1"/>
      <x:c r="P25" s="1"/>
      <x:c r="Q25" s="1"/>
      <x:c r="R25" s="1"/>
      <x:c r="S25" s="1"/>
      <x:c r="T25" s="1"/>
      <x:c r="U25" s="1"/>
      <x:c r="V25" s="1"/>
      <x:c r="W25" s="1"/>
      <x:c r="X25" s="1"/>
      <x:c r="Y25" s="1"/>
      <x:c r="Z25" s="1"/>
      <x:c r="AA25" s="1"/>
      <x:c r="AB25" s="1"/>
      <x:c r="AC25" s="1"/>
      <x:c r="AD25" s="1" t="s">
        <x:v>93</x:v>
      </x:c>
      <x:c r="AE25" s="1" t="s">
        <x:v>19</x:v>
      </x:c>
      <x:c r="AF25" s="1">
        <x:v>7.335</x:v>
      </x:c>
      <x:c r="AG25" s="1">
        <x:v>7650</x:v>
      </x:c>
      <x:c r="AH25" s="1"/>
      <x:c r="AI25" s="1" t="s">
        <x:v>73</x:v>
      </x:c>
      <x:c r="AJ25" s="1" t="s">
        <x:v>43</x:v>
      </x:c>
      <x:c r="AK25" s="1">
        <x:v>7.0289999999999999</x:v>
      </x:c>
      <x:c r="AL25" s="1">
        <x:v>9380</x:v>
      </x:c>
      <x:c r="AM25" s="1"/>
      <x:c r="AN25" s="1"/>
      <x:c r="AO25" s="1"/>
      <x:c r="AP25" s="1"/>
      <x:c r="AQ25" s="1"/>
      <x:c r="AR25" s="1"/>
    </x:row>
    <x:row r="26">
      <x:c r="A26" s="1"/>
      <x:c r="B26" s="1"/>
      <x:c r="C26" s="1"/>
      <x:c r="D26" s="1"/>
      <x:c r="E26" s="1"/>
      <x:c r="F26" s="1"/>
      <x:c r="G26" s="1"/>
      <x:c r="H26" s="1"/>
      <x:c r="I26" s="1"/>
      <x:c r="J26" s="1"/>
      <x:c r="K26" s="1"/>
      <x:c r="L26" s="1"/>
      <x:c r="M26" s="1"/>
      <x:c r="N26" s="1"/>
      <x:c r="O26" s="1"/>
      <x:c r="P26" s="1"/>
      <x:c r="Q26" s="1"/>
      <x:c r="R26" s="1"/>
      <x:c r="S26" s="1"/>
      <x:c r="T26" s="1"/>
      <x:c r="U26" s="1"/>
      <x:c r="V26" s="1"/>
      <x:c r="W26" s="1"/>
      <x:c r="X26" s="1"/>
      <x:c r="Y26" s="1"/>
      <x:c r="Z26" s="1"/>
      <x:c r="AA26" s="1"/>
      <x:c r="AB26" s="1"/>
      <x:c r="AC26" s="1"/>
      <x:c r="AD26" s="1" t="s">
        <x:v>94</x:v>
      </x:c>
      <x:c r="AE26" s="1" t="s">
        <x:v>30</x:v>
      </x:c>
      <x:c r="AF26" s="1">
        <x:v>6.8209999999999997</x:v>
      </x:c>
      <x:c r="AG26" s="1">
        <x:v>3920</x:v>
      </x:c>
      <x:c r="AH26" s="1"/>
      <x:c r="AI26" s="1" t="s">
        <x:v>77</x:v>
      </x:c>
      <x:c r="AJ26" s="1" t="s">
        <x:v>35</x:v>
      </x:c>
      <x:c r="AK26" s="1">
        <x:v>7.0270000000000001</x:v>
      </x:c>
      <x:c r="AL26" s="1">
        <x:v>90260</x:v>
      </x:c>
      <x:c r="AM26" s="1"/>
      <x:c r="AN26" s="1"/>
      <x:c r="AO26" s="1"/>
      <x:c r="AP26" s="1"/>
      <x:c r="AQ26" s="1"/>
      <x:c r="AR26" s="1"/>
    </x:row>
    <x:row r="27">
      <x:c r="A27" s="56" t="str">
        <x:f>"TOP 5 DÉPARTEMENTS  - "&amp;$B$4&amp;" - "&amp;$D$4</x:f>
        <x:v>TOP 5 DÉPARTEMENTS  - 2015 - femmes</x:v>
      </x:c>
      <x:c r="B27" s="56"/>
      <x:c r="C27" s="56"/>
      <x:c r="D27" s="56"/>
      <x:c r="E27" s="56"/>
      <x:c r="F27" s="56"/>
      <x:c r="G27" s="56" t="str">
        <x:f>"TOP 8 RÉGIONS - "&amp;$B$4&amp;" - "&amp;$D$4</x:f>
        <x:v>TOP 8 RÉGIONS - 2015 - femmes</x:v>
      </x:c>
      <x:c r="H27" s="56"/>
      <x:c r="I27" s="56"/>
      <x:c r="J27" s="56"/>
      <x:c r="K27" s="56"/>
      <x:c r="L27" s="56"/>
      <x:c r="M27" s="1"/>
      <x:c r="N27" s="1"/>
      <x:c r="O27" s="1"/>
      <x:c r="P27" s="1"/>
      <x:c r="Q27" s="1"/>
      <x:c r="R27" s="1"/>
      <x:c r="S27" s="1"/>
      <x:c r="T27" s="1"/>
      <x:c r="U27" s="1"/>
      <x:c r="V27" s="1"/>
      <x:c r="W27" s="1"/>
      <x:c r="X27" s="1"/>
      <x:c r="Y27" s="1"/>
      <x:c r="Z27" s="1"/>
      <x:c r="AA27" s="1"/>
      <x:c r="AB27" s="1"/>
      <x:c r="AC27" s="1"/>
      <x:c r="AD27" s="1" t="s">
        <x:v>95</x:v>
      </x:c>
      <x:c r="AE27" s="1" t="s">
        <x:v>38</x:v>
      </x:c>
      <x:c r="AF27" s="1">
        <x:v>6.5289999999999999</x:v>
      </x:c>
      <x:c r="AG27" s="1">
        <x:v>30470</x:v>
      </x:c>
      <x:c r="AH27" s="1"/>
      <x:c r="AI27" s="1" t="s">
        <x:v>81</x:v>
      </x:c>
      <x:c r="AJ27" s="1" t="s">
        <x:v>31</x:v>
      </x:c>
      <x:c r="AK27" s="1">
        <x:v>6.96</x:v>
      </x:c>
      <x:c r="AL27" s="1">
        <x:v>191840</x:v>
      </x:c>
      <x:c r="AM27" s="1"/>
      <x:c r="AN27" s="1"/>
      <x:c r="AO27" s="1"/>
      <x:c r="AP27" s="1"/>
      <x:c r="AQ27" s="1"/>
      <x:c r="AR27" s="1"/>
    </x:row>
    <x:row r="28">
      <x:c r="A28" s="1"/>
      <x:c r="B28" s="1"/>
      <x:c r="C28" s="1"/>
      <x:c r="D28" s="1"/>
      <x:c r="E28" s="1"/>
      <x:c r="F28" s="1"/>
      <x:c r="G28" s="1"/>
      <x:c r="H28" s="1"/>
      <x:c r="I28" s="1"/>
      <x:c r="J28" s="1"/>
      <x:c r="K28" s="1"/>
      <x:c r="L28" s="1"/>
      <x:c r="M28" s="1"/>
      <x:c r="N28" s="1"/>
      <x:c r="O28" s="1"/>
      <x:c r="P28" s="1"/>
      <x:c r="Q28" s="1"/>
      <x:c r="R28" s="1"/>
      <x:c r="S28" s="1"/>
      <x:c r="T28" s="1"/>
      <x:c r="U28" s="1"/>
      <x:c r="V28" s="1"/>
      <x:c r="W28" s="1"/>
      <x:c r="X28" s="1"/>
      <x:c r="Y28" s="1"/>
      <x:c r="Z28" s="1"/>
      <x:c r="AA28" s="1"/>
      <x:c r="AB28" s="1"/>
      <x:c r="AC28" s="1"/>
      <x:c r="AD28" s="1" t="s">
        <x:v>96</x:v>
      </x:c>
      <x:c r="AE28" s="1" t="s">
        <x:v>97</x:v>
      </x:c>
      <x:c r="AF28" s="1">
        <x:v>6.4880000000000004</x:v>
      </x:c>
      <x:c r="AG28" s="1">
        <x:v>8910</x:v>
      </x:c>
      <x:c r="AH28" s="1"/>
      <x:c r="AI28" s="1" t="s">
        <x:v>85</x:v>
      </x:c>
      <x:c r="AJ28" s="1" t="s">
        <x:v>47</x:v>
      </x:c>
      <x:c r="AK28" s="1">
        <x:v>6.77</x:v>
      </x:c>
      <x:c r="AL28" s="1">
        <x:v>159500</x:v>
      </x:c>
      <x:c r="AM28" s="1"/>
      <x:c r="AN28" s="1"/>
      <x:c r="AO28" s="1"/>
      <x:c r="AP28" s="1"/>
      <x:c r="AQ28" s="1"/>
      <x:c r="AR28" s="1"/>
    </x:row>
    <x:row r="29">
      <x:c r="A29" s="1"/>
      <x:c r="B29" s="1"/>
      <x:c r="C29" s="1"/>
      <x:c r="D29" s="1"/>
      <x:c r="E29" s="1"/>
      <x:c r="F29" s="1"/>
      <x:c r="G29" s="1"/>
      <x:c r="H29" s="1"/>
      <x:c r="I29" s="1"/>
      <x:c r="J29" s="1"/>
      <x:c r="K29" s="1"/>
      <x:c r="L29" s="1"/>
      <x:c r="M29" s="1"/>
      <x:c r="N29" s="1"/>
      <x:c r="O29" s="1"/>
      <x:c r="P29" s="1"/>
      <x:c r="Q29" s="1"/>
      <x:c r="R29" s="1"/>
      <x:c r="S29" s="1"/>
      <x:c r="T29" s="1"/>
      <x:c r="U29" s="1"/>
      <x:c r="V29" s="1"/>
      <x:c r="W29" s="1"/>
      <x:c r="X29" s="1"/>
      <x:c r="Y29" s="1"/>
      <x:c r="Z29" s="1"/>
      <x:c r="AA29" s="1"/>
      <x:c r="AB29" s="1"/>
      <x:c r="AC29" s="1"/>
      <x:c r="AD29" s="1" t="s">
        <x:v>98</x:v>
      </x:c>
      <x:c r="AE29" s="1" t="s">
        <x:v>34</x:v>
      </x:c>
      <x:c r="AF29" s="1">
        <x:v>6.4530000000000003</x:v>
      </x:c>
      <x:c r="AG29" s="1">
        <x:v>7160</x:v>
      </x:c>
      <x:c r="AH29" s="1"/>
      <x:c r="AI29" s="1" t="s">
        <x:v>88</x:v>
      </x:c>
      <x:c r="AJ29" s="1" t="s">
        <x:v>51</x:v>
      </x:c>
      <x:c r="AK29" s="1">
        <x:v>6.53</x:v>
      </x:c>
      <x:c r="AL29" s="1">
        <x:v>175830</x:v>
      </x:c>
      <x:c r="AM29" s="1"/>
      <x:c r="AN29" s="1"/>
      <x:c r="AO29" s="1"/>
      <x:c r="AP29" s="1"/>
      <x:c r="AQ29" s="1"/>
      <x:c r="AR29" s="1"/>
    </x:row>
    <x:row r="30">
      <x:c r="A30" s="1"/>
      <x:c r="B30" s="1"/>
      <x:c r="C30" s="1"/>
      <x:c r="D30" s="1"/>
      <x:c r="E30" s="1"/>
      <x:c r="F30" s="1"/>
      <x:c r="G30" s="1"/>
      <x:c r="H30" s="1"/>
      <x:c r="I30" s="1"/>
      <x:c r="J30" s="1"/>
      <x:c r="K30" s="1"/>
      <x:c r="L30" s="1"/>
      <x:c r="M30" s="1"/>
      <x:c r="N30" s="1"/>
      <x:c r="O30" s="1"/>
      <x:c r="P30" s="1"/>
      <x:c r="Q30" s="1"/>
      <x:c r="R30" s="1"/>
      <x:c r="S30" s="1"/>
      <x:c r="T30" s="1"/>
      <x:c r="U30" s="1"/>
      <x:c r="V30" s="1"/>
      <x:c r="W30" s="1"/>
      <x:c r="X30" s="1"/>
      <x:c r="Y30" s="1"/>
      <x:c r="Z30" s="1"/>
      <x:c r="AA30" s="1"/>
      <x:c r="AB30" s="1"/>
      <x:c r="AC30" s="1"/>
      <x:c r="AD30" s="1" t="s">
        <x:v>99</x:v>
      </x:c>
      <x:c r="AE30" s="1" t="s">
        <x:v>50</x:v>
      </x:c>
      <x:c r="AF30" s="1">
        <x:v>6.3689999999999998</x:v>
      </x:c>
      <x:c r="AG30" s="1">
        <x:v>17010</x:v>
      </x:c>
      <x:c r="AH30" s="1"/>
      <x:c r="AI30" s="1" t="s">
        <x:v>100</x:v>
      </x:c>
      <x:c r="AJ30" s="1" t="s">
        <x:v>59</x:v>
      </x:c>
      <x:c r="AK30" s="1">
        <x:v>6.3879999999999999</x:v>
      </x:c>
      <x:c r="AL30" s="1">
        <x:v>169570</x:v>
      </x:c>
      <x:c r="AM30" s="1"/>
      <x:c r="AN30" s="1"/>
      <x:c r="AO30" s="1"/>
      <x:c r="AP30" s="1"/>
      <x:c r="AQ30" s="1"/>
      <x:c r="AR30" s="1"/>
    </x:row>
    <x:row r="31">
      <x:c r="A31" s="1"/>
      <x:c r="B31" s="1"/>
      <x:c r="C31" s="1"/>
      <x:c r="D31" s="1"/>
      <x:c r="E31" s="1"/>
      <x:c r="F31" s="1"/>
      <x:c r="G31" s="1"/>
      <x:c r="H31" s="1"/>
      <x:c r="I31" s="1"/>
      <x:c r="J31" s="1"/>
      <x:c r="K31" s="1"/>
      <x:c r="L31" s="1"/>
      <x:c r="M31" s="1"/>
      <x:c r="N31" s="1"/>
      <x:c r="O31" s="1"/>
      <x:c r="P31" s="1"/>
      <x:c r="Q31" s="1"/>
      <x:c r="R31" s="1"/>
      <x:c r="S31" s="1"/>
      <x:c r="T31" s="1"/>
      <x:c r="U31" s="1"/>
      <x:c r="V31" s="1"/>
      <x:c r="W31" s="1"/>
      <x:c r="X31" s="1"/>
      <x:c r="Y31" s="1"/>
      <x:c r="Z31" s="1"/>
      <x:c r="AA31" s="1"/>
      <x:c r="AB31" s="1"/>
      <x:c r="AC31" s="1"/>
      <x:c r="AD31" s="1" t="s">
        <x:v>101</x:v>
      </x:c>
      <x:c r="AE31" s="1" t="s">
        <x:v>42</x:v>
      </x:c>
      <x:c r="AF31" s="1">
        <x:v>6.2480000000000002</x:v>
      </x:c>
      <x:c r="AG31" s="1">
        <x:v>10610</x:v>
      </x:c>
      <x:c r="AH31" s="1"/>
      <x:c r="AI31" s="1" t="s">
        <x:v>102</x:v>
      </x:c>
      <x:c r="AJ31" s="1" t="s">
        <x:v>55</x:v>
      </x:c>
      <x:c r="AK31" s="1">
        <x:v>6.375</x:v>
      </x:c>
      <x:c r="AL31" s="1">
        <x:v>97170</x:v>
      </x:c>
      <x:c r="AM31" s="1"/>
      <x:c r="AN31" s="1"/>
      <x:c r="AO31" s="1"/>
      <x:c r="AP31" s="1"/>
      <x:c r="AQ31" s="1"/>
      <x:c r="AR31" s="1"/>
    </x:row>
    <x:row r="32">
      <x:c r="A32" s="1"/>
      <x:c r="B32" s="1"/>
      <x:c r="C32" s="1"/>
      <x:c r="D32" s="1"/>
      <x:c r="E32" s="1"/>
      <x:c r="F32" s="1"/>
      <x:c r="G32" s="1"/>
      <x:c r="H32" s="1"/>
      <x:c r="I32" s="1"/>
      <x:c r="J32" s="1"/>
      <x:c r="K32" s="1"/>
      <x:c r="L32" s="1"/>
      <x:c r="M32" s="1"/>
      <x:c r="N32" s="1"/>
      <x:c r="O32" s="1"/>
      <x:c r="P32" s="1"/>
      <x:c r="Q32" s="1"/>
      <x:c r="R32" s="1"/>
      <x:c r="S32" s="1"/>
      <x:c r="T32" s="1"/>
      <x:c r="U32" s="1"/>
      <x:c r="V32" s="1"/>
      <x:c r="W32" s="1"/>
      <x:c r="X32" s="1"/>
      <x:c r="Y32" s="1"/>
      <x:c r="Z32" s="1"/>
      <x:c r="AA32" s="1"/>
      <x:c r="AB32" s="1"/>
      <x:c r="AC32" s="1"/>
      <x:c r="AD32" s="1" t="s">
        <x:v>103</x:v>
      </x:c>
      <x:c r="AE32" s="1" t="s">
        <x:v>10</x:v>
      </x:c>
      <x:c r="AF32" s="1">
        <x:v>10.226000000000001</x:v>
      </x:c>
      <x:c r="AG32" s="1">
        <x:v>39140</x:v>
      </x:c>
      <x:c r="AH32" s="1"/>
      <x:c r="AI32" s="1" t="s">
        <x:v>104</x:v>
      </x:c>
      <x:c r="AJ32" s="1" t="s">
        <x:v>63</x:v>
      </x:c>
      <x:c r="AK32" s="1">
        <x:v>5.9889999999999999</x:v>
      </x:c>
      <x:c r="AL32" s="1">
        <x:v>215870</x:v>
      </x:c>
      <x:c r="AM32" s="1"/>
      <x:c r="AN32" s="1"/>
      <x:c r="AO32" s="1"/>
      <x:c r="AP32" s="1"/>
      <x:c r="AQ32" s="1"/>
      <x:c r="AR32" s="1"/>
    </x:row>
    <x:row r="33">
      <x:c r="A33" s="1"/>
      <x:c r="B33" s="1"/>
      <x:c r="C33" s="1"/>
      <x:c r="D33" s="1"/>
      <x:c r="E33" s="1"/>
      <x:c r="F33" s="1"/>
      <x:c r="G33" s="1"/>
      <x:c r="H33" s="1"/>
      <x:c r="I33" s="1"/>
      <x:c r="J33" s="1"/>
      <x:c r="K33" s="1"/>
      <x:c r="L33" s="1"/>
      <x:c r="M33" s="1"/>
      <x:c r="N33" s="1"/>
      <x:c r="O33" s="1"/>
      <x:c r="P33" s="1"/>
      <x:c r="Q33" s="1"/>
      <x:c r="R33" s="1"/>
      <x:c r="S33" s="1"/>
      <x:c r="T33" s="1"/>
      <x:c r="U33" s="1"/>
      <x:c r="V33" s="1"/>
      <x:c r="W33" s="1"/>
      <x:c r="X33" s="1"/>
      <x:c r="Y33" s="1"/>
      <x:c r="Z33" s="1"/>
      <x:c r="AA33" s="1"/>
      <x:c r="AB33" s="1"/>
      <x:c r="AC33" s="1"/>
      <x:c r="AD33" s="1" t="s">
        <x:v>105</x:v>
      </x:c>
      <x:c r="AE33" s="1" t="s">
        <x:v>14</x:v>
      </x:c>
      <x:c r="AF33" s="1">
        <x:v>9.4090000000000007</x:v>
      </x:c>
      <x:c r="AG33" s="1">
        <x:v>33910</x:v>
      </x:c>
      <x:c r="AH33" s="1"/>
      <x:c r="AI33" s="1" t="s">
        <x:v>106</x:v>
      </x:c>
      <x:c r="AJ33" s="1" t="s">
        <x:v>71</x:v>
      </x:c>
      <x:c r="AK33" s="1">
        <x:v>5.8949999999999996</x:v>
      </x:c>
      <x:c r="AL33" s="1">
        <x:v>322350</x:v>
      </x:c>
      <x:c r="AM33" s="1"/>
      <x:c r="AN33" s="1"/>
      <x:c r="AO33" s="1"/>
      <x:c r="AP33" s="1"/>
      <x:c r="AQ33" s="1"/>
      <x:c r="AR33" s="1"/>
    </x:row>
    <x:row r="34">
      <x:c r="A34" s="1"/>
      <x:c r="B34" s="1"/>
      <x:c r="C34" s="1"/>
      <x:c r="D34" s="1"/>
      <x:c r="E34" s="1"/>
      <x:c r="F34" s="1"/>
      <x:c r="G34" s="1"/>
      <x:c r="H34" s="1"/>
      <x:c r="I34" s="1"/>
      <x:c r="J34" s="1"/>
      <x:c r="K34" s="1"/>
      <x:c r="L34" s="1"/>
      <x:c r="M34" s="1"/>
      <x:c r="N34" s="1"/>
      <x:c r="O34" s="1"/>
      <x:c r="P34" s="1"/>
      <x:c r="Q34" s="1"/>
      <x:c r="R34" s="1"/>
      <x:c r="S34" s="1"/>
      <x:c r="T34" s="1"/>
      <x:c r="U34" s="1"/>
      <x:c r="V34" s="1"/>
      <x:c r="W34" s="1"/>
      <x:c r="X34" s="1"/>
      <x:c r="Y34" s="1"/>
      <x:c r="Z34" s="1"/>
      <x:c r="AA34" s="1"/>
      <x:c r="AB34" s="1"/>
      <x:c r="AC34" s="1"/>
      <x:c r="AD34" s="1" t="s">
        <x:v>107</x:v>
      </x:c>
      <x:c r="AE34" s="1" t="s">
        <x:v>19</x:v>
      </x:c>
      <x:c r="AF34" s="1">
        <x:v>8.5809999999999995</x:v>
      </x:c>
      <x:c r="AG34" s="1">
        <x:v>17050</x:v>
      </x:c>
      <x:c r="AH34" s="1"/>
      <x:c r="AI34" s="1" t="s">
        <x:v>108</x:v>
      </x:c>
      <x:c r="AJ34" s="1" t="s">
        <x:v>79</x:v>
      </x:c>
      <x:c r="AK34" s="1">
        <x:v>5.3479999999999999</x:v>
      </x:c>
      <x:c r="AL34" s="1">
        <x:v>92490</x:v>
      </x:c>
      <x:c r="AM34" s="1"/>
      <x:c r="AN34" s="1"/>
      <x:c r="AO34" s="1"/>
      <x:c r="AP34" s="1"/>
      <x:c r="AQ34" s="1"/>
      <x:c r="AR34" s="1"/>
    </x:row>
    <x:row r="35">
      <x:c r="A35" s="1"/>
      <x:c r="B35" s="1"/>
      <x:c r="C35" s="1"/>
      <x:c r="D35" s="1"/>
      <x:c r="E35" s="1"/>
      <x:c r="F35" s="1"/>
      <x:c r="G35" s="1"/>
      <x:c r="H35" s="1"/>
      <x:c r="I35" s="1"/>
      <x:c r="J35" s="1"/>
      <x:c r="K35" s="1"/>
      <x:c r="L35" s="1"/>
      <x:c r="M35" s="1"/>
      <x:c r="N35" s="1"/>
      <x:c r="O35" s="1"/>
      <x:c r="P35" s="1"/>
      <x:c r="Q35" s="1"/>
      <x:c r="R35" s="1"/>
      <x:c r="S35" s="1"/>
      <x:c r="T35" s="1"/>
      <x:c r="U35" s="1"/>
      <x:c r="V35" s="1"/>
      <x:c r="W35" s="1"/>
      <x:c r="X35" s="1"/>
      <x:c r="Y35" s="1"/>
      <x:c r="Z35" s="1"/>
      <x:c r="AA35" s="1"/>
      <x:c r="AB35" s="1"/>
      <x:c r="AC35" s="1"/>
      <x:c r="AD35" s="1" t="s">
        <x:v>109</x:v>
      </x:c>
      <x:c r="AE35" s="1" t="s">
        <x:v>20</x:v>
      </x:c>
      <x:c r="AF35" s="1">
        <x:v>8.1039999999999992</x:v>
      </x:c>
      <x:c r="AG35" s="1">
        <x:v>71040</x:v>
      </x:c>
      <x:c r="AH35" s="1"/>
      <x:c r="AI35" s="1" t="s">
        <x:v>110</x:v>
      </x:c>
      <x:c r="AJ35" s="1" t="s">
        <x:v>75</x:v>
      </x:c>
      <x:c r="AK35" s="1">
        <x:v>4.8109999999999999</x:v>
      </x:c>
      <x:c r="AL35" s="1">
        <x:v>1990</x:v>
      </x:c>
      <x:c r="AM35" s="1"/>
      <x:c r="AN35" s="1"/>
      <x:c r="AO35" s="1"/>
      <x:c r="AP35" s="1"/>
      <x:c r="AQ35" s="1"/>
      <x:c r="AR35" s="1"/>
    </x:row>
    <x:row r="36">
      <x:c r="A36" s="1"/>
      <x:c r="B36" s="1"/>
      <x:c r="C36" s="1"/>
      <x:c r="D36" s="1"/>
      <x:c r="E36" s="1"/>
      <x:c r="F36" s="1"/>
      <x:c r="G36" s="1"/>
      <x:c r="H36" s="1"/>
      <x:c r="I36" s="1"/>
      <x:c r="J36" s="1"/>
      <x:c r="K36" s="1"/>
      <x:c r="L36" s="1"/>
      <x:c r="M36" s="1"/>
      <x:c r="N36" s="1"/>
      <x:c r="O36" s="1"/>
      <x:c r="P36" s="1"/>
      <x:c r="Q36" s="1"/>
      <x:c r="R36" s="1"/>
      <x:c r="S36" s="1"/>
      <x:c r="T36" s="1"/>
      <x:c r="U36" s="1"/>
      <x:c r="V36" s="1"/>
      <x:c r="W36" s="1"/>
      <x:c r="X36" s="1"/>
      <x:c r="Y36" s="1"/>
      <x:c r="Z36" s="1"/>
      <x:c r="AA36" s="1"/>
      <x:c r="AB36" s="1"/>
      <x:c r="AC36" s="1"/>
      <x:c r="AD36" s="1" t="s">
        <x:v>111</x:v>
      </x:c>
      <x:c r="AE36" s="1" t="s">
        <x:v>30</x:v>
      </x:c>
      <x:c r="AF36" s="1">
        <x:v>8.0380000000000003</x:v>
      </x:c>
      <x:c r="AG36" s="1">
        <x:v>8860</x:v>
      </x:c>
      <x:c r="AH36" s="1"/>
      <x:c r="AI36" s="1" t="s">
        <x:v>112</x:v>
      </x:c>
      <x:c r="AJ36" s="1" t="s">
        <x:v>67</x:v>
      </x:c>
      <x:c r="AK36" s="1">
        <x:v>4.8070000000000004</x:v>
      </x:c>
      <x:c r="AL36" s="1">
        <x:v>3950</x:v>
      </x:c>
      <x:c r="AM36" s="1"/>
      <x:c r="AN36" s="1"/>
      <x:c r="AO36" s="1"/>
      <x:c r="AP36" s="1"/>
      <x:c r="AQ36" s="1"/>
      <x:c r="AR36" s="1"/>
    </x:row>
    <x:row r="37">
      <x:c r="A37" s="1"/>
      <x:c r="B37" s="1"/>
      <x:c r="C37" s="1"/>
      <x:c r="D37" s="1"/>
      <x:c r="E37" s="1"/>
      <x:c r="F37" s="1"/>
      <x:c r="G37" s="1"/>
      <x:c r="H37" s="1"/>
      <x:c r="I37" s="1"/>
      <x:c r="J37" s="1"/>
      <x:c r="K37" s="1"/>
      <x:c r="L37" s="1"/>
      <x:c r="M37" s="1"/>
      <x:c r="N37" s="1"/>
      <x:c r="O37" s="1"/>
      <x:c r="P37" s="1"/>
      <x:c r="Q37" s="1"/>
      <x:c r="R37" s="1"/>
      <x:c r="S37" s="1"/>
      <x:c r="T37" s="1"/>
      <x:c r="U37" s="1"/>
      <x:c r="V37" s="1"/>
      <x:c r="W37" s="1"/>
      <x:c r="X37" s="1"/>
      <x:c r="Y37" s="1"/>
      <x:c r="Z37" s="1"/>
      <x:c r="AA37" s="1"/>
      <x:c r="AB37" s="1"/>
      <x:c r="AC37" s="1"/>
      <x:c r="AD37" s="1" t="s">
        <x:v>113</x:v>
      </x:c>
      <x:c r="AE37" s="1" t="s">
        <x:v>34</x:v>
      </x:c>
      <x:c r="AF37" s="1">
        <x:v>7.5149999999999997</x:v>
      </x:c>
      <x:c r="AG37" s="1">
        <x:v>16010</x:v>
      </x:c>
      <x:c r="AH37" s="1"/>
      <x:c r="AI37" s="1" t="s">
        <x:v>114</x:v>
      </x:c>
      <x:c r="AJ37" s="1" t="s">
        <x:v>83</x:v>
      </x:c>
      <x:c r="AK37" s="1">
        <x:v>4.6500000000000004</x:v>
      </x:c>
      <x:c r="AL37" s="1">
        <x:v>70410</x:v>
      </x:c>
      <x:c r="AM37" s="1"/>
      <x:c r="AN37" s="1"/>
      <x:c r="AO37" s="1"/>
      <x:c r="AP37" s="1"/>
      <x:c r="AQ37" s="1"/>
      <x:c r="AR37" s="1"/>
    </x:row>
    <x:row r="38">
      <x:c r="A38" s="1"/>
      <x:c r="B38" s="1"/>
      <x:c r="C38" s="1"/>
      <x:c r="D38" s="1"/>
      <x:c r="E38" s="1"/>
      <x:c r="F38" s="1"/>
      <x:c r="G38" s="1"/>
      <x:c r="H38" s="1"/>
      <x:c r="I38" s="1"/>
      <x:c r="J38" s="1"/>
      <x:c r="K38" s="1"/>
      <x:c r="L38" s="1"/>
      <x:c r="M38" s="1"/>
      <x:c r="N38" s="1"/>
      <x:c r="O38" s="1"/>
      <x:c r="P38" s="1"/>
      <x:c r="Q38" s="1"/>
      <x:c r="R38" s="1"/>
      <x:c r="S38" s="1"/>
      <x:c r="T38" s="1"/>
      <x:c r="U38" s="1"/>
      <x:c r="V38" s="1"/>
      <x:c r="W38" s="1"/>
      <x:c r="X38" s="1"/>
      <x:c r="Y38" s="1"/>
      <x:c r="Z38" s="1"/>
      <x:c r="AA38" s="1"/>
      <x:c r="AB38" s="1"/>
      <x:c r="AC38" s="1"/>
      <x:c r="AD38" s="1" t="s">
        <x:v>115</x:v>
      </x:c>
      <x:c r="AE38" s="1" t="s">
        <x:v>38</x:v>
      </x:c>
      <x:c r="AF38" s="1">
        <x:v>7.3410000000000002</x:v>
      </x:c>
      <x:c r="AG38" s="1">
        <x:v>66360</x:v>
      </x:c>
      <x:c r="AH38" s="1"/>
      <x:c r="AI38" s="1" t="s">
        <x:v>90</x:v>
      </x:c>
      <x:c r="AJ38" s="1" t="s">
        <x:v>10</x:v>
      </x:c>
      <x:c r="AK38" s="1">
        <x:v>10.6</x:v>
      </x:c>
      <x:c r="AL38" s="1">
        <x:v>22160</x:v>
      </x:c>
      <x:c r="AM38" s="1"/>
      <x:c r="AN38" s="1"/>
      <x:c r="AO38" s="1"/>
      <x:c r="AP38" s="1"/>
      <x:c r="AQ38" s="1"/>
      <x:c r="AR38" s="1"/>
    </x:row>
    <x:row r="39">
      <x:c r="A39" s="1"/>
      <x:c r="B39" s="1"/>
      <x:c r="C39" s="1"/>
      <x:c r="D39" s="1"/>
      <x:c r="E39" s="1"/>
      <x:c r="F39" s="1"/>
      <x:c r="G39" s="1"/>
      <x:c r="H39" s="1"/>
      <x:c r="I39" s="1"/>
      <x:c r="J39" s="1"/>
      <x:c r="K39" s="1"/>
      <x:c r="L39" s="1"/>
      <x:c r="M39" s="1"/>
      <x:c r="N39" s="1"/>
      <x:c r="O39" s="1"/>
      <x:c r="P39" s="1"/>
      <x:c r="Q39" s="1"/>
      <x:c r="R39" s="1"/>
      <x:c r="S39" s="1"/>
      <x:c r="T39" s="1"/>
      <x:c r="U39" s="1"/>
      <x:c r="V39" s="1"/>
      <x:c r="W39" s="1"/>
      <x:c r="X39" s="1"/>
      <x:c r="Y39" s="1"/>
      <x:c r="Z39" s="1"/>
      <x:c r="AA39" s="1"/>
      <x:c r="AB39" s="1"/>
      <x:c r="AC39" s="1"/>
      <x:c r="AD39" s="1" t="s">
        <x:v>116</x:v>
      </x:c>
      <x:c r="AE39" s="1" t="s">
        <x:v>42</x:v>
      </x:c>
      <x:c r="AF39" s="1">
        <x:v>7.2519999999999998</x:v>
      </x:c>
      <x:c r="AG39" s="1">
        <x:v>23800</x:v>
      </x:c>
      <x:c r="AH39" s="1"/>
      <x:c r="AI39" s="1" t="s">
        <x:v>91</x:v>
      </x:c>
      <x:c r="AJ39" s="1" t="s">
        <x:v>14</x:v>
      </x:c>
      <x:c r="AK39" s="1">
        <x:v>9.7010000000000005</x:v>
      </x:c>
      <x:c r="AL39" s="1">
        <x:v>19300</x:v>
      </x:c>
      <x:c r="AM39" s="1"/>
      <x:c r="AN39" s="1"/>
      <x:c r="AO39" s="1"/>
      <x:c r="AP39" s="1"/>
      <x:c r="AQ39" s="1"/>
      <x:c r="AR39" s="1"/>
    </x:row>
    <x:row r="40">
      <x:c r="A40" s="1"/>
      <x:c r="B40" s="1"/>
      <x:c r="C40" s="1"/>
      <x:c r="D40" s="1"/>
      <x:c r="E40" s="1"/>
      <x:c r="F40" s="1"/>
      <x:c r="G40" s="1"/>
      <x:c r="H40" s="1"/>
      <x:c r="I40" s="1"/>
      <x:c r="J40" s="1"/>
      <x:c r="K40" s="1"/>
      <x:c r="L40" s="1"/>
      <x:c r="M40" s="1"/>
      <x:c r="N40" s="1"/>
      <x:c r="O40" s="1"/>
      <x:c r="P40" s="1"/>
      <x:c r="Q40" s="1"/>
      <x:c r="R40" s="1"/>
      <x:c r="S40" s="1"/>
      <x:c r="T40" s="1"/>
      <x:c r="U40" s="1"/>
      <x:c r="V40" s="1"/>
      <x:c r="W40" s="1"/>
      <x:c r="X40" s="1"/>
      <x:c r="Y40" s="1"/>
      <x:c r="Z40" s="1"/>
      <x:c r="AA40" s="1"/>
      <x:c r="AB40" s="1"/>
      <x:c r="AC40" s="1"/>
      <x:c r="AD40" s="1" t="s">
        <x:v>117</x:v>
      </x:c>
      <x:c r="AE40" s="1" t="s">
        <x:v>46</x:v>
      </x:c>
      <x:c r="AF40" s="1">
        <x:v>7.2220000000000004</x:v>
      </x:c>
      <x:c r="AG40" s="1">
        <x:v>23640</x:v>
      </x:c>
      <x:c r="AH40" s="1"/>
      <x:c r="AI40" s="1" t="s">
        <x:v>92</x:v>
      </x:c>
      <x:c r="AJ40" s="1" t="s">
        <x:v>20</x:v>
      </x:c>
      <x:c r="AK40" s="1">
        <x:v>8.4700000000000006</x:v>
      </x:c>
      <x:c r="AL40" s="1">
        <x:v>37930</x:v>
      </x:c>
      <x:c r="AM40" s="1"/>
      <x:c r="AN40" s="1"/>
      <x:c r="AO40" s="1"/>
      <x:c r="AP40" s="1"/>
      <x:c r="AQ40" s="1"/>
      <x:c r="AR40" s="1"/>
    </x:row>
    <x:row r="41">
      <x:c r="A41" s="1"/>
      <x:c r="B41" s="1"/>
      <x:c r="C41" s="1"/>
      <x:c r="D41" s="1"/>
      <x:c r="E41" s="1"/>
      <x:c r="F41" s="1"/>
      <x:c r="G41" s="1"/>
      <x:c r="H41" s="1"/>
      <x:c r="I41" s="1"/>
      <x:c r="J41" s="1"/>
      <x:c r="K41" s="1"/>
      <x:c r="L41" s="1"/>
      <x:c r="M41" s="1"/>
      <x:c r="N41" s="1"/>
      <x:c r="O41" s="1"/>
      <x:c r="P41" s="1"/>
      <x:c r="Q41" s="1"/>
      <x:c r="R41" s="1"/>
      <x:c r="S41" s="1"/>
      <x:c r="T41" s="1"/>
      <x:c r="U41" s="1"/>
      <x:c r="V41" s="1"/>
      <x:c r="W41" s="1"/>
      <x:c r="X41" s="1"/>
      <x:c r="Y41" s="1"/>
      <x:c r="Z41" s="1"/>
      <x:c r="AA41" s="1"/>
      <x:c r="AB41" s="1"/>
      <x:c r="AC41" s="1"/>
      <x:c r="AD41" s="1" t="s">
        <x:v>118</x:v>
      </x:c>
      <x:c r="AE41" s="1" t="s">
        <x:v>86</x:v>
      </x:c>
      <x:c r="AF41" s="1">
        <x:v>7.1689999999999996</x:v>
      </x:c>
      <x:c r="AG41" s="1">
        <x:v>21210</x:v>
      </x:c>
      <x:c r="AH41" s="1"/>
      <x:c r="AI41" s="1" t="s">
        <x:v>93</x:v>
      </x:c>
      <x:c r="AJ41" s="1" t="s">
        <x:v>27</x:v>
      </x:c>
      <x:c r="AK41" s="1">
        <x:v>5.89</x:v>
      </x:c>
      <x:c r="AL41" s="1">
        <x:v>157120</x:v>
      </x:c>
      <x:c r="AM41" s="1"/>
      <x:c r="AN41" s="1"/>
      <x:c r="AO41" s="1"/>
      <x:c r="AP41" s="1"/>
      <x:c r="AQ41" s="1"/>
      <x:c r="AR41" s="1"/>
    </x:row>
    <x:row r="42">
      <x:c r="A42" s="1"/>
      <x:c r="B42" s="1"/>
      <x:c r="C42" s="1"/>
      <x:c r="D42" s="1"/>
      <x:c r="E42" s="1"/>
      <x:c r="F42" s="1"/>
      <x:c r="G42" s="1"/>
      <x:c r="H42" s="1"/>
      <x:c r="I42" s="1"/>
      <x:c r="J42" s="1"/>
      <x:c r="K42" s="1"/>
      <x:c r="L42" s="1"/>
      <x:c r="M42" s="1"/>
      <x:c r="N42" s="1"/>
      <x:c r="O42" s="1"/>
      <x:c r="P42" s="1"/>
      <x:c r="Q42" s="1"/>
      <x:c r="R42" s="1"/>
      <x:c r="S42" s="1"/>
      <x:c r="T42" s="1"/>
      <x:c r="U42" s="1"/>
      <x:c r="V42" s="1"/>
      <x:c r="W42" s="1"/>
      <x:c r="X42" s="1"/>
      <x:c r="Y42" s="1"/>
      <x:c r="Z42" s="1"/>
      <x:c r="AA42" s="1"/>
      <x:c r="AB42" s="1"/>
      <x:c r="AC42" s="1"/>
      <x:c r="AD42" s="1" t="s">
        <x:v>119</x:v>
      </x:c>
      <x:c r="AE42" s="1" t="s">
        <x:v>19</x:v>
      </x:c>
      <x:c r="AF42" s="1">
        <x:v>9.7780000000000005</x:v>
      </x:c>
      <x:c r="AG42" s="1">
        <x:v>9220</x:v>
      </x:c>
      <x:c r="AH42" s="1"/>
      <x:c r="AI42" s="1" t="s">
        <x:v>94</x:v>
      </x:c>
      <x:c r="AJ42" s="1" t="s">
        <x:v>31</x:v>
      </x:c>
      <x:c r="AK42" s="1">
        <x:v>5.8369999999999997</x:v>
      </x:c>
      <x:c r="AL42" s="1">
        <x:v>175250</x:v>
      </x:c>
      <x:c r="AM42" s="1"/>
      <x:c r="AN42" s="1"/>
      <x:c r="AO42" s="1"/>
      <x:c r="AP42" s="1"/>
      <x:c r="AQ42" s="1"/>
      <x:c r="AR42" s="1"/>
    </x:row>
    <x:row r="43">
      <x:c r="A43" s="1"/>
      <x:c r="B43" s="1"/>
      <x:c r="C43" s="1"/>
      <x:c r="D43" s="1"/>
      <x:c r="E43" s="1"/>
      <x:c r="F43" s="1"/>
      <x:c r="G43" s="1"/>
      <x:c r="H43" s="1"/>
      <x:c r="I43" s="1"/>
      <x:c r="J43" s="1"/>
      <x:c r="K43" s="1"/>
      <x:c r="L43" s="1"/>
      <x:c r="M43" s="1"/>
      <x:c r="N43" s="1"/>
      <x:c r="O43" s="1"/>
      <x:c r="P43" s="1"/>
      <x:c r="Q43" s="1"/>
      <x:c r="R43" s="1"/>
      <x:c r="S43" s="1"/>
      <x:c r="T43" s="1"/>
      <x:c r="U43" s="1"/>
      <x:c r="V43" s="1"/>
      <x:c r="W43" s="1"/>
      <x:c r="X43" s="1"/>
      <x:c r="Y43" s="1"/>
      <x:c r="Z43" s="1"/>
      <x:c r="AA43" s="1"/>
      <x:c r="AB43" s="1"/>
      <x:c r="AC43" s="1"/>
      <x:c r="AD43" s="1" t="s">
        <x:v>120</x:v>
      </x:c>
      <x:c r="AE43" s="1" t="s">
        <x:v>10</x:v>
      </x:c>
      <x:c r="AF43" s="1">
        <x:v>9.52</x:v>
      </x:c>
      <x:c r="AG43" s="1">
        <x:v>16270</x:v>
      </x:c>
      <x:c r="AH43" s="1"/>
      <x:c r="AI43" s="1" t="s">
        <x:v>95</x:v>
      </x:c>
      <x:c r="AJ43" s="1" t="s">
        <x:v>35</x:v>
      </x:c>
      <x:c r="AK43" s="1">
        <x:v>5.5090000000000003</x:v>
      </x:c>
      <x:c r="AL43" s="1">
        <x:v>76950</x:v>
      </x:c>
      <x:c r="AM43" s="1"/>
      <x:c r="AN43" s="1"/>
      <x:c r="AO43" s="1"/>
      <x:c r="AP43" s="1"/>
      <x:c r="AQ43" s="1"/>
      <x:c r="AR43" s="1"/>
    </x:row>
    <x:row r="44">
      <x:c r="A44" s="1"/>
      <x:c r="B44" s="1"/>
      <x:c r="C44" s="1"/>
      <x:c r="D44" s="1"/>
      <x:c r="E44" s="1"/>
      <x:c r="F44" s="1"/>
      <x:c r="G44" s="1"/>
      <x:c r="H44" s="1"/>
      <x:c r="I44" s="1"/>
      <x:c r="J44" s="1"/>
      <x:c r="K44" s="1"/>
      <x:c r="L44" s="1"/>
      <x:c r="M44" s="1"/>
      <x:c r="N44" s="1"/>
      <x:c r="O44" s="1"/>
      <x:c r="P44" s="1"/>
      <x:c r="Q44" s="1"/>
      <x:c r="R44" s="1"/>
      <x:c r="S44" s="1"/>
      <x:c r="T44" s="1"/>
      <x:c r="U44" s="1"/>
      <x:c r="V44" s="1"/>
      <x:c r="W44" s="1"/>
      <x:c r="X44" s="1"/>
      <x:c r="Y44" s="1"/>
      <x:c r="Z44" s="1"/>
      <x:c r="AA44" s="1"/>
      <x:c r="AB44" s="1"/>
      <x:c r="AC44" s="1"/>
      <x:c r="AD44" s="1" t="s">
        <x:v>121</x:v>
      </x:c>
      <x:c r="AE44" s="1" t="s">
        <x:v>30</x:v>
      </x:c>
      <x:c r="AF44" s="1">
        <x:v>9.1859999999999999</x:v>
      </x:c>
      <x:c r="AG44" s="1">
        <x:v>4840</x:v>
      </x:c>
      <x:c r="AH44" s="1"/>
      <x:c r="AI44" s="1" t="s">
        <x:v>96</x:v>
      </x:c>
      <x:c r="AJ44" s="1" t="s">
        <x:v>67</x:v>
      </x:c>
      <x:c r="AK44" s="1">
        <x:v>5.43</x:v>
      </x:c>
      <x:c r="AL44" s="1">
        <x:v>5260</x:v>
      </x:c>
      <x:c r="AM44" s="1"/>
      <x:c r="AN44" s="1"/>
      <x:c r="AO44" s="1"/>
      <x:c r="AP44" s="1"/>
      <x:c r="AQ44" s="1"/>
      <x:c r="AR44" s="1"/>
    </x:row>
    <x:row r="45" ht="7.949999809265137" customHeight="1">
      <x:c r="A45" s="57"/>
      <x:c r="B45" s="57"/>
      <x:c r="C45" s="57"/>
      <x:c r="D45" s="57"/>
      <x:c r="E45" s="57"/>
      <x:c r="F45" s="57"/>
      <x:c r="G45" s="57"/>
      <x:c r="H45" s="57"/>
      <x:c r="I45" s="57"/>
      <x:c r="J45" s="57"/>
      <x:c r="K45" s="57"/>
      <x:c r="L45" s="57"/>
      <x:c r="M45" s="1"/>
      <x:c r="N45" s="1"/>
      <x:c r="O45" s="1"/>
      <x:c r="P45" s="1"/>
      <x:c r="Q45" s="1"/>
      <x:c r="R45" s="1"/>
      <x:c r="S45" s="1"/>
      <x:c r="T45" s="1"/>
      <x:c r="U45" s="1"/>
      <x:c r="V45" s="1"/>
      <x:c r="W45" s="1"/>
      <x:c r="X45" s="1"/>
      <x:c r="Y45" s="1"/>
      <x:c r="Z45" s="1"/>
      <x:c r="AA45" s="1"/>
      <x:c r="AB45" s="1"/>
      <x:c r="AC45" s="1"/>
      <x:c r="AD45" s="1" t="s">
        <x:v>122</x:v>
      </x:c>
      <x:c r="AE45" s="1" t="s">
        <x:v>14</x:v>
      </x:c>
      <x:c r="AF45" s="1">
        <x:v>8.9019999999999992</x:v>
      </x:c>
      <x:c r="AG45" s="1">
        <x:v>14220</x:v>
      </x:c>
      <x:c r="AH45" s="1"/>
      <x:c r="AI45" s="1" t="s">
        <x:v>98</x:v>
      </x:c>
      <x:c r="AJ45" s="1" t="s">
        <x:v>39</x:v>
      </x:c>
      <x:c r="AK45" s="1">
        <x:v>5.3310000000000004</x:v>
      </x:c>
      <x:c r="AL45" s="1">
        <x:v>68820</x:v>
      </x:c>
      <x:c r="AM45" s="1"/>
      <x:c r="AN45" s="1"/>
      <x:c r="AO45" s="1"/>
      <x:c r="AP45" s="1"/>
      <x:c r="AQ45" s="1"/>
      <x:c r="AR45" s="1"/>
    </x:row>
    <x:row r="46">
      <x:c r="A46" s="1"/>
      <x:c r="B46" s="1"/>
      <x:c r="C46" s="1"/>
      <x:c r="D46" s="1"/>
      <x:c r="E46" s="1"/>
      <x:c r="F46" s="1"/>
      <x:c r="G46" s="1"/>
      <x:c r="H46" s="1"/>
      <x:c r="I46" s="1"/>
      <x:c r="J46" s="1"/>
      <x:c r="K46" s="1"/>
      <x:c r="L46" s="1"/>
      <x:c r="M46" s="1"/>
      <x:c r="N46" s="1"/>
      <x:c r="O46" s="1"/>
      <x:c r="P46" s="1"/>
      <x:c r="Q46" s="1"/>
      <x:c r="R46" s="1"/>
      <x:c r="S46" s="1"/>
      <x:c r="T46" s="1"/>
      <x:c r="U46" s="1"/>
      <x:c r="V46" s="1"/>
      <x:c r="W46" s="1"/>
      <x:c r="X46" s="1"/>
      <x:c r="Y46" s="1"/>
      <x:c r="Z46" s="1"/>
      <x:c r="AA46" s="1"/>
      <x:c r="AB46" s="1"/>
      <x:c r="AC46" s="1"/>
      <x:c r="AD46" s="1" t="s">
        <x:v>123</x:v>
      </x:c>
      <x:c r="AE46" s="1" t="s">
        <x:v>34</x:v>
      </x:c>
      <x:c r="AF46" s="1">
        <x:v>8.5879999999999992</x:v>
      </x:c>
      <x:c r="AG46" s="1">
        <x:v>8720</x:v>
      </x:c>
      <x:c r="AH46" s="1"/>
      <x:c r="AI46" s="1" t="s">
        <x:v>99</x:v>
      </x:c>
      <x:c r="AJ46" s="1" t="s">
        <x:v>43</x:v>
      </x:c>
      <x:c r="AK46" s="1">
        <x:v>5.1289999999999996</x:v>
      </x:c>
      <x:c r="AL46" s="1">
        <x:v>7480</x:v>
      </x:c>
      <x:c r="AM46" s="1"/>
      <x:c r="AN46" s="1"/>
      <x:c r="AO46" s="1"/>
      <x:c r="AP46" s="1"/>
      <x:c r="AQ46" s="1"/>
      <x:c r="AR46" s="1"/>
    </x:row>
    <x:row r="47">
      <x:c r="A47" s="1"/>
      <x:c r="B47" s="1"/>
      <x:c r="C47" s="1"/>
      <x:c r="D47" s="1"/>
      <x:c r="E47" s="1"/>
      <x:c r="F47" s="1"/>
      <x:c r="G47" s="1"/>
      <x:c r="H47" s="1"/>
      <x:c r="I47" s="1"/>
      <x:c r="J47" s="1"/>
      <x:c r="K47" s="1"/>
      <x:c r="L47" s="1"/>
      <x:c r="M47" s="1"/>
      <x:c r="N47" s="1"/>
      <x:c r="O47" s="1"/>
      <x:c r="P47" s="1"/>
      <x:c r="Q47" s="1"/>
      <x:c r="R47" s="1"/>
      <x:c r="S47" s="1"/>
      <x:c r="T47" s="1"/>
      <x:c r="U47" s="1"/>
      <x:c r="V47" s="1"/>
      <x:c r="W47" s="1"/>
      <x:c r="X47" s="1"/>
      <x:c r="Y47" s="1"/>
      <x:c r="Z47" s="1"/>
      <x:c r="AA47" s="1"/>
      <x:c r="AB47" s="1"/>
      <x:c r="AC47" s="1"/>
      <x:c r="AD47" s="1" t="s">
        <x:v>124</x:v>
      </x:c>
      <x:c r="AE47" s="1" t="s">
        <x:v>46</x:v>
      </x:c>
      <x:c r="AF47" s="1">
        <x:v>8.3919999999999995</x:v>
      </x:c>
      <x:c r="AG47" s="1">
        <x:v>13020</x:v>
      </x:c>
      <x:c r="AH47" s="1"/>
      <x:c r="AI47" s="1" t="s">
        <x:v>101</x:v>
      </x:c>
      <x:c r="AJ47" s="1" t="s">
        <x:v>47</x:v>
      </x:c>
      <x:c r="AK47" s="1">
        <x:v>4.9050000000000002</x:v>
      </x:c>
      <x:c r="AL47" s="1">
        <x:v>128140</x:v>
      </x:c>
      <x:c r="AM47" s="1"/>
      <x:c r="AN47" s="1"/>
      <x:c r="AO47" s="1"/>
      <x:c r="AP47" s="1"/>
      <x:c r="AQ47" s="1"/>
      <x:c r="AR47" s="1"/>
    </x:row>
    <x:row r="48" ht="23" customHeight="1">
      <x:c r="A48" s="83" t="s">
        <x:v>125</x:v>
      </x:c>
      <x:c r="B48" s="84"/>
      <x:c r="C48" s="84"/>
      <x:c r="D48" s="85"/>
      <x:c r="E48" s="156" t="s">
        <x:v>126</x:v>
      </x:c>
      <x:c r="F48" s="116"/>
      <x:c r="G48" s="116"/>
      <x:c r="H48" s="117"/>
      <x:c r="I48" s="160" t="s">
        <x:v>127</x:v>
      </x:c>
      <x:c r="J48" s="147"/>
      <x:c r="K48" s="147"/>
      <x:c r="L48" s="148"/>
      <x:c r="M48" s="1"/>
      <x:c r="N48" s="1"/>
      <x:c r="O48" s="1"/>
      <x:c r="P48" s="1"/>
      <x:c r="Q48" s="1"/>
      <x:c r="R48" s="1"/>
      <x:c r="S48" s="1"/>
      <x:c r="T48" s="1"/>
      <x:c r="U48" s="1"/>
      <x:c r="V48" s="1"/>
      <x:c r="W48" s="1"/>
      <x:c r="X48" s="1"/>
      <x:c r="Y48" s="1"/>
      <x:c r="Z48" s="1"/>
      <x:c r="AA48" s="1"/>
      <x:c r="AB48" s="1"/>
      <x:c r="AC48" s="1"/>
      <x:c r="AD48" s="1" t="s">
        <x:v>128</x:v>
      </x:c>
      <x:c r="AE48" s="1" t="s">
        <x:v>42</x:v>
      </x:c>
      <x:c r="AF48" s="1">
        <x:v>8.3179999999999996</x:v>
      </x:c>
      <x:c r="AG48" s="1">
        <x:v>13090</x:v>
      </x:c>
      <x:c r="AH48" s="1"/>
      <x:c r="AI48" s="1" t="s">
        <x:v>129</x:v>
      </x:c>
      <x:c r="AJ48" s="1" t="s">
        <x:v>55</x:v>
      </x:c>
      <x:c r="AK48" s="1">
        <x:v>4.8449999999999998</x:v>
      </x:c>
      <x:c r="AL48" s="1">
        <x:v>80900</x:v>
      </x:c>
      <x:c r="AM48" s="1"/>
      <x:c r="AN48" s="1"/>
      <x:c r="AO48" s="1"/>
      <x:c r="AP48" s="1"/>
      <x:c r="AQ48" s="1"/>
      <x:c r="AR48" s="1"/>
    </x:row>
    <x:row r="49" ht="21" customHeight="1">
      <x:c r="A49" s="86" t="s">
        <x:v>1</x:v>
      </x:c>
      <x:c r="B49" s="79" t="s">
        <x:v>6</x:v>
      </x:c>
      <x:c r="C49" s="79" t="s">
        <x:v>5</x:v>
      </x:c>
      <x:c r="D49" s="87" t="s">
        <x:v>130</x:v>
      </x:c>
      <x:c r="E49" s="157" t="s">
        <x:v>131</x:v>
      </x:c>
      <x:c r="F49" s="111" t="s">
        <x:v>4</x:v>
      </x:c>
      <x:c r="G49" s="111" t="s">
        <x:v>5</x:v>
      </x:c>
      <x:c r="H49" s="119" t="s">
        <x:v>6</x:v>
      </x:c>
      <x:c r="I49" s="161" t="s">
        <x:v>131</x:v>
      </x:c>
      <x:c r="J49" s="143" t="s">
        <x:v>132</x:v>
      </x:c>
      <x:c r="K49" s="143"/>
      <x:c r="L49" s="150" t="s">
        <x:v>133</x:v>
      </x:c>
      <x:c r="M49" s="1"/>
      <x:c r="N49" s="1"/>
      <x:c r="O49" s="1"/>
      <x:c r="P49" s="1"/>
      <x:c r="Q49" s="1"/>
      <x:c r="R49" s="1"/>
      <x:c r="S49" s="1"/>
      <x:c r="T49" s="1"/>
      <x:c r="U49" s="1"/>
      <x:c r="V49" s="1"/>
      <x:c r="W49" s="1"/>
      <x:c r="X49" s="1"/>
      <x:c r="Y49" s="1"/>
      <x:c r="Z49" s="1"/>
      <x:c r="AA49" s="1"/>
      <x:c r="AB49" s="1"/>
      <x:c r="AC49" s="1"/>
      <x:c r="AD49" s="1" t="s">
        <x:v>134</x:v>
      </x:c>
      <x:c r="AE49" s="1" t="s">
        <x:v>86</x:v>
      </x:c>
      <x:c r="AF49" s="1">
        <x:v>8.2609999999999992</x:v>
      </x:c>
      <x:c r="AG49" s="1">
        <x:v>11660</x:v>
      </x:c>
      <x:c r="AH49" s="1"/>
      <x:c r="AI49" s="1" t="s">
        <x:v>135</x:v>
      </x:c>
      <x:c r="AJ49" s="1" t="s">
        <x:v>51</x:v>
      </x:c>
      <x:c r="AK49" s="1">
        <x:v>4.734</x:v>
      </x:c>
      <x:c r="AL49" s="1">
        <x:v>140500</x:v>
      </x:c>
      <x:c r="AM49" s="1"/>
      <x:c r="AN49" s="1"/>
      <x:c r="AO49" s="1"/>
      <x:c r="AP49" s="1"/>
      <x:c r="AQ49" s="1"/>
      <x:c r="AR49" s="1"/>
    </x:row>
    <x:row r="50" ht="20" customHeight="1">
      <x:c r="A50" s="88">
        <x:v>2020</x:v>
      </x:c>
      <x:c r="B50" s="81" t="n">
        <x:f>SUMIFS('Donnees nationales'!$D$4:$D$33,'Donnees nationales'!$A$4:$A$33,A50,'Donnees nationales'!$C$4:$C$33,$D$4)</x:f>
        <x:v>1809420</x:v>
      </x:c>
      <x:c r="C50" s="82" t="n">
        <x:f>SUMIFS('Donnees nationales'!$F$4:$F$33,'Donnees nationales'!$A$4:$A$33,A50,'Donnees nationales'!$C$4:$C$33,$D$4)</x:f>
        <x:v>0.0526</x:v>
      </x:c>
      <x:c r="D50" s="89"/>
      <x:c r="E50" s="158">
        <x:v>1</x:v>
      </x:c>
      <x:c r="F50" s="112" t="str">
        <x:f>INDEX($AE$2:$AE$296,MATCH($B$4&amp;"-"&amp;$D$4&amp;"-"&amp;E50,$AD$2:$AD$296,0))</x:f>
        <x:v>Guadeloupe</x:v>
      </x:c>
      <x:c r="G50" s="113" t="n">
        <x:f>INDEX($AF$2:$AF$296,MATCH($B$4&amp;"-"&amp;$D$4&amp;"-"&amp;E50,$AD$2:$AD$296,0))</x:f>
        <x:v>10.6</x:v>
      </x:c>
      <x:c r="H50" s="121" t="n">
        <x:f>INDEX($AG$2:$AG$296,MATCH($B$4&amp;"-"&amp;$D$4&amp;"-"&amp;E50,$AD$2:$AD$296,0))</x:f>
        <x:v>22160</x:v>
      </x:c>
      <x:c r="I50" s="162">
        <x:v>1</x:v>
      </x:c>
      <x:c r="J50" s="144" t="s">
        <x:v>136</x:v>
      </x:c>
      <x:c r="K50" s="144"/>
      <x:c r="L50" s="152">
        <x:v>14.691000000000001</x:v>
      </x:c>
      <x:c r="M50" s="1"/>
      <x:c r="N50" s="1"/>
      <x:c r="O50" s="1"/>
      <x:c r="P50" s="1"/>
      <x:c r="Q50" s="1"/>
      <x:c r="R50" s="1"/>
      <x:c r="S50" s="1"/>
      <x:c r="T50" s="1"/>
      <x:c r="U50" s="1"/>
      <x:c r="V50" s="1"/>
      <x:c r="W50" s="1"/>
      <x:c r="X50" s="1"/>
      <x:c r="Y50" s="1"/>
      <x:c r="Z50" s="1"/>
      <x:c r="AA50" s="1"/>
      <x:c r="AB50" s="1"/>
      <x:c r="AC50" s="1"/>
      <x:c r="AD50" s="1" t="s">
        <x:v>137</x:v>
      </x:c>
      <x:c r="AE50" s="1" t="s">
        <x:v>38</x:v>
      </x:c>
      <x:c r="AF50" s="1">
        <x:v>8.1999999999999993</x:v>
      </x:c>
      <x:c r="AG50" s="1">
        <x:v>35370</x:v>
      </x:c>
      <x:c r="AH50" s="1"/>
      <x:c r="AI50" s="1" t="s">
        <x:v>138</x:v>
      </x:c>
      <x:c r="AJ50" s="1" t="s">
        <x:v>75</x:v>
      </x:c>
      <x:c r="AK50" s="1">
        <x:v>4.7039999999999997</x:v>
      </x:c>
      <x:c r="AL50" s="1">
        <x:v>2380</x:v>
      </x:c>
      <x:c r="AM50" s="1"/>
      <x:c r="AN50" s="1"/>
      <x:c r="AO50" s="1"/>
      <x:c r="AP50" s="1"/>
      <x:c r="AQ50" s="1"/>
      <x:c r="AR50" s="1"/>
    </x:row>
    <x:row r="51" ht="20" customHeight="1">
      <x:c r="A51" s="88">
        <x:v>2021</x:v>
      </x:c>
      <x:c r="B51" s="81" t="n">
        <x:f>SUMIFS('Donnees nationales'!$D$4:$D$33,'Donnees nationales'!$A$4:$A$33,A51,'Donnees nationales'!$C$4:$C$33,$D$4)</x:f>
        <x:v>1865860</x:v>
      </x:c>
      <x:c r="C51" s="82" t="n">
        <x:f>SUMIFS('Donnees nationales'!$F$4:$F$33,'Donnees nationales'!$A$4:$A$33,A51,'Donnees nationales'!$C$4:$C$33,$D$4)</x:f>
        <x:v>0.052939999999999994</x:v>
      </x:c>
      <x:c r="D51" s="89" t="n">
        <x:f>IFERROR(B51/B50-1,"")</x:f>
        <x:v>0.031192315769694057</x:v>
      </x:c>
      <x:c r="E51" s="158">
        <x:v>2</x:v>
      </x:c>
      <x:c r="F51" s="112" t="str">
        <x:f>INDEX($AE$2:$AE$296,MATCH($B$4&amp;"-"&amp;$D$4&amp;"-"&amp;E51,$AD$2:$AD$296,0))</x:f>
        <x:v>Martinique</x:v>
      </x:c>
      <x:c r="G51" s="113" t="n">
        <x:f>INDEX($AF$2:$AF$296,MATCH($B$4&amp;"-"&amp;$D$4&amp;"-"&amp;E51,$AD$2:$AD$296,0))</x:f>
        <x:v>9.701</x:v>
      </x:c>
      <x:c r="H51" s="121" t="n">
        <x:f>INDEX($AG$2:$AG$296,MATCH($B$4&amp;"-"&amp;$D$4&amp;"-"&amp;E51,$AD$2:$AD$296,0))</x:f>
        <x:v>19300</x:v>
      </x:c>
      <x:c r="I51" s="162">
        <x:v>2</x:v>
      </x:c>
      <x:c r="J51" s="144" t="s">
        <x:v>139</x:v>
      </x:c>
      <x:c r="K51" s="144"/>
      <x:c r="L51" s="152">
        <x:v>12.456200000000001</x:v>
      </x:c>
      <x:c r="M51" s="1"/>
      <x:c r="N51" s="1"/>
      <x:c r="O51" s="1"/>
      <x:c r="P51" s="1"/>
      <x:c r="Q51" s="1"/>
      <x:c r="R51" s="1"/>
      <x:c r="S51" s="1"/>
      <x:c r="T51" s="1"/>
      <x:c r="U51" s="1"/>
      <x:c r="V51" s="1"/>
      <x:c r="W51" s="1"/>
      <x:c r="X51" s="1"/>
      <x:c r="Y51" s="1"/>
      <x:c r="Z51" s="1"/>
      <x:c r="AA51" s="1"/>
      <x:c r="AB51" s="1"/>
      <x:c r="AC51" s="1"/>
      <x:c r="AD51" s="1" t="s">
        <x:v>140</x:v>
      </x:c>
      <x:c r="AE51" s="1" t="s">
        <x:v>89</x:v>
      </x:c>
      <x:c r="AF51" s="1">
        <x:v>7.9649999999999999</x:v>
      </x:c>
      <x:c r="AG51" s="1">
        <x:v>13660</x:v>
      </x:c>
      <x:c r="AH51" s="1"/>
      <x:c r="AI51" s="1" t="s">
        <x:v>141</x:v>
      </x:c>
      <x:c r="AJ51" s="1" t="s">
        <x:v>59</x:v>
      </x:c>
      <x:c r="AK51" s="1">
        <x:v>4.6210000000000004</x:v>
      </x:c>
      <x:c r="AL51" s="1">
        <x:v>134630</x:v>
      </x:c>
      <x:c r="AM51" s="1"/>
      <x:c r="AN51" s="1"/>
      <x:c r="AO51" s="1"/>
      <x:c r="AP51" s="1"/>
      <x:c r="AQ51" s="1"/>
      <x:c r="AR51" s="1"/>
    </x:row>
    <x:row r="52" ht="20" customHeight="1">
      <x:c r="A52" s="88">
        <x:v>2022</x:v>
      </x:c>
      <x:c r="B52" s="81" t="n">
        <x:f>SUMIFS('Donnees nationales'!$D$4:$D$33,'Donnees nationales'!$A$4:$A$33,A52,'Donnees nationales'!$C$4:$C$33,$D$4)</x:f>
        <x:v>1913470</x:v>
      </x:c>
      <x:c r="C52" s="82" t="n">
        <x:f>SUMIFS('Donnees nationales'!$F$4:$F$33,'Donnees nationales'!$A$4:$A$33,A52,'Donnees nationales'!$C$4:$C$33,$D$4)</x:f>
        <x:v>0.05399</x:v>
      </x:c>
      <x:c r="D52" s="89" t="n">
        <x:f>IFERROR(B52/B51-1,"")</x:f>
        <x:v>0.02551638386588495</x:v>
      </x:c>
      <x:c r="E52" s="158">
        <x:v>3</x:v>
      </x:c>
      <x:c r="F52" s="112" t="str">
        <x:f>INDEX($AE$2:$AE$296,MATCH($B$4&amp;"-"&amp;$D$4&amp;"-"&amp;E52,$AD$2:$AD$296,0))</x:f>
        <x:v>La Réunion</x:v>
      </x:c>
      <x:c r="G52" s="113" t="n">
        <x:f>INDEX($AF$2:$AF$296,MATCH($B$4&amp;"-"&amp;$D$4&amp;"-"&amp;E52,$AD$2:$AD$296,0))</x:f>
        <x:v>8.47</x:v>
      </x:c>
      <x:c r="H52" s="121" t="n">
        <x:f>INDEX($AG$2:$AG$296,MATCH($B$4&amp;"-"&amp;$D$4&amp;"-"&amp;E52,$AD$2:$AD$296,0))</x:f>
        <x:v>37930</x:v>
      </x:c>
      <x:c r="I52" s="162">
        <x:v>3</x:v>
      </x:c>
      <x:c r="J52" s="144" t="s">
        <x:v>142</x:v>
      </x:c>
      <x:c r="K52" s="144"/>
      <x:c r="L52" s="152">
        <x:v>10.639200000000001</x:v>
      </x:c>
      <x:c r="M52" s="1"/>
      <x:c r="N52" s="1"/>
      <x:c r="O52" s="1"/>
      <x:c r="P52" s="1"/>
      <x:c r="Q52" s="1"/>
      <x:c r="R52" s="1"/>
      <x:c r="S52" s="1"/>
      <x:c r="T52" s="1"/>
      <x:c r="U52" s="1"/>
      <x:c r="V52" s="1"/>
      <x:c r="W52" s="1"/>
      <x:c r="X52" s="1"/>
      <x:c r="Y52" s="1"/>
      <x:c r="Z52" s="1"/>
      <x:c r="AA52" s="1"/>
      <x:c r="AB52" s="1"/>
      <x:c r="AC52" s="1"/>
      <x:c r="AD52" s="1" t="s">
        <x:v>143</x:v>
      </x:c>
      <x:c r="AE52" s="1" t="s">
        <x:v>10</x:v>
      </x:c>
      <x:c r="AF52" s="1">
        <x:v>10.795</x:v>
      </x:c>
      <x:c r="AG52" s="1">
        <x:v>22870</x:v>
      </x:c>
      <x:c r="AH52" s="1"/>
      <x:c r="AI52" s="1" t="s">
        <x:v>144</x:v>
      </x:c>
      <x:c r="AJ52" s="1" t="s">
        <x:v>63</x:v>
      </x:c>
      <x:c r="AK52" s="1">
        <x:v>4.532</x:v>
      </x:c>
      <x:c r="AL52" s="1">
        <x:v>178090</x:v>
      </x:c>
      <x:c r="AM52" s="1"/>
      <x:c r="AN52" s="1"/>
      <x:c r="AO52" s="1"/>
      <x:c r="AP52" s="1"/>
      <x:c r="AQ52" s="1"/>
      <x:c r="AR52" s="1"/>
    </x:row>
    <x:row r="53" ht="20" customHeight="1">
      <x:c r="A53" s="88">
        <x:v>2023</x:v>
      </x:c>
      <x:c r="B53" s="81" t="n">
        <x:f>SUMIFS('Donnees nationales'!$D$4:$D$33,'Donnees nationales'!$A$4:$A$33,A53,'Donnees nationales'!$C$4:$C$33,$D$4)</x:f>
        <x:v>1958380</x:v>
      </x:c>
      <x:c r="C53" s="82" t="n">
        <x:f>SUMIFS('Donnees nationales'!$F$4:$F$33,'Donnees nationales'!$A$4:$A$33,A53,'Donnees nationales'!$C$4:$C$33,$D$4)</x:f>
        <x:v>0.05588</x:v>
      </x:c>
      <x:c r="D53" s="89" t="n">
        <x:f>IFERROR(B53/B52-1,"")</x:f>
        <x:v>0.023470448974898916</x:v>
      </x:c>
      <x:c r="E53" s="158">
        <x:v>4</x:v>
      </x:c>
      <x:c r="F53" s="112" t="str">
        <x:f>INDEX($AE$2:$AE$296,MATCH($B$4&amp;"-"&amp;$D$4&amp;"-"&amp;E53,$AD$2:$AD$296,0))</x:f>
        <x:v>Nièvre</x:v>
      </x:c>
      <x:c r="G53" s="113" t="n">
        <x:f>INDEX($AF$2:$AF$296,MATCH($B$4&amp;"-"&amp;$D$4&amp;"-"&amp;E53,$AD$2:$AD$296,0))</x:f>
        <x:v>7.335</x:v>
      </x:c>
      <x:c r="H53" s="121" t="n">
        <x:f>INDEX($AG$2:$AG$296,MATCH($B$4&amp;"-"&amp;$D$4&amp;"-"&amp;E53,$AD$2:$AD$296,0))</x:f>
        <x:v>7650</x:v>
      </x:c>
      <x:c r="I53" s="162">
        <x:v>4</x:v>
      </x:c>
      <x:c r="J53" s="144" t="s">
        <x:v>145</x:v>
      </x:c>
      <x:c r="K53" s="144"/>
      <x:c r="L53" s="152">
        <x:v>10.015400000000001</x:v>
      </x:c>
      <x:c r="M53" s="1"/>
      <x:c r="N53" s="1"/>
      <x:c r="O53" s="1"/>
      <x:c r="P53" s="1"/>
      <x:c r="Q53" s="1"/>
      <x:c r="R53" s="1"/>
      <x:c r="S53" s="1"/>
      <x:c r="T53" s="1"/>
      <x:c r="U53" s="1"/>
      <x:c r="V53" s="1"/>
      <x:c r="W53" s="1"/>
      <x:c r="X53" s="1"/>
      <x:c r="Y53" s="1"/>
      <x:c r="Z53" s="1"/>
      <x:c r="AA53" s="1"/>
      <x:c r="AB53" s="1"/>
      <x:c r="AC53" s="1"/>
      <x:c r="AD53" s="1" t="s">
        <x:v>146</x:v>
      </x:c>
      <x:c r="AE53" s="1" t="s">
        <x:v>14</x:v>
      </x:c>
      <x:c r="AF53" s="1">
        <x:v>9.8130000000000006</x:v>
      </x:c>
      <x:c r="AG53" s="1">
        <x:v>19690</x:v>
      </x:c>
      <x:c r="AH53" s="1"/>
      <x:c r="AI53" s="1" t="s">
        <x:v>147</x:v>
      </x:c>
      <x:c r="AJ53" s="1" t="s">
        <x:v>71</x:v>
      </x:c>
      <x:c r="AK53" s="1">
        <x:v>4.2460000000000004</x:v>
      </x:c>
      <x:c r="AL53" s="1">
        <x:v>257750</x:v>
      </x:c>
      <x:c r="AM53" s="1"/>
      <x:c r="AN53" s="1"/>
      <x:c r="AO53" s="1"/>
      <x:c r="AP53" s="1"/>
      <x:c r="AQ53" s="1"/>
      <x:c r="AR53" s="1"/>
    </x:row>
    <x:row r="54" ht="20" customHeight="1">
      <x:c r="A54" s="90">
        <x:v>2024</x:v>
      </x:c>
      <x:c r="B54" s="91" t="n">
        <x:f>SUMIFS('Donnees nationales'!$D$4:$D$33,'Donnees nationales'!$A$4:$A$33,A54,'Donnees nationales'!$C$4:$C$33,$D$4)</x:f>
        <x:v>2013970</x:v>
      </x:c>
      <x:c r="C54" s="92" t="n">
        <x:f>SUMIFS('Donnees nationales'!$F$4:$F$33,'Donnees nationales'!$A$4:$A$33,A54,'Donnees nationales'!$C$4:$C$33,$D$4)</x:f>
        <x:v>0.05726</x:v>
      </x:c>
      <x:c r="D54" s="93" t="n">
        <x:f>IFERROR(B54/B53-1,"")</x:f>
        <x:v>0.02838570655337569</x:v>
      </x:c>
      <x:c r="E54" s="159">
        <x:v>5</x:v>
      </x:c>
      <x:c r="F54" s="123" t="str">
        <x:f>INDEX($AE$2:$AE$296,MATCH($B$4&amp;"-"&amp;$D$4&amp;"-"&amp;E54,$AD$2:$AD$296,0))</x:f>
        <x:v>Creuse</x:v>
      </x:c>
      <x:c r="G54" s="124" t="n">
        <x:f>INDEX($AF$2:$AF$296,MATCH($B$4&amp;"-"&amp;$D$4&amp;"-"&amp;E54,$AD$2:$AD$296,0))</x:f>
        <x:v>6.821</x:v>
      </x:c>
      <x:c r="H54" s="125" t="n">
        <x:f>INDEX($AG$2:$AG$296,MATCH($B$4&amp;"-"&amp;$D$4&amp;"-"&amp;E54,$AD$2:$AD$296,0))</x:f>
        <x:v>3920</x:v>
      </x:c>
      <x:c r="I54" s="163">
        <x:v>5</x:v>
      </x:c>
      <x:c r="J54" s="154" t="s">
        <x:v>148</x:v>
      </x:c>
      <x:c r="K54" s="154"/>
      <x:c r="L54" s="155">
        <x:v>9.9161999999999999</x:v>
      </x:c>
      <x:c r="M54" s="1"/>
      <x:c r="N54" s="1"/>
      <x:c r="O54" s="1"/>
      <x:c r="P54" s="1"/>
      <x:c r="Q54" s="1"/>
      <x:c r="R54" s="1"/>
      <x:c r="S54" s="1"/>
      <x:c r="T54" s="1"/>
      <x:c r="U54" s="1"/>
      <x:c r="V54" s="1"/>
      <x:c r="W54" s="1"/>
      <x:c r="X54" s="1"/>
      <x:c r="Y54" s="1"/>
      <x:c r="Z54" s="1"/>
      <x:c r="AA54" s="1"/>
      <x:c r="AB54" s="1"/>
      <x:c r="AC54" s="1"/>
      <x:c r="AD54" s="1" t="s">
        <x:v>149</x:v>
      </x:c>
      <x:c r="AE54" s="1" t="s">
        <x:v>20</x:v>
      </x:c>
      <x:c r="AF54" s="1">
        <x:v>8.5299999999999994</x:v>
      </x:c>
      <x:c r="AG54" s="1">
        <x:v>39050</x:v>
      </x:c>
      <x:c r="AH54" s="1"/>
      <x:c r="AI54" s="1" t="s">
        <x:v>150</x:v>
      </x:c>
      <x:c r="AJ54" s="1" t="s">
        <x:v>79</x:v>
      </x:c>
      <x:c r="AK54" s="1">
        <x:v>3.8540000000000001</x:v>
      </x:c>
      <x:c r="AL54" s="1">
        <x:v>72010</x:v>
      </x:c>
      <x:c r="AM54" s="1"/>
      <x:c r="AN54" s="1"/>
      <x:c r="AO54" s="1"/>
      <x:c r="AP54" s="1"/>
      <x:c r="AQ54" s="1"/>
      <x:c r="AR54" s="1"/>
    </x:row>
    <x:row r="55">
      <x:c r="A55" s="1"/>
      <x:c r="B55" s="1"/>
      <x:c r="C55" s="1"/>
      <x:c r="D55" s="1"/>
      <x:c r="E55" s="1"/>
      <x:c r="F55" s="1"/>
      <x:c r="G55" s="1"/>
      <x:c r="H55" s="1"/>
      <x:c r="I55" s="1"/>
      <x:c r="J55" s="1"/>
      <x:c r="K55" s="1"/>
      <x:c r="L55" s="1"/>
      <x:c r="M55" s="1"/>
      <x:c r="N55" s="1"/>
      <x:c r="O55" s="1"/>
      <x:c r="P55" s="1"/>
      <x:c r="Q55" s="1"/>
      <x:c r="R55" s="1"/>
      <x:c r="S55" s="1"/>
      <x:c r="T55" s="1"/>
      <x:c r="U55" s="1"/>
      <x:c r="V55" s="1"/>
      <x:c r="W55" s="1"/>
      <x:c r="X55" s="1"/>
      <x:c r="Y55" s="1"/>
      <x:c r="Z55" s="1"/>
      <x:c r="AA55" s="1"/>
      <x:c r="AB55" s="1"/>
      <x:c r="AC55" s="1"/>
      <x:c r="AD55" s="1" t="s">
        <x:v>151</x:v>
      </x:c>
      <x:c r="AE55" s="1" t="s">
        <x:v>19</x:v>
      </x:c>
      <x:c r="AF55" s="1">
        <x:v>7.4989999999999997</x:v>
      </x:c>
      <x:c r="AG55" s="1">
        <x:v>7830</x:v>
      </x:c>
      <x:c r="AH55" s="1"/>
      <x:c r="AI55" s="1" t="s">
        <x:v>152</x:v>
      </x:c>
      <x:c r="AJ55" s="1" t="s">
        <x:v>83</x:v>
      </x:c>
      <x:c r="AK55" s="1">
        <x:v>3.355</x:v>
      </x:c>
      <x:c r="AL55" s="1">
        <x:v>55280</x:v>
      </x:c>
      <x:c r="AM55" s="1"/>
      <x:c r="AN55" s="1"/>
      <x:c r="AO55" s="1"/>
      <x:c r="AP55" s="1"/>
      <x:c r="AQ55" s="1"/>
      <x:c r="AR55" s="1"/>
    </x:row>
    <x:row r="56">
      <x:c r="A56" s="1"/>
      <x:c r="B56" s="1"/>
      <x:c r="C56" s="1"/>
      <x:c r="D56" s="1"/>
      <x:c r="E56" s="1"/>
      <x:c r="F56" s="1"/>
      <x:c r="G56" s="1"/>
      <x:c r="H56" s="1"/>
      <x:c r="I56" s="1"/>
      <x:c r="J56" s="1"/>
      <x:c r="K56" s="1"/>
      <x:c r="L56" s="1"/>
      <x:c r="M56" s="1"/>
      <x:c r="N56" s="1"/>
      <x:c r="O56" s="1"/>
      <x:c r="P56" s="1"/>
      <x:c r="Q56" s="1"/>
      <x:c r="R56" s="1"/>
      <x:c r="S56" s="1"/>
      <x:c r="T56" s="1"/>
      <x:c r="U56" s="1"/>
      <x:c r="V56" s="1"/>
      <x:c r="W56" s="1"/>
      <x:c r="X56" s="1"/>
      <x:c r="Y56" s="1"/>
      <x:c r="Z56" s="1"/>
      <x:c r="AA56" s="1"/>
      <x:c r="AB56" s="1"/>
      <x:c r="AC56" s="1"/>
      <x:c r="AD56" s="1" t="s">
        <x:v>153</x:v>
      </x:c>
      <x:c r="AE56" s="1" t="s">
        <x:v>42</x:v>
      </x:c>
      <x:c r="AF56" s="1">
        <x:v>6.27</x:v>
      </x:c>
      <x:c r="AG56" s="1">
        <x:v>10710</x:v>
      </x:c>
      <x:c r="AH56" s="1"/>
      <x:c r="AI56" s="1" t="s">
        <x:v>113</x:v>
      </x:c>
      <x:c r="AJ56" s="1" t="s">
        <x:v>35</x:v>
      </x:c>
      <x:c r="AK56" s="1">
        <x:v>6.3410000000000002</x:v>
      </x:c>
      <x:c r="AL56" s="1">
        <x:v>171860</x:v>
      </x:c>
      <x:c r="AM56" s="1"/>
      <x:c r="AN56" s="1"/>
      <x:c r="AO56" s="1"/>
      <x:c r="AP56" s="1"/>
      <x:c r="AQ56" s="1"/>
      <x:c r="AR56" s="1"/>
    </x:row>
    <x:row r="57">
      <x:c r="A57" s="1"/>
      <x:c r="B57" s="1"/>
      <x:c r="C57" s="1"/>
      <x:c r="D57" s="1"/>
      <x:c r="E57" s="1"/>
      <x:c r="F57" s="1"/>
      <x:c r="G57" s="1"/>
      <x:c r="H57" s="1"/>
      <x:c r="I57" s="1"/>
      <x:c r="J57" s="1"/>
      <x:c r="K57" s="1"/>
      <x:c r="L57" s="1"/>
      <x:c r="M57" s="1"/>
      <x:c r="N57" s="1"/>
      <x:c r="O57" s="1"/>
      <x:c r="P57" s="1"/>
      <x:c r="Q57" s="1"/>
      <x:c r="R57" s="1"/>
      <x:c r="S57" s="1"/>
      <x:c r="T57" s="1"/>
      <x:c r="U57" s="1"/>
      <x:c r="V57" s="1"/>
      <x:c r="W57" s="1"/>
      <x:c r="X57" s="1"/>
      <x:c r="Y57" s="1"/>
      <x:c r="Z57" s="1"/>
      <x:c r="AA57" s="1"/>
      <x:c r="AB57" s="1"/>
      <x:c r="AC57" s="1"/>
      <x:c r="AD57" s="1" t="s">
        <x:v>154</x:v>
      </x:c>
      <x:c r="AE57" s="1" t="s">
        <x:v>10</x:v>
      </x:c>
      <x:c r="AF57" s="1">
        <x:v>10.494999999999999</x:v>
      </x:c>
      <x:c r="AG57" s="1">
        <x:v>39920</x:v>
      </x:c>
      <x:c r="AH57" s="1"/>
      <x:c r="AI57" s="1" t="s">
        <x:v>115</x:v>
      </x:c>
      <x:c r="AJ57" s="1" t="s">
        <x:v>39</x:v>
      </x:c>
      <x:c r="AK57" s="1">
        <x:v>6.2649999999999997</x:v>
      </x:c>
      <x:c r="AL57" s="1">
        <x:v>156560</x:v>
      </x:c>
      <x:c r="AM57" s="1"/>
      <x:c r="AN57" s="1"/>
      <x:c r="AO57" s="1"/>
      <x:c r="AP57" s="1"/>
      <x:c r="AQ57" s="1"/>
      <x:c r="AR57" s="1"/>
    </x:row>
    <x:row r="58">
      <x:c r="A58" s="1"/>
      <x:c r="B58" s="1"/>
      <x:c r="C58" s="1"/>
      <x:c r="D58" s="1"/>
      <x:c r="E58" s="1"/>
      <x:c r="F58" s="1"/>
      <x:c r="G58" s="1"/>
      <x:c r="H58" s="1"/>
      <x:c r="I58" s="1"/>
      <x:c r="J58" s="1"/>
      <x:c r="K58" s="1"/>
      <x:c r="L58" s="1"/>
      <x:c r="M58" s="1"/>
      <x:c r="N58" s="1"/>
      <x:c r="O58" s="1"/>
      <x:c r="P58" s="1"/>
      <x:c r="Q58" s="1"/>
      <x:c r="R58" s="1"/>
      <x:c r="S58" s="1"/>
      <x:c r="T58" s="1"/>
      <x:c r="U58" s="1"/>
      <x:c r="V58" s="1"/>
      <x:c r="W58" s="1"/>
      <x:c r="X58" s="1"/>
      <x:c r="Y58" s="1"/>
      <x:c r="Z58" s="1"/>
      <x:c r="AA58" s="1"/>
      <x:c r="AB58" s="1"/>
      <x:c r="AC58" s="1"/>
      <x:c r="AD58" s="1" t="s">
        <x:v>155</x:v>
      </x:c>
      <x:c r="AE58" s="1" t="s">
        <x:v>14</x:v>
      </x:c>
      <x:c r="AF58" s="1">
        <x:v>9.68</x:v>
      </x:c>
      <x:c r="AG58" s="1">
        <x:v>34730</x:v>
      </x:c>
      <x:c r="AH58" s="1"/>
      <x:c r="AI58" s="1" t="s">
        <x:v>116</x:v>
      </x:c>
      <x:c r="AJ58" s="1" t="s">
        <x:v>43</x:v>
      </x:c>
      <x:c r="AK58" s="1">
        <x:v>6.1470000000000002</x:v>
      </x:c>
      <x:c r="AL58" s="1">
        <x:v>17620</x:v>
      </x:c>
      <x:c r="AM58" s="1"/>
      <x:c r="AN58" s="1"/>
      <x:c r="AO58" s="1"/>
      <x:c r="AP58" s="1"/>
      <x:c r="AQ58" s="1"/>
      <x:c r="AR58" s="1"/>
    </x:row>
    <x:row r="59">
      <x:c r="A59" s="1"/>
      <x:c r="B59" s="1"/>
      <x:c r="C59" s="1"/>
      <x:c r="D59" s="1"/>
      <x:c r="E59" s="1"/>
      <x:c r="F59" s="1"/>
      <x:c r="G59" s="1"/>
      <x:c r="H59" s="1"/>
      <x:c r="I59" s="1"/>
      <x:c r="J59" s="1"/>
      <x:c r="K59" s="1"/>
      <x:c r="L59" s="1"/>
      <x:c r="M59" s="1"/>
      <x:c r="N59" s="1"/>
      <x:c r="O59" s="1"/>
      <x:c r="P59" s="1"/>
      <x:c r="Q59" s="1"/>
      <x:c r="R59" s="1"/>
      <x:c r="S59" s="1"/>
      <x:c r="T59" s="1"/>
      <x:c r="U59" s="1"/>
      <x:c r="V59" s="1"/>
      <x:c r="W59" s="1"/>
      <x:c r="X59" s="1"/>
      <x:c r="Y59" s="1"/>
      <x:c r="Z59" s="1"/>
      <x:c r="AA59" s="1"/>
      <x:c r="AB59" s="1"/>
      <x:c r="AC59" s="1"/>
      <x:c r="AD59" s="1" t="s">
        <x:v>156</x:v>
      </x:c>
      <x:c r="AE59" s="1" t="s">
        <x:v>19</x:v>
      </x:c>
      <x:c r="AF59" s="1">
        <x:v>8.7520000000000007</x:v>
      </x:c>
      <x:c r="AG59" s="1">
        <x:v>17280</x:v>
      </x:c>
      <x:c r="AH59" s="1"/>
      <x:c r="AI59" s="1" t="s">
        <x:v>117</x:v>
      </x:c>
      <x:c r="AJ59" s="1" t="s">
        <x:v>47</x:v>
      </x:c>
      <x:c r="AK59" s="1">
        <x:v>5.8570000000000002</x:v>
      </x:c>
      <x:c r="AL59" s="1">
        <x:v>295280</x:v>
      </x:c>
      <x:c r="AM59" s="1"/>
      <x:c r="AN59" s="1"/>
      <x:c r="AO59" s="1"/>
      <x:c r="AP59" s="1"/>
      <x:c r="AQ59" s="1"/>
      <x:c r="AR59" s="1"/>
    </x:row>
    <x:row r="60">
      <x:c r="A60" s="1"/>
      <x:c r="B60" s="1"/>
      <x:c r="C60" s="1"/>
      <x:c r="D60" s="1"/>
      <x:c r="E60" s="1"/>
      <x:c r="F60" s="1"/>
      <x:c r="G60" s="1"/>
      <x:c r="H60" s="1"/>
      <x:c r="I60" s="1"/>
      <x:c r="J60" s="1"/>
      <x:c r="K60" s="1"/>
      <x:c r="L60" s="1"/>
      <x:c r="M60" s="1"/>
      <x:c r="N60" s="1"/>
      <x:c r="O60" s="1"/>
      <x:c r="P60" s="1"/>
      <x:c r="Q60" s="1"/>
      <x:c r="R60" s="1"/>
      <x:c r="S60" s="1"/>
      <x:c r="T60" s="1"/>
      <x:c r="U60" s="1"/>
      <x:c r="V60" s="1"/>
      <x:c r="W60" s="1"/>
      <x:c r="X60" s="1"/>
      <x:c r="Y60" s="1"/>
      <x:c r="Z60" s="1"/>
      <x:c r="AA60" s="1"/>
      <x:c r="AB60" s="1"/>
      <x:c r="AC60" s="1"/>
      <x:c r="AD60" s="1" t="s">
        <x:v>157</x:v>
      </x:c>
      <x:c r="AE60" s="1" t="s">
        <x:v>20</x:v>
      </x:c>
      <x:c r="AF60" s="1">
        <x:v>8.2119999999999997</x:v>
      </x:c>
      <x:c r="AG60" s="1">
        <x:v>72740</x:v>
      </x:c>
      <x:c r="AH60" s="1"/>
      <x:c r="AI60" s="1" t="s">
        <x:v>118</x:v>
      </x:c>
      <x:c r="AJ60" s="1" t="s">
        <x:v>75</x:v>
      </x:c>
      <x:c r="AK60" s="1">
        <x:v>5.7519999999999998</x:v>
      </x:c>
      <x:c r="AL60" s="1">
        <x:v>4710</x:v>
      </x:c>
      <x:c r="AM60" s="1"/>
      <x:c r="AN60" s="1"/>
      <x:c r="AO60" s="1"/>
      <x:c r="AP60" s="1"/>
      <x:c r="AQ60" s="1"/>
      <x:c r="AR60" s="1"/>
    </x:row>
    <x:row r="61">
      <x:c r="A61" s="1"/>
      <x:c r="B61" s="1"/>
      <x:c r="C61" s="1"/>
      <x:c r="D61" s="1"/>
      <x:c r="E61" s="1"/>
      <x:c r="F61" s="1"/>
      <x:c r="G61" s="1"/>
      <x:c r="H61" s="1"/>
      <x:c r="I61" s="1"/>
      <x:c r="J61" s="1"/>
      <x:c r="K61" s="1"/>
      <x:c r="L61" s="1"/>
      <x:c r="M61" s="1"/>
      <x:c r="N61" s="1"/>
      <x:c r="O61" s="1"/>
      <x:c r="P61" s="1"/>
      <x:c r="Q61" s="1"/>
      <x:c r="R61" s="1"/>
      <x:c r="S61" s="1"/>
      <x:c r="T61" s="1"/>
      <x:c r="U61" s="1"/>
      <x:c r="V61" s="1"/>
      <x:c r="W61" s="1"/>
      <x:c r="X61" s="1"/>
      <x:c r="Y61" s="1"/>
      <x:c r="Z61" s="1"/>
      <x:c r="AA61" s="1"/>
      <x:c r="AB61" s="1"/>
      <x:c r="AC61" s="1"/>
      <x:c r="AD61" s="1" t="s">
        <x:v>158</x:v>
      </x:c>
      <x:c r="AE61" s="1" t="s">
        <x:v>30</x:v>
      </x:c>
      <x:c r="AF61" s="1">
        <x:v>8.1859999999999999</x:v>
      </x:c>
      <x:c r="AG61" s="1">
        <x:v>8970</x:v>
      </x:c>
      <x:c r="AH61" s="1"/>
      <x:c r="AI61" s="1" t="s">
        <x:v>159</x:v>
      </x:c>
      <x:c r="AJ61" s="1" t="s">
        <x:v>55</x:v>
      </x:c>
      <x:c r="AK61" s="1">
        <x:v>5.6829999999999998</x:v>
      </x:c>
      <x:c r="AL61" s="1">
        <x:v>183050</x:v>
      </x:c>
      <x:c r="AM61" s="1"/>
      <x:c r="AN61" s="1"/>
      <x:c r="AO61" s="1"/>
      <x:c r="AP61" s="1"/>
      <x:c r="AQ61" s="1"/>
      <x:c r="AR61" s="1"/>
    </x:row>
    <x:row r="62">
      <x:c r="A62" s="1"/>
      <x:c r="B62" s="1"/>
      <x:c r="C62" s="1"/>
      <x:c r="D62" s="1"/>
      <x:c r="E62" s="1"/>
      <x:c r="F62" s="1"/>
      <x:c r="G62" s="1"/>
      <x:c r="H62" s="1"/>
      <x:c r="I62" s="1"/>
      <x:c r="J62" s="1"/>
      <x:c r="K62" s="1"/>
      <x:c r="L62" s="1"/>
      <x:c r="M62" s="1"/>
      <x:c r="N62" s="1"/>
      <x:c r="O62" s="1"/>
      <x:c r="P62" s="1"/>
      <x:c r="Q62" s="1"/>
      <x:c r="R62" s="1"/>
      <x:c r="S62" s="1"/>
      <x:c r="T62" s="1"/>
      <x:c r="U62" s="1"/>
      <x:c r="V62" s="1"/>
      <x:c r="W62" s="1"/>
      <x:c r="X62" s="1"/>
      <x:c r="Y62" s="1"/>
      <x:c r="Z62" s="1"/>
      <x:c r="AA62" s="1"/>
      <x:c r="AB62" s="1"/>
      <x:c r="AC62" s="1"/>
      <x:c r="AD62" s="1" t="s">
        <x:v>160</x:v>
      </x:c>
      <x:c r="AE62" s="1" t="s">
        <x:v>34</x:v>
      </x:c>
      <x:c r="AF62" s="1">
        <x:v>7.6870000000000003</x:v>
      </x:c>
      <x:c r="AG62" s="1">
        <x:v>16260</x:v>
      </x:c>
      <x:c r="AH62" s="1"/>
      <x:c r="AI62" s="1" t="s">
        <x:v>161</x:v>
      </x:c>
      <x:c r="AJ62" s="1" t="s">
        <x:v>51</x:v>
      </x:c>
      <x:c r="AK62" s="1">
        <x:v>5.6829999999999998</x:v>
      </x:c>
      <x:c r="AL62" s="1">
        <x:v>326950</x:v>
      </x:c>
      <x:c r="AM62" s="1"/>
      <x:c r="AN62" s="1"/>
      <x:c r="AO62" s="1"/>
      <x:c r="AP62" s="1"/>
      <x:c r="AQ62" s="1"/>
      <x:c r="AR62" s="1"/>
    </x:row>
    <x:row r="63">
      <x:c r="A63" s="1"/>
      <x:c r="B63" s="1"/>
      <x:c r="C63" s="1"/>
      <x:c r="D63" s="1"/>
      <x:c r="E63" s="1"/>
      <x:c r="F63" s="1"/>
      <x:c r="G63" s="1"/>
      <x:c r="H63" s="1"/>
      <x:c r="I63" s="1"/>
      <x:c r="J63" s="1"/>
      <x:c r="K63" s="1"/>
      <x:c r="L63" s="1"/>
      <x:c r="M63" s="1"/>
      <x:c r="N63" s="1"/>
      <x:c r="O63" s="1"/>
      <x:c r="P63" s="1"/>
      <x:c r="Q63" s="1"/>
      <x:c r="R63" s="1"/>
      <x:c r="S63" s="1"/>
      <x:c r="T63" s="1"/>
      <x:c r="U63" s="1"/>
      <x:c r="V63" s="1"/>
      <x:c r="W63" s="1"/>
      <x:c r="X63" s="1"/>
      <x:c r="Y63" s="1"/>
      <x:c r="Z63" s="1"/>
      <x:c r="AA63" s="1"/>
      <x:c r="AB63" s="1"/>
      <x:c r="AC63" s="1"/>
      <x:c r="AD63" s="1" t="s">
        <x:v>162</x:v>
      </x:c>
      <x:c r="AE63" s="1" t="s">
        <x:v>38</x:v>
      </x:c>
      <x:c r="AF63" s="1">
        <x:v>7.492</x:v>
      </x:c>
      <x:c r="AG63" s="1">
        <x:v>67600</x:v>
      </x:c>
      <x:c r="AH63" s="1"/>
      <x:c r="AI63" s="1" t="s">
        <x:v>163</x:v>
      </x:c>
      <x:c r="AJ63" s="1" t="s">
        <x:v>59</x:v>
      </x:c>
      <x:c r="AK63" s="1">
        <x:v>5.5460000000000003</x:v>
      </x:c>
      <x:c r="AL63" s="1">
        <x:v>314560</x:v>
      </x:c>
      <x:c r="AM63" s="1"/>
      <x:c r="AN63" s="1"/>
      <x:c r="AO63" s="1"/>
      <x:c r="AP63" s="1"/>
      <x:c r="AQ63" s="1"/>
      <x:c r="AR63" s="1"/>
    </x:row>
    <x:row r="64">
      <x:c r="A64" s="1"/>
      <x:c r="B64" s="1"/>
      <x:c r="C64" s="1"/>
      <x:c r="D64" s="1"/>
      <x:c r="E64" s="1"/>
      <x:c r="F64" s="1"/>
      <x:c r="G64" s="1"/>
      <x:c r="H64" s="1"/>
      <x:c r="I64" s="1"/>
      <x:c r="J64" s="1"/>
      <x:c r="K64" s="1"/>
      <x:c r="L64" s="1"/>
      <x:c r="M64" s="1"/>
      <x:c r="N64" s="1"/>
      <x:c r="O64" s="1"/>
      <x:c r="P64" s="1"/>
      <x:c r="Q64" s="1"/>
      <x:c r="R64" s="1"/>
      <x:c r="S64" s="1"/>
      <x:c r="T64" s="1"/>
      <x:c r="U64" s="1"/>
      <x:c r="V64" s="1"/>
      <x:c r="W64" s="1"/>
      <x:c r="X64" s="1"/>
      <x:c r="Y64" s="1"/>
      <x:c r="Z64" s="1"/>
      <x:c r="AA64" s="1"/>
      <x:c r="AB64" s="1"/>
      <x:c r="AC64" s="1"/>
      <x:c r="AD64" s="1" t="s">
        <x:v>164</x:v>
      </x:c>
      <x:c r="AE64" s="1" t="s">
        <x:v>46</x:v>
      </x:c>
      <x:c r="AF64" s="1">
        <x:v>7.4589999999999996</x:v>
      </x:c>
      <x:c r="AG64" s="1">
        <x:v>24290</x:v>
      </x:c>
      <x:c r="AH64" s="1"/>
      <x:c r="AI64" s="1" t="s">
        <x:v>165</x:v>
      </x:c>
      <x:c r="AJ64" s="1" t="s">
        <x:v>63</x:v>
      </x:c>
      <x:c r="AK64" s="1">
        <x:v>5.282</x:v>
      </x:c>
      <x:c r="AL64" s="1">
        <x:v>404890</x:v>
      </x:c>
      <x:c r="AM64" s="1"/>
      <x:c r="AN64" s="1"/>
      <x:c r="AO64" s="1"/>
      <x:c r="AP64" s="1"/>
      <x:c r="AQ64" s="1"/>
      <x:c r="AR64" s="1"/>
    </x:row>
    <x:row r="65">
      <x:c r="A65" s="1"/>
      <x:c r="B65" s="1"/>
      <x:c r="C65" s="1"/>
      <x:c r="D65" s="1"/>
      <x:c r="E65" s="1"/>
      <x:c r="F65" s="1"/>
      <x:c r="G65" s="1"/>
      <x:c r="H65" s="1"/>
      <x:c r="I65" s="1"/>
      <x:c r="J65" s="1"/>
      <x:c r="K65" s="1"/>
      <x:c r="L65" s="1"/>
      <x:c r="M65" s="1"/>
      <x:c r="N65" s="1"/>
      <x:c r="O65" s="1"/>
      <x:c r="P65" s="1"/>
      <x:c r="Q65" s="1"/>
      <x:c r="R65" s="1"/>
      <x:c r="S65" s="1"/>
      <x:c r="T65" s="1"/>
      <x:c r="U65" s="1"/>
      <x:c r="V65" s="1"/>
      <x:c r="W65" s="1"/>
      <x:c r="X65" s="1"/>
      <x:c r="Y65" s="1"/>
      <x:c r="Z65" s="1"/>
      <x:c r="AA65" s="1"/>
      <x:c r="AB65" s="1"/>
      <x:c r="AC65" s="1"/>
      <x:c r="AD65" s="1" t="s">
        <x:v>166</x:v>
      </x:c>
      <x:c r="AE65" s="1" t="s">
        <x:v>42</x:v>
      </x:c>
      <x:c r="AF65" s="1">
        <x:v>7.3540000000000001</x:v>
      </x:c>
      <x:c r="AG65" s="1">
        <x:v>23990</x:v>
      </x:c>
      <x:c r="AH65" s="1"/>
      <x:c r="AI65" s="1" t="s">
        <x:v>167</x:v>
      </x:c>
      <x:c r="AJ65" s="1" t="s">
        <x:v>67</x:v>
      </x:c>
      <x:c r="AK65" s="1">
        <x:v>5.1470000000000002</x:v>
      </x:c>
      <x:c r="AL65" s="1">
        <x:v>9750</x:v>
      </x:c>
      <x:c r="AM65" s="1"/>
      <x:c r="AN65" s="1"/>
      <x:c r="AO65" s="1"/>
      <x:c r="AP65" s="1"/>
      <x:c r="AQ65" s="1"/>
      <x:c r="AR65" s="1"/>
    </x:row>
    <x:row r="66">
      <x:c r="A66" s="1"/>
      <x:c r="B66" s="1"/>
      <x:c r="C66" s="1"/>
      <x:c r="D66" s="1"/>
      <x:c r="E66" s="1"/>
      <x:c r="F66" s="1"/>
      <x:c r="G66" s="1"/>
      <x:c r="H66" s="1"/>
      <x:c r="I66" s="1"/>
      <x:c r="J66" s="1"/>
      <x:c r="K66" s="1"/>
      <x:c r="L66" s="1"/>
      <x:c r="M66" s="1"/>
      <x:c r="N66" s="1"/>
      <x:c r="O66" s="1"/>
      <x:c r="P66" s="1"/>
      <x:c r="Q66" s="1"/>
      <x:c r="R66" s="1"/>
      <x:c r="S66" s="1"/>
      <x:c r="T66" s="1"/>
      <x:c r="U66" s="1"/>
      <x:c r="V66" s="1"/>
      <x:c r="W66" s="1"/>
      <x:c r="X66" s="1"/>
      <x:c r="Y66" s="1"/>
      <x:c r="Z66" s="1"/>
      <x:c r="AA66" s="1"/>
      <x:c r="AB66" s="1"/>
      <x:c r="AC66" s="1"/>
      <x:c r="AD66" s="1" t="s">
        <x:v>168</x:v>
      </x:c>
      <x:c r="AE66" s="1" t="s">
        <x:v>86</x:v>
      </x:c>
      <x:c r="AF66" s="1">
        <x:v>7.32</x:v>
      </x:c>
      <x:c r="AG66" s="1">
        <x:v>21530</x:v>
      </x:c>
      <x:c r="AH66" s="1"/>
      <x:c r="AI66" s="1" t="s">
        <x:v>169</x:v>
      </x:c>
      <x:c r="AJ66" s="1" t="s">
        <x:v>71</x:v>
      </x:c>
      <x:c r="AK66" s="1">
        <x:v>5.093</x:v>
      </x:c>
      <x:c r="AL66" s="1">
        <x:v>595970</x:v>
      </x:c>
      <x:c r="AM66" s="1"/>
      <x:c r="AN66" s="1"/>
      <x:c r="AO66" s="1"/>
      <x:c r="AP66" s="1"/>
      <x:c r="AQ66" s="1"/>
      <x:c r="AR66" s="1"/>
    </x:row>
    <x:row r="67">
      <x:c r="A67" s="1"/>
      <x:c r="B67" s="1"/>
      <x:c r="C67" s="1"/>
      <x:c r="D67" s="1"/>
      <x:c r="E67" s="1"/>
      <x:c r="F67" s="1"/>
      <x:c r="G67" s="1"/>
      <x:c r="H67" s="1"/>
      <x:c r="I67" s="1"/>
      <x:c r="J67" s="1"/>
      <x:c r="K67" s="1"/>
      <x:c r="L67" s="1"/>
      <x:c r="M67" s="1"/>
      <x:c r="N67" s="1"/>
      <x:c r="O67" s="1"/>
      <x:c r="P67" s="1"/>
      <x:c r="Q67" s="1"/>
      <x:c r="R67" s="1"/>
      <x:c r="S67" s="1"/>
      <x:c r="T67" s="1"/>
      <x:c r="U67" s="1"/>
      <x:c r="V67" s="1"/>
      <x:c r="W67" s="1"/>
      <x:c r="X67" s="1"/>
      <x:c r="Y67" s="1"/>
      <x:c r="Z67" s="1"/>
      <x:c r="AA67" s="1"/>
      <x:c r="AB67" s="1"/>
      <x:c r="AC67" s="1"/>
      <x:c r="AD67" s="1" t="s">
        <x:v>170</x:v>
      </x:c>
      <x:c r="AE67" s="1" t="s">
        <x:v>19</x:v>
      </x:c>
      <x:c r="AF67" s="1">
        <x:v>10.087</x:v>
      </x:c>
      <x:c r="AG67" s="1">
        <x:v>9440</x:v>
      </x:c>
      <x:c r="AH67" s="1"/>
      <x:c r="AI67" s="1" t="s">
        <x:v>171</x:v>
      </x:c>
      <x:c r="AJ67" s="1" t="s">
        <x:v>79</x:v>
      </x:c>
      <x:c r="AK67" s="1">
        <x:v>4.6589999999999998</x:v>
      </x:c>
      <x:c r="AL67" s="1">
        <x:v>170040</x:v>
      </x:c>
      <x:c r="AM67" s="1"/>
      <x:c r="AN67" s="1"/>
      <x:c r="AO67" s="1"/>
      <x:c r="AP67" s="1"/>
      <x:c r="AQ67" s="1"/>
      <x:c r="AR67" s="1"/>
    </x:row>
    <x:row r="68">
      <x:c r="A68" s="1"/>
      <x:c r="B68" s="1"/>
      <x:c r="C68" s="1"/>
      <x:c r="D68" s="1"/>
      <x:c r="E68" s="1"/>
      <x:c r="F68" s="1"/>
      <x:c r="G68" s="1"/>
      <x:c r="H68" s="1"/>
      <x:c r="I68" s="1"/>
      <x:c r="J68" s="1"/>
      <x:c r="K68" s="1"/>
      <x:c r="L68" s="1"/>
      <x:c r="M68" s="1"/>
      <x:c r="N68" s="1"/>
      <x:c r="O68" s="1"/>
      <x:c r="P68" s="1"/>
      <x:c r="Q68" s="1"/>
      <x:c r="R68" s="1"/>
      <x:c r="S68" s="1"/>
      <x:c r="T68" s="1"/>
      <x:c r="U68" s="1"/>
      <x:c r="V68" s="1"/>
      <x:c r="W68" s="1"/>
      <x:c r="X68" s="1"/>
      <x:c r="Y68" s="1"/>
      <x:c r="Z68" s="1"/>
      <x:c r="AA68" s="1"/>
      <x:c r="AB68" s="1"/>
      <x:c r="AC68" s="1"/>
      <x:c r="AD68" s="1" t="s">
        <x:v>172</x:v>
      </x:c>
      <x:c r="AE68" s="1" t="s">
        <x:v>10</x:v>
      </x:c>
      <x:c r="AF68" s="1">
        <x:v>9.8109999999999999</x:v>
      </x:c>
      <x:c r="AG68" s="1">
        <x:v>16640</x:v>
      </x:c>
      <x:c r="AH68" s="1"/>
      <x:c r="AI68" s="1" t="s">
        <x:v>173</x:v>
      </x:c>
      <x:c r="AJ68" s="1" t="s">
        <x:v>83</x:v>
      </x:c>
      <x:c r="AK68" s="1">
        <x:v>4.056</x:v>
      </x:c>
      <x:c r="AL68" s="1">
        <x:v>130220</x:v>
      </x:c>
      <x:c r="AM68" s="1"/>
      <x:c r="AN68" s="1"/>
      <x:c r="AO68" s="1"/>
      <x:c r="AP68" s="1"/>
      <x:c r="AQ68" s="1"/>
      <x:c r="AR68" s="1"/>
    </x:row>
    <x:row r="69">
      <x:c r="A69" s="1"/>
      <x:c r="B69" s="1"/>
      <x:c r="C69" s="1"/>
      <x:c r="D69" s="1"/>
      <x:c r="E69" s="1"/>
      <x:c r="F69" s="1"/>
      <x:c r="G69" s="1"/>
      <x:c r="H69" s="1"/>
      <x:c r="I69" s="1"/>
      <x:c r="J69" s="1"/>
      <x:c r="K69" s="1"/>
      <x:c r="L69" s="1"/>
      <x:c r="M69" s="1"/>
      <x:c r="N69" s="1"/>
      <x:c r="O69" s="1"/>
      <x:c r="P69" s="1"/>
      <x:c r="Q69" s="1"/>
      <x:c r="R69" s="1"/>
      <x:c r="S69" s="1"/>
      <x:c r="T69" s="1"/>
      <x:c r="U69" s="1"/>
      <x:c r="V69" s="1"/>
      <x:c r="W69" s="1"/>
      <x:c r="X69" s="1"/>
      <x:c r="Y69" s="1"/>
      <x:c r="Z69" s="1"/>
      <x:c r="AA69" s="1"/>
      <x:c r="AB69" s="1"/>
      <x:c r="AC69" s="1"/>
      <x:c r="AD69" s="1" t="s">
        <x:v>174</x:v>
      </x:c>
      <x:c r="AE69" s="1" t="s">
        <x:v>30</x:v>
      </x:c>
      <x:c r="AF69" s="1">
        <x:v>9.3919999999999995</x:v>
      </x:c>
      <x:c r="AG69" s="1">
        <x:v>4910</x:v>
      </x:c>
      <x:c r="AH69" s="1"/>
      <x:c r="AI69" s="1" t="s">
        <x:v>119</x:v>
      </x:c>
      <x:c r="AJ69" s="1" t="s">
        <x:v>10</x:v>
      </x:c>
      <x:c r="AK69" s="1">
        <x:v>9.52</x:v>
      </x:c>
      <x:c r="AL69" s="1">
        <x:v>16270</x:v>
      </x:c>
      <x:c r="AM69" s="1"/>
      <x:c r="AN69" s="1"/>
      <x:c r="AO69" s="1"/>
      <x:c r="AP69" s="1"/>
      <x:c r="AQ69" s="1"/>
      <x:c r="AR69" s="1"/>
    </x:row>
    <x:row r="70">
      <x:c r="A70" s="1"/>
      <x:c r="B70" s="1"/>
      <x:c r="C70" s="1"/>
      <x:c r="D70" s="1"/>
      <x:c r="E70" s="1"/>
      <x:c r="F70" s="1"/>
      <x:c r="G70" s="1"/>
      <x:c r="H70" s="1"/>
      <x:c r="I70" s="1"/>
      <x:c r="J70" s="1"/>
      <x:c r="K70" s="1"/>
      <x:c r="L70" s="1"/>
      <x:c r="M70" s="1"/>
      <x:c r="N70" s="1"/>
      <x:c r="O70" s="1"/>
      <x:c r="P70" s="1"/>
      <x:c r="Q70" s="1"/>
      <x:c r="R70" s="1"/>
      <x:c r="S70" s="1"/>
      <x:c r="T70" s="1"/>
      <x:c r="U70" s="1"/>
      <x:c r="V70" s="1"/>
      <x:c r="W70" s="1"/>
      <x:c r="X70" s="1"/>
      <x:c r="Y70" s="1"/>
      <x:c r="Z70" s="1"/>
      <x:c r="AA70" s="1"/>
      <x:c r="AB70" s="1"/>
      <x:c r="AC70" s="1"/>
      <x:c r="AD70" s="1" t="s">
        <x:v>175</x:v>
      </x:c>
      <x:c r="AE70" s="1" t="s">
        <x:v>14</x:v>
      </x:c>
      <x:c r="AF70" s="1">
        <x:v>9.25</x:v>
      </x:c>
      <x:c r="AG70" s="1">
        <x:v>14690</x:v>
      </x:c>
      <x:c r="AH70" s="1"/>
      <x:c r="AI70" s="1" t="s">
        <x:v>120</x:v>
      </x:c>
      <x:c r="AJ70" s="1" t="s">
        <x:v>14</x:v>
      </x:c>
      <x:c r="AK70" s="1">
        <x:v>8.9019999999999992</x:v>
      </x:c>
      <x:c r="AL70" s="1">
        <x:v>14220</x:v>
      </x:c>
      <x:c r="AM70" s="1"/>
      <x:c r="AN70" s="1"/>
      <x:c r="AO70" s="1"/>
      <x:c r="AP70" s="1"/>
      <x:c r="AQ70" s="1"/>
      <x:c r="AR70" s="1"/>
    </x:row>
    <x:row r="71">
      <x:c r="A71" s="1"/>
      <x:c r="B71" s="1"/>
      <x:c r="C71" s="1"/>
      <x:c r="D71" s="1"/>
      <x:c r="E71" s="1"/>
      <x:c r="F71" s="1"/>
      <x:c r="G71" s="1"/>
      <x:c r="H71" s="1"/>
      <x:c r="I71" s="1"/>
      <x:c r="J71" s="1"/>
      <x:c r="K71" s="1"/>
      <x:c r="L71" s="1"/>
      <x:c r="M71" s="1"/>
      <x:c r="N71" s="1"/>
      <x:c r="O71" s="1"/>
      <x:c r="P71" s="1"/>
      <x:c r="Q71" s="1"/>
      <x:c r="R71" s="1"/>
      <x:c r="S71" s="1"/>
      <x:c r="T71" s="1"/>
      <x:c r="U71" s="1"/>
      <x:c r="V71" s="1"/>
      <x:c r="W71" s="1"/>
      <x:c r="X71" s="1"/>
      <x:c r="Y71" s="1"/>
      <x:c r="Z71" s="1"/>
      <x:c r="AA71" s="1"/>
      <x:c r="AB71" s="1"/>
      <x:c r="AC71" s="1"/>
      <x:c r="AD71" s="1" t="s">
        <x:v>176</x:v>
      </x:c>
      <x:c r="AE71" s="1" t="s">
        <x:v>34</x:v>
      </x:c>
      <x:c r="AF71" s="1">
        <x:v>8.8070000000000004</x:v>
      </x:c>
      <x:c r="AG71" s="1">
        <x:v>8860</x:v>
      </x:c>
      <x:c r="AH71" s="1"/>
      <x:c r="AI71" s="1" t="s">
        <x:v>121</x:v>
      </x:c>
      <x:c r="AJ71" s="1" t="s">
        <x:v>20</x:v>
      </x:c>
      <x:c r="AK71" s="1">
        <x:v>7.6379999999999999</x:v>
      </x:c>
      <x:c r="AL71" s="1">
        <x:v>31990</x:v>
      </x:c>
      <x:c r="AM71" s="1"/>
      <x:c r="AN71" s="1"/>
      <x:c r="AO71" s="1"/>
      <x:c r="AP71" s="1"/>
      <x:c r="AQ71" s="1"/>
      <x:c r="AR71" s="1"/>
    </x:row>
    <x:row r="72">
      <x:c r="A72" s="1"/>
      <x:c r="B72" s="1"/>
      <x:c r="C72" s="1"/>
      <x:c r="D72" s="1"/>
      <x:c r="E72" s="1"/>
      <x:c r="F72" s="1"/>
      <x:c r="G72" s="1"/>
      <x:c r="H72" s="1"/>
      <x:c r="I72" s="1"/>
      <x:c r="J72" s="1"/>
      <x:c r="K72" s="1"/>
      <x:c r="L72" s="1"/>
      <x:c r="M72" s="1"/>
      <x:c r="N72" s="1"/>
      <x:c r="O72" s="1"/>
      <x:c r="P72" s="1"/>
      <x:c r="Q72" s="1"/>
      <x:c r="R72" s="1"/>
      <x:c r="S72" s="1"/>
      <x:c r="T72" s="1"/>
      <x:c r="U72" s="1"/>
      <x:c r="V72" s="1"/>
      <x:c r="W72" s="1"/>
      <x:c r="X72" s="1"/>
      <x:c r="Y72" s="1"/>
      <x:c r="Z72" s="1"/>
      <x:c r="AA72" s="1"/>
      <x:c r="AB72" s="1"/>
      <x:c r="AC72" s="1"/>
      <x:c r="AD72" s="1" t="s">
        <x:v>177</x:v>
      </x:c>
      <x:c r="AE72" s="1" t="s">
        <x:v>46</x:v>
      </x:c>
      <x:c r="AF72" s="1">
        <x:v>8.6950000000000003</x:v>
      </x:c>
      <x:c r="AG72" s="1">
        <x:v>13420</x:v>
      </x:c>
      <x:c r="AH72" s="1"/>
      <x:c r="AI72" s="1" t="s">
        <x:v>122</x:v>
      </x:c>
      <x:c r="AJ72" s="1" t="s">
        <x:v>27</x:v>
      </x:c>
      <x:c r="AK72" s="1">
        <x:v>7.4950000000000001</x:v>
      </x:c>
      <x:c r="AL72" s="1">
        <x:v>185980</x:v>
      </x:c>
      <x:c r="AM72" s="1"/>
      <x:c r="AN72" s="1"/>
      <x:c r="AO72" s="1"/>
      <x:c r="AP72" s="1"/>
      <x:c r="AQ72" s="1"/>
      <x:c r="AR72" s="1"/>
    </x:row>
    <x:row r="73">
      <x:c r="A73" s="1"/>
      <x:c r="B73" s="1"/>
      <x:c r="C73" s="1"/>
      <x:c r="D73" s="1"/>
      <x:c r="E73" s="1"/>
      <x:c r="F73" s="1"/>
      <x:c r="G73" s="1"/>
      <x:c r="H73" s="1"/>
      <x:c r="I73" s="1"/>
      <x:c r="J73" s="1"/>
      <x:c r="K73" s="1"/>
      <x:c r="L73" s="1"/>
      <x:c r="M73" s="1"/>
      <x:c r="N73" s="1"/>
      <x:c r="O73" s="1"/>
      <x:c r="P73" s="1"/>
      <x:c r="Q73" s="1"/>
      <x:c r="R73" s="1"/>
      <x:c r="S73" s="1"/>
      <x:c r="T73" s="1"/>
      <x:c r="U73" s="1"/>
      <x:c r="V73" s="1"/>
      <x:c r="W73" s="1"/>
      <x:c r="X73" s="1"/>
      <x:c r="Y73" s="1"/>
      <x:c r="Z73" s="1"/>
      <x:c r="AA73" s="1"/>
      <x:c r="AB73" s="1"/>
      <x:c r="AC73" s="1"/>
      <x:c r="AD73" s="1" t="s">
        <x:v>178</x:v>
      </x:c>
      <x:c r="AE73" s="1" t="s">
        <x:v>42</x:v>
      </x:c>
      <x:c r="AF73" s="1">
        <x:v>8.4890000000000008</x:v>
      </x:c>
      <x:c r="AG73" s="1">
        <x:v>13280</x:v>
      </x:c>
      <x:c r="AH73" s="1"/>
      <x:c r="AI73" s="1" t="s">
        <x:v>123</x:v>
      </x:c>
      <x:c r="AJ73" s="1" t="s">
        <x:v>39</x:v>
      </x:c>
      <x:c r="AK73" s="1">
        <x:v>7.2169999999999996</x:v>
      </x:c>
      <x:c r="AL73" s="1">
        <x:v>86230</x:v>
      </x:c>
      <x:c r="AM73" s="1"/>
      <x:c r="AN73" s="1"/>
      <x:c r="AO73" s="1"/>
      <x:c r="AP73" s="1"/>
      <x:c r="AQ73" s="1"/>
      <x:c r="AR73" s="1"/>
    </x:row>
    <x:row r="74">
      <x:c r="A74" s="1"/>
      <x:c r="B74" s="1"/>
      <x:c r="C74" s="1"/>
      <x:c r="D74" s="1"/>
      <x:c r="E74" s="1"/>
      <x:c r="F74" s="1"/>
      <x:c r="G74" s="1"/>
      <x:c r="H74" s="1"/>
      <x:c r="I74" s="1"/>
      <x:c r="J74" s="1"/>
      <x:c r="K74" s="1"/>
      <x:c r="L74" s="1"/>
      <x:c r="M74" s="1"/>
      <x:c r="N74" s="1"/>
      <x:c r="O74" s="1"/>
      <x:c r="P74" s="1"/>
      <x:c r="Q74" s="1"/>
      <x:c r="R74" s="1"/>
      <x:c r="S74" s="1"/>
      <x:c r="T74" s="1"/>
      <x:c r="U74" s="1"/>
      <x:c r="V74" s="1"/>
      <x:c r="W74" s="1"/>
      <x:c r="X74" s="1"/>
      <x:c r="Y74" s="1"/>
      <x:c r="Z74" s="1"/>
      <x:c r="AA74" s="1"/>
      <x:c r="AB74" s="1"/>
      <x:c r="AC74" s="1"/>
      <x:c r="AD74" s="1" t="s">
        <x:v>179</x:v>
      </x:c>
      <x:c r="AE74" s="1" t="s">
        <x:v>86</x:v>
      </x:c>
      <x:c r="AF74" s="1">
        <x:v>8.4359999999999999</x:v>
      </x:c>
      <x:c r="AG74" s="1">
        <x:v>11840</x:v>
      </x:c>
      <x:c r="AH74" s="1"/>
      <x:c r="AI74" s="1" t="s">
        <x:v>124</x:v>
      </x:c>
      <x:c r="AJ74" s="1" t="s">
        <x:v>43</x:v>
      </x:c>
      <x:c r="AK74" s="1">
        <x:v>7.1820000000000004</x:v>
      </x:c>
      <x:c r="AL74" s="1">
        <x:v>9850</x:v>
      </x:c>
      <x:c r="AM74" s="1"/>
      <x:c r="AN74" s="1"/>
      <x:c r="AO74" s="1"/>
      <x:c r="AP74" s="1"/>
      <x:c r="AQ74" s="1"/>
      <x:c r="AR74" s="1"/>
    </x:row>
    <x:row r="75">
      <x:c r="A75" s="1"/>
      <x:c r="B75" s="1"/>
      <x:c r="C75" s="1"/>
      <x:c r="D75" s="1"/>
      <x:c r="E75" s="1"/>
      <x:c r="F75" s="1"/>
      <x:c r="G75" s="1"/>
      <x:c r="H75" s="1"/>
      <x:c r="I75" s="1"/>
      <x:c r="J75" s="1"/>
      <x:c r="K75" s="1"/>
      <x:c r="L75" s="1"/>
      <x:c r="M75" s="1"/>
      <x:c r="N75" s="1"/>
      <x:c r="O75" s="1"/>
      <x:c r="P75" s="1"/>
      <x:c r="Q75" s="1"/>
      <x:c r="R75" s="1"/>
      <x:c r="S75" s="1"/>
      <x:c r="T75" s="1"/>
      <x:c r="U75" s="1"/>
      <x:c r="V75" s="1"/>
      <x:c r="W75" s="1"/>
      <x:c r="X75" s="1"/>
      <x:c r="Y75" s="1"/>
      <x:c r="Z75" s="1"/>
      <x:c r="AA75" s="1"/>
      <x:c r="AB75" s="1"/>
      <x:c r="AC75" s="1"/>
      <x:c r="AD75" s="1" t="s">
        <x:v>180</x:v>
      </x:c>
      <x:c r="AE75" s="1" t="s">
        <x:v>38</x:v>
      </x:c>
      <x:c r="AF75" s="1">
        <x:v>8.4179999999999993</x:v>
      </x:c>
      <x:c r="AG75" s="1">
        <x:v>36120</x:v>
      </x:c>
      <x:c r="AH75" s="1"/>
      <x:c r="AI75" s="1" t="s">
        <x:v>128</x:v>
      </x:c>
      <x:c r="AJ75" s="1" t="s">
        <x:v>35</x:v>
      </x:c>
      <x:c r="AK75" s="1">
        <x:v>7.1769999999999996</x:v>
      </x:c>
      <x:c r="AL75" s="1">
        <x:v>93480</x:v>
      </x:c>
      <x:c r="AM75" s="1"/>
      <x:c r="AN75" s="1"/>
      <x:c r="AO75" s="1"/>
      <x:c r="AP75" s="1"/>
      <x:c r="AQ75" s="1"/>
      <x:c r="AR75" s="1"/>
    </x:row>
    <x:row r="76">
      <x:c r="A76" s="1"/>
      <x:c r="B76" s="1"/>
      <x:c r="C76" s="1"/>
      <x:c r="D76" s="1"/>
      <x:c r="E76" s="1"/>
      <x:c r="F76" s="1"/>
      <x:c r="G76" s="1"/>
      <x:c r="H76" s="1"/>
      <x:c r="I76" s="1"/>
      <x:c r="J76" s="1"/>
      <x:c r="K76" s="1"/>
      <x:c r="L76" s="1"/>
      <x:c r="M76" s="1"/>
      <x:c r="N76" s="1"/>
      <x:c r="O76" s="1"/>
      <x:c r="P76" s="1"/>
      <x:c r="Q76" s="1"/>
      <x:c r="R76" s="1"/>
      <x:c r="S76" s="1"/>
      <x:c r="T76" s="1"/>
      <x:c r="U76" s="1"/>
      <x:c r="V76" s="1"/>
      <x:c r="W76" s="1"/>
      <x:c r="X76" s="1"/>
      <x:c r="Y76" s="1"/>
      <x:c r="Z76" s="1"/>
      <x:c r="AA76" s="1"/>
      <x:c r="AB76" s="1"/>
      <x:c r="AC76" s="1"/>
      <x:c r="AD76" s="1" t="s">
        <x:v>181</x:v>
      </x:c>
      <x:c r="AE76" s="1" t="s">
        <x:v>182</x:v>
      </x:c>
      <x:c r="AF76" s="1">
        <x:v>8.1519999999999992</x:v>
      </x:c>
      <x:c r="AG76" s="1">
        <x:v>6660</x:v>
      </x:c>
      <x:c r="AH76" s="1"/>
      <x:c r="AI76" s="1" t="s">
        <x:v>134</x:v>
      </x:c>
      <x:c r="AJ76" s="1" t="s">
        <x:v>31</x:v>
      </x:c>
      <x:c r="AK76" s="1">
        <x:v>7.101</x:v>
      </x:c>
      <x:c r="AL76" s="1">
        <x:v>197580</x:v>
      </x:c>
      <x:c r="AM76" s="1"/>
      <x:c r="AN76" s="1"/>
      <x:c r="AO76" s="1"/>
      <x:c r="AP76" s="1"/>
      <x:c r="AQ76" s="1"/>
      <x:c r="AR76" s="1"/>
    </x:row>
    <x:row r="77">
      <x:c r="A77" s="1"/>
      <x:c r="B77" s="1"/>
      <x:c r="C77" s="1"/>
      <x:c r="D77" s="1"/>
      <x:c r="E77" s="1"/>
      <x:c r="F77" s="1"/>
      <x:c r="G77" s="1"/>
      <x:c r="H77" s="1"/>
      <x:c r="I77" s="1"/>
      <x:c r="J77" s="1"/>
      <x:c r="K77" s="1"/>
      <x:c r="L77" s="1"/>
      <x:c r="M77" s="1"/>
      <x:c r="N77" s="1"/>
      <x:c r="O77" s="1"/>
      <x:c r="P77" s="1"/>
      <x:c r="Q77" s="1"/>
      <x:c r="R77" s="1"/>
      <x:c r="S77" s="1"/>
      <x:c r="T77" s="1"/>
      <x:c r="U77" s="1"/>
      <x:c r="V77" s="1"/>
      <x:c r="W77" s="1"/>
      <x:c r="X77" s="1"/>
      <x:c r="Y77" s="1"/>
      <x:c r="Z77" s="1"/>
      <x:c r="AA77" s="1"/>
      <x:c r="AB77" s="1"/>
      <x:c r="AC77" s="1"/>
      <x:c r="AD77" s="1" t="s">
        <x:v>183</x:v>
      </x:c>
      <x:c r="AE77" s="1" t="s">
        <x:v>10</x:v>
      </x:c>
      <x:c r="AF77" s="1">
        <x:v>11.045999999999999</x:v>
      </x:c>
      <x:c r="AG77" s="1">
        <x:v>23280</x:v>
      </x:c>
      <x:c r="AH77" s="1"/>
      <x:c r="AI77" s="1" t="s">
        <x:v>137</x:v>
      </x:c>
      <x:c r="AJ77" s="1" t="s">
        <x:v>47</x:v>
      </x:c>
      <x:c r="AK77" s="1">
        <x:v>6.8659999999999997</x:v>
      </x:c>
      <x:c r="AL77" s="1">
        <x:v>164330</x:v>
      </x:c>
      <x:c r="AM77" s="1"/>
      <x:c r="AN77" s="1"/>
      <x:c r="AO77" s="1"/>
      <x:c r="AP77" s="1"/>
      <x:c r="AQ77" s="1"/>
      <x:c r="AR77" s="1"/>
    </x:row>
    <x:row r="78">
      <x:c r="A78" s="1"/>
      <x:c r="B78" s="1"/>
      <x:c r="C78" s="1"/>
      <x:c r="D78" s="1"/>
      <x:c r="E78" s="1"/>
      <x:c r="F78" s="1"/>
      <x:c r="G78" s="1"/>
      <x:c r="H78" s="1"/>
      <x:c r="I78" s="1"/>
      <x:c r="J78" s="1"/>
      <x:c r="K78" s="1"/>
      <x:c r="L78" s="1"/>
      <x:c r="M78" s="1"/>
      <x:c r="N78" s="1"/>
      <x:c r="O78" s="1"/>
      <x:c r="P78" s="1"/>
      <x:c r="Q78" s="1"/>
      <x:c r="R78" s="1"/>
      <x:c r="S78" s="1"/>
      <x:c r="T78" s="1"/>
      <x:c r="U78" s="1"/>
      <x:c r="V78" s="1"/>
      <x:c r="W78" s="1"/>
      <x:c r="X78" s="1"/>
      <x:c r="Y78" s="1"/>
      <x:c r="Z78" s="1"/>
      <x:c r="AA78" s="1"/>
      <x:c r="AB78" s="1"/>
      <x:c r="AC78" s="1"/>
      <x:c r="AD78" s="1" t="s">
        <x:v>184</x:v>
      </x:c>
      <x:c r="AE78" s="1" t="s">
        <x:v>14</x:v>
      </x:c>
      <x:c r="AF78" s="1">
        <x:v>10.021000000000001</x:v>
      </x:c>
      <x:c r="AG78" s="1">
        <x:v>20040</x:v>
      </x:c>
      <x:c r="AH78" s="1"/>
      <x:c r="AI78" s="1" t="s">
        <x:v>140</x:v>
      </x:c>
      <x:c r="AJ78" s="1" t="s">
        <x:v>51</x:v>
      </x:c>
      <x:c r="AK78" s="1">
        <x:v>6.6639999999999997</x:v>
      </x:c>
      <x:c r="AL78" s="1">
        <x:v>182750</x:v>
      </x:c>
      <x:c r="AM78" s="1"/>
      <x:c r="AN78" s="1"/>
      <x:c r="AO78" s="1"/>
      <x:c r="AP78" s="1"/>
      <x:c r="AQ78" s="1"/>
      <x:c r="AR78" s="1"/>
    </x:row>
    <x:row r="79">
      <x:c r="A79" s="1"/>
      <x:c r="B79" s="1"/>
      <x:c r="C79" s="1"/>
      <x:c r="D79" s="1"/>
      <x:c r="E79" s="1"/>
      <x:c r="F79" s="1"/>
      <x:c r="G79" s="1"/>
      <x:c r="H79" s="1"/>
      <x:c r="I79" s="1"/>
      <x:c r="J79" s="1"/>
      <x:c r="K79" s="1"/>
      <x:c r="L79" s="1"/>
      <x:c r="M79" s="1"/>
      <x:c r="N79" s="1"/>
      <x:c r="O79" s="1"/>
      <x:c r="P79" s="1"/>
      <x:c r="Q79" s="1"/>
      <x:c r="R79" s="1"/>
      <x:c r="S79" s="1"/>
      <x:c r="T79" s="1"/>
      <x:c r="U79" s="1"/>
      <x:c r="V79" s="1"/>
      <x:c r="W79" s="1"/>
      <x:c r="X79" s="1"/>
      <x:c r="Y79" s="1"/>
      <x:c r="Z79" s="1"/>
      <x:c r="AA79" s="1"/>
      <x:c r="AB79" s="1"/>
      <x:c r="AC79" s="1"/>
      <x:c r="AD79" s="1" t="s">
        <x:v>185</x:v>
      </x:c>
      <x:c r="AE79" s="1" t="s">
        <x:v>20</x:v>
      </x:c>
      <x:c r="AF79" s="1">
        <x:v>8.5939999999999994</x:v>
      </x:c>
      <x:c r="AG79" s="1">
        <x:v>39830</x:v>
      </x:c>
      <x:c r="AH79" s="1"/>
      <x:c r="AI79" s="1" t="s">
        <x:v>186</x:v>
      </x:c>
      <x:c r="AJ79" s="1" t="s">
        <x:v>55</x:v>
      </x:c>
      <x:c r="AK79" s="1">
        <x:v>6.5250000000000004</x:v>
      </x:c>
      <x:c r="AL79" s="1">
        <x:v>100430</x:v>
      </x:c>
      <x:c r="AM79" s="1"/>
      <x:c r="AN79" s="1"/>
      <x:c r="AO79" s="1"/>
      <x:c r="AP79" s="1"/>
      <x:c r="AQ79" s="1"/>
      <x:c r="AR79" s="1"/>
    </x:row>
    <x:row r="80">
      <x:c r="A80" s="1"/>
      <x:c r="B80" s="1"/>
      <x:c r="C80" s="1"/>
      <x:c r="D80" s="1"/>
      <x:c r="E80" s="1"/>
      <x:c r="F80" s="1"/>
      <x:c r="G80" s="1"/>
      <x:c r="H80" s="1"/>
      <x:c r="I80" s="1"/>
      <x:c r="J80" s="1"/>
      <x:c r="K80" s="1"/>
      <x:c r="L80" s="1"/>
      <x:c r="M80" s="1"/>
      <x:c r="N80" s="1"/>
      <x:c r="O80" s="1"/>
      <x:c r="P80" s="1"/>
      <x:c r="Q80" s="1"/>
      <x:c r="R80" s="1"/>
      <x:c r="S80" s="1"/>
      <x:c r="T80" s="1"/>
      <x:c r="U80" s="1"/>
      <x:c r="V80" s="1"/>
      <x:c r="W80" s="1"/>
      <x:c r="X80" s="1"/>
      <x:c r="Y80" s="1"/>
      <x:c r="Z80" s="1"/>
      <x:c r="AA80" s="1"/>
      <x:c r="AB80" s="1"/>
      <x:c r="AC80" s="1"/>
      <x:c r="AD80" s="1" t="s">
        <x:v>187</x:v>
      </x:c>
      <x:c r="AE80" s="1" t="s">
        <x:v>19</x:v>
      </x:c>
      <x:c r="AF80" s="1">
        <x:v>7.5490000000000004</x:v>
      </x:c>
      <x:c r="AG80" s="1">
        <x:v>7840</x:v>
      </x:c>
      <x:c r="AH80" s="1"/>
      <x:c r="AI80" s="1" t="s">
        <x:v>188</x:v>
      </x:c>
      <x:c r="AJ80" s="1" t="s">
        <x:v>59</x:v>
      </x:c>
      <x:c r="AK80" s="1">
        <x:v>6.5039999999999996</x:v>
      </x:c>
      <x:c r="AL80" s="1">
        <x:v>176410</x:v>
      </x:c>
      <x:c r="AM80" s="1"/>
      <x:c r="AN80" s="1"/>
      <x:c r="AO80" s="1"/>
      <x:c r="AP80" s="1"/>
      <x:c r="AQ80" s="1"/>
      <x:c r="AR80" s="1"/>
    </x:row>
    <x:row r="81">
      <x:c r="A81" s="1"/>
      <x:c r="B81" s="1"/>
      <x:c r="C81" s="1"/>
      <x:c r="D81" s="1"/>
      <x:c r="E81" s="1"/>
      <x:c r="F81" s="1"/>
      <x:c r="G81" s="1"/>
      <x:c r="H81" s="1"/>
      <x:c r="I81" s="1"/>
      <x:c r="J81" s="1"/>
      <x:c r="K81" s="1"/>
      <x:c r="L81" s="1"/>
      <x:c r="M81" s="1"/>
      <x:c r="N81" s="1"/>
      <x:c r="O81" s="1"/>
      <x:c r="P81" s="1"/>
      <x:c r="Q81" s="1"/>
      <x:c r="R81" s="1"/>
      <x:c r="S81" s="1"/>
      <x:c r="T81" s="1"/>
      <x:c r="U81" s="1"/>
      <x:c r="V81" s="1"/>
      <x:c r="W81" s="1"/>
      <x:c r="X81" s="1"/>
      <x:c r="Y81" s="1"/>
      <x:c r="Z81" s="1"/>
      <x:c r="AA81" s="1"/>
      <x:c r="AB81" s="1"/>
      <x:c r="AC81" s="1"/>
      <x:c r="AD81" s="1" t="s">
        <x:v>189</x:v>
      </x:c>
      <x:c r="AE81" s="1" t="s">
        <x:v>30</x:v>
      </x:c>
      <x:c r="AF81" s="1">
        <x:v>7.085</x:v>
      </x:c>
      <x:c r="AG81" s="1">
        <x:v>4060</x:v>
      </x:c>
      <x:c r="AH81" s="1"/>
      <x:c r="AI81" s="1" t="s">
        <x:v>190</x:v>
      </x:c>
      <x:c r="AJ81" s="1" t="s">
        <x:v>63</x:v>
      </x:c>
      <x:c r="AK81" s="1">
        <x:v>6.0650000000000004</x:v>
      </x:c>
      <x:c r="AL81" s="1">
        <x:v>223080</x:v>
      </x:c>
      <x:c r="AM81" s="1"/>
      <x:c r="AN81" s="1"/>
      <x:c r="AO81" s="1"/>
      <x:c r="AP81" s="1"/>
      <x:c r="AQ81" s="1"/>
      <x:c r="AR81" s="1"/>
    </x:row>
    <x:row r="82">
      <x:c r="A82" s="1"/>
      <x:c r="B82" s="1"/>
      <x:c r="C82" s="1"/>
      <x:c r="D82" s="1"/>
      <x:c r="E82" s="1"/>
      <x:c r="F82" s="1"/>
      <x:c r="G82" s="1"/>
      <x:c r="H82" s="1"/>
      <x:c r="I82" s="1"/>
      <x:c r="J82" s="1"/>
      <x:c r="K82" s="1"/>
      <x:c r="L82" s="1"/>
      <x:c r="M82" s="1"/>
      <x:c r="N82" s="1"/>
      <x:c r="O82" s="1"/>
      <x:c r="P82" s="1"/>
      <x:c r="Q82" s="1"/>
      <x:c r="R82" s="1"/>
      <x:c r="S82" s="1"/>
      <x:c r="T82" s="1"/>
      <x:c r="U82" s="1"/>
      <x:c r="V82" s="1"/>
      <x:c r="W82" s="1"/>
      <x:c r="X82" s="1"/>
      <x:c r="Y82" s="1"/>
      <x:c r="Z82" s="1"/>
      <x:c r="AA82" s="1"/>
      <x:c r="AB82" s="1"/>
      <x:c r="AC82" s="1"/>
      <x:c r="AD82" s="1" t="s">
        <x:v>191</x:v>
      </x:c>
      <x:c r="AE82" s="1" t="s">
        <x:v>97</x:v>
      </x:c>
      <x:c r="AF82" s="1">
        <x:v>6.7320000000000002</x:v>
      </x:c>
      <x:c r="AG82" s="1">
        <x:v>9200</x:v>
      </x:c>
      <x:c r="AH82" s="1"/>
      <x:c r="AI82" s="1" t="s">
        <x:v>192</x:v>
      </x:c>
      <x:c r="AJ82" s="1" t="s">
        <x:v>71</x:v>
      </x:c>
      <x:c r="AK82" s="1">
        <x:v>5.9610000000000003</x:v>
      </x:c>
      <x:c r="AL82" s="1">
        <x:v>331230</x:v>
      </x:c>
      <x:c r="AM82" s="1"/>
      <x:c r="AN82" s="1"/>
      <x:c r="AO82" s="1"/>
      <x:c r="AP82" s="1"/>
      <x:c r="AQ82" s="1"/>
      <x:c r="AR82" s="1"/>
    </x:row>
    <x:row r="83">
      <x:c r="A83" s="1"/>
      <x:c r="B83" s="1"/>
      <x:c r="C83" s="1"/>
      <x:c r="D83" s="1"/>
      <x:c r="E83" s="1"/>
      <x:c r="F83" s="1"/>
      <x:c r="G83" s="1"/>
      <x:c r="H83" s="1"/>
      <x:c r="I83" s="1"/>
      <x:c r="J83" s="1"/>
      <x:c r="K83" s="1"/>
      <x:c r="L83" s="1"/>
      <x:c r="M83" s="1"/>
      <x:c r="N83" s="1"/>
      <x:c r="O83" s="1"/>
      <x:c r="P83" s="1"/>
      <x:c r="Q83" s="1"/>
      <x:c r="R83" s="1"/>
      <x:c r="S83" s="1"/>
      <x:c r="T83" s="1"/>
      <x:c r="U83" s="1"/>
      <x:c r="V83" s="1"/>
      <x:c r="W83" s="1"/>
      <x:c r="X83" s="1"/>
      <x:c r="Y83" s="1"/>
      <x:c r="Z83" s="1"/>
      <x:c r="AA83" s="1"/>
      <x:c r="AB83" s="1"/>
      <x:c r="AC83" s="1"/>
      <x:c r="AD83" s="1" t="s">
        <x:v>193</x:v>
      </x:c>
      <x:c r="AE83" s="1" t="s">
        <x:v>34</x:v>
      </x:c>
      <x:c r="AF83" s="1">
        <x:v>6.6689999999999996</x:v>
      </x:c>
      <x:c r="AG83" s="1">
        <x:v>7390</x:v>
      </x:c>
      <x:c r="AH83" s="1"/>
      <x:c r="AI83" s="1" t="s">
        <x:v>194</x:v>
      </x:c>
      <x:c r="AJ83" s="1" t="s">
        <x:v>75</x:v>
      </x:c>
      <x:c r="AK83" s="1">
        <x:v>5.96</x:v>
      </x:c>
      <x:c r="AL83" s="1">
        <x:v>2140</x:v>
      </x:c>
      <x:c r="AM83" s="1"/>
      <x:c r="AN83" s="1"/>
      <x:c r="AO83" s="1"/>
      <x:c r="AP83" s="1"/>
      <x:c r="AQ83" s="1"/>
      <x:c r="AR83" s="1"/>
    </x:row>
    <x:row r="84">
      <x:c r="A84" s="1"/>
      <x:c r="B84" s="1"/>
      <x:c r="C84" s="1"/>
      <x:c r="D84" s="1"/>
      <x:c r="E84" s="1"/>
      <x:c r="F84" s="1"/>
      <x:c r="G84" s="1"/>
      <x:c r="H84" s="1"/>
      <x:c r="I84" s="1"/>
      <x:c r="J84" s="1"/>
      <x:c r="K84" s="1"/>
      <x:c r="L84" s="1"/>
      <x:c r="M84" s="1"/>
      <x:c r="N84" s="1"/>
      <x:c r="O84" s="1"/>
      <x:c r="P84" s="1"/>
      <x:c r="Q84" s="1"/>
      <x:c r="R84" s="1"/>
      <x:c r="S84" s="1"/>
      <x:c r="T84" s="1"/>
      <x:c r="U84" s="1"/>
      <x:c r="V84" s="1"/>
      <x:c r="W84" s="1"/>
      <x:c r="X84" s="1"/>
      <x:c r="Y84" s="1"/>
      <x:c r="Z84" s="1"/>
      <x:c r="AA84" s="1"/>
      <x:c r="AB84" s="1"/>
      <x:c r="AC84" s="1"/>
      <x:c r="AD84" s="1" t="s">
        <x:v>195</x:v>
      </x:c>
      <x:c r="AE84" s="1" t="s">
        <x:v>38</x:v>
      </x:c>
      <x:c r="AF84" s="1">
        <x:v>6.6520000000000001</x:v>
      </x:c>
      <x:c r="AG84" s="1">
        <x:v>31480</x:v>
      </x:c>
      <x:c r="AH84" s="1"/>
      <x:c r="AI84" s="1" t="s">
        <x:v>196</x:v>
      </x:c>
      <x:c r="AJ84" s="1" t="s">
        <x:v>79</x:v>
      </x:c>
      <x:c r="AK84" s="1">
        <x:v>5.4660000000000002</x:v>
      </x:c>
      <x:c r="AL84" s="1">
        <x:v>96090</x:v>
      </x:c>
      <x:c r="AM84" s="1"/>
      <x:c r="AN84" s="1"/>
      <x:c r="AO84" s="1"/>
      <x:c r="AP84" s="1"/>
      <x:c r="AQ84" s="1"/>
      <x:c r="AR84" s="1"/>
    </x:row>
    <x:row r="85">
      <x:c r="A85" s="1"/>
      <x:c r="B85" s="1"/>
      <x:c r="C85" s="1"/>
      <x:c r="D85" s="1"/>
      <x:c r="E85" s="1"/>
      <x:c r="F85" s="1"/>
      <x:c r="G85" s="1"/>
      <x:c r="H85" s="1"/>
      <x:c r="I85" s="1"/>
      <x:c r="J85" s="1"/>
      <x:c r="K85" s="1"/>
      <x:c r="L85" s="1"/>
      <x:c r="M85" s="1"/>
      <x:c r="N85" s="1"/>
      <x:c r="O85" s="1"/>
      <x:c r="P85" s="1"/>
      <x:c r="Q85" s="1"/>
      <x:c r="R85" s="1"/>
      <x:c r="S85" s="1"/>
      <x:c r="T85" s="1"/>
      <x:c r="U85" s="1"/>
      <x:c r="V85" s="1"/>
      <x:c r="W85" s="1"/>
      <x:c r="X85" s="1"/>
      <x:c r="Y85" s="1"/>
      <x:c r="Z85" s="1"/>
      <x:c r="AA85" s="1"/>
      <x:c r="AB85" s="1"/>
      <x:c r="AC85" s="1"/>
      <x:c r="AD85" s="1" t="s">
        <x:v>197</x:v>
      </x:c>
      <x:c r="AE85" s="1" t="s">
        <x:v>50</x:v>
      </x:c>
      <x:c r="AF85" s="1">
        <x:v>6.6070000000000002</x:v>
      </x:c>
      <x:c r="AG85" s="1">
        <x:v>17650</x:v>
      </x:c>
      <x:c r="AH85" s="1"/>
      <x:c r="AI85" s="1" t="s">
        <x:v>198</x:v>
      </x:c>
      <x:c r="AJ85" s="1" t="s">
        <x:v>67</x:v>
      </x:c>
      <x:c r="AK85" s="1">
        <x:v>4.8760000000000003</x:v>
      </x:c>
      <x:c r="AL85" s="1">
        <x:v>4240</x:v>
      </x:c>
      <x:c r="AM85" s="1"/>
      <x:c r="AN85" s="1"/>
      <x:c r="AO85" s="1"/>
      <x:c r="AP85" s="1"/>
      <x:c r="AQ85" s="1"/>
      <x:c r="AR85" s="1"/>
    </x:row>
    <x:row r="86">
      <x:c r="A86" s="1"/>
      <x:c r="B86" s="1"/>
      <x:c r="C86" s="1"/>
      <x:c r="D86" s="1"/>
      <x:c r="E86" s="1"/>
      <x:c r="F86" s="1"/>
      <x:c r="G86" s="1"/>
      <x:c r="H86" s="1"/>
      <x:c r="I86" s="1"/>
      <x:c r="J86" s="1"/>
      <x:c r="K86" s="1"/>
      <x:c r="L86" s="1"/>
      <x:c r="M86" s="1"/>
      <x:c r="N86" s="1"/>
      <x:c r="O86" s="1"/>
      <x:c r="P86" s="1"/>
      <x:c r="Q86" s="1"/>
      <x:c r="R86" s="1"/>
      <x:c r="S86" s="1"/>
      <x:c r="T86" s="1"/>
      <x:c r="U86" s="1"/>
      <x:c r="V86" s="1"/>
      <x:c r="W86" s="1"/>
      <x:c r="X86" s="1"/>
      <x:c r="Y86" s="1"/>
      <x:c r="Z86" s="1"/>
      <x:c r="AA86" s="1"/>
      <x:c r="AB86" s="1"/>
      <x:c r="AC86" s="1"/>
      <x:c r="AD86" s="1" t="s">
        <x:v>199</x:v>
      </x:c>
      <x:c r="AE86" s="1" t="s">
        <x:v>182</x:v>
      </x:c>
      <x:c r="AF86" s="1">
        <x:v>6.4269999999999996</x:v>
      </x:c>
      <x:c r="AG86" s="1">
        <x:v>5630</x:v>
      </x:c>
      <x:c r="AH86" s="1"/>
      <x:c r="AI86" s="1" t="s">
        <x:v>200</x:v>
      </x:c>
      <x:c r="AJ86" s="1" t="s">
        <x:v>83</x:v>
      </x:c>
      <x:c r="AK86" s="1">
        <x:v>4.7549999999999999</x:v>
      </x:c>
      <x:c r="AL86" s="1">
        <x:v>73280</x:v>
      </x:c>
      <x:c r="AM86" s="1"/>
      <x:c r="AN86" s="1"/>
      <x:c r="AO86" s="1"/>
      <x:c r="AP86" s="1"/>
      <x:c r="AQ86" s="1"/>
      <x:c r="AR86" s="1"/>
    </x:row>
    <x:row r="87">
      <x:c r="A87" s="1"/>
      <x:c r="B87" s="1"/>
      <x:c r="C87" s="1"/>
      <x:c r="D87" s="1"/>
      <x:c r="E87" s="1"/>
      <x:c r="F87" s="1"/>
      <x:c r="G87" s="1"/>
      <x:c r="H87" s="1"/>
      <x:c r="I87" s="1"/>
      <x:c r="J87" s="1"/>
      <x:c r="K87" s="1"/>
      <x:c r="L87" s="1"/>
      <x:c r="M87" s="1"/>
      <x:c r="N87" s="1"/>
      <x:c r="O87" s="1"/>
      <x:c r="P87" s="1"/>
      <x:c r="Q87" s="1"/>
      <x:c r="R87" s="1"/>
      <x:c r="S87" s="1"/>
      <x:c r="T87" s="1"/>
      <x:c r="U87" s="1"/>
      <x:c r="V87" s="1"/>
      <x:c r="W87" s="1"/>
      <x:c r="X87" s="1"/>
      <x:c r="Y87" s="1"/>
      <x:c r="Z87" s="1"/>
      <x:c r="AA87" s="1"/>
      <x:c r="AB87" s="1"/>
      <x:c r="AC87" s="1"/>
      <x:c r="AD87" s="1" t="s">
        <x:v>201</x:v>
      </x:c>
      <x:c r="AE87" s="1" t="s">
        <x:v>10</x:v>
      </x:c>
      <x:c r="AF87" s="1">
        <x:v>10.724</x:v>
      </x:c>
      <x:c r="AG87" s="1">
        <x:v>40670</x:v>
      </x:c>
      <x:c r="AH87" s="1"/>
      <x:c r="AI87" s="1" t="s">
        <x:v>143</x:v>
      </x:c>
      <x:c r="AJ87" s="1" t="s">
        <x:v>10</x:v>
      </x:c>
      <x:c r="AK87" s="1">
        <x:v>10.795</x:v>
      </x:c>
      <x:c r="AL87" s="1">
        <x:v>22870</x:v>
      </x:c>
      <x:c r="AM87" s="1"/>
      <x:c r="AN87" s="1"/>
      <x:c r="AO87" s="1"/>
      <x:c r="AP87" s="1"/>
      <x:c r="AQ87" s="1"/>
      <x:c r="AR87" s="1"/>
    </x:row>
    <x:row r="88">
      <x:c r="A88" s="1"/>
      <x:c r="B88" s="1"/>
      <x:c r="C88" s="1"/>
      <x:c r="D88" s="1"/>
      <x:c r="E88" s="1"/>
      <x:c r="F88" s="1"/>
      <x:c r="G88" s="1"/>
      <x:c r="H88" s="1"/>
      <x:c r="I88" s="1"/>
      <x:c r="J88" s="1"/>
      <x:c r="K88" s="1"/>
      <x:c r="L88" s="1"/>
      <x:c r="M88" s="1"/>
      <x:c r="N88" s="1"/>
      <x:c r="O88" s="1"/>
      <x:c r="P88" s="1"/>
      <x:c r="Q88" s="1"/>
      <x:c r="R88" s="1"/>
      <x:c r="S88" s="1"/>
      <x:c r="T88" s="1"/>
      <x:c r="U88" s="1"/>
      <x:c r="V88" s="1"/>
      <x:c r="W88" s="1"/>
      <x:c r="X88" s="1"/>
      <x:c r="Y88" s="1"/>
      <x:c r="Z88" s="1"/>
      <x:c r="AA88" s="1"/>
      <x:c r="AB88" s="1"/>
      <x:c r="AC88" s="1"/>
      <x:c r="AD88" s="1" t="s">
        <x:v>202</x:v>
      </x:c>
      <x:c r="AE88" s="1" t="s">
        <x:v>14</x:v>
      </x:c>
      <x:c r="AF88" s="1">
        <x:v>9.9489999999999998</x:v>
      </x:c>
      <x:c r="AG88" s="1">
        <x:v>35510</x:v>
      </x:c>
      <x:c r="AH88" s="1"/>
      <x:c r="AI88" s="1" t="s">
        <x:v>146</x:v>
      </x:c>
      <x:c r="AJ88" s="1" t="s">
        <x:v>14</x:v>
      </x:c>
      <x:c r="AK88" s="1">
        <x:v>9.8130000000000006</x:v>
      </x:c>
      <x:c r="AL88" s="1">
        <x:v>19690</x:v>
      </x:c>
      <x:c r="AM88" s="1"/>
      <x:c r="AN88" s="1"/>
      <x:c r="AO88" s="1"/>
      <x:c r="AP88" s="1"/>
      <x:c r="AQ88" s="1"/>
      <x:c r="AR88" s="1"/>
    </x:row>
    <x:row r="89">
      <x:c r="A89" s="1"/>
      <x:c r="B89" s="1"/>
      <x:c r="C89" s="1"/>
      <x:c r="D89" s="1"/>
      <x:c r="E89" s="1"/>
      <x:c r="F89" s="1"/>
      <x:c r="G89" s="1"/>
      <x:c r="H89" s="1"/>
      <x:c r="I89" s="1"/>
      <x:c r="J89" s="1"/>
      <x:c r="K89" s="1"/>
      <x:c r="L89" s="1"/>
      <x:c r="M89" s="1"/>
      <x:c r="N89" s="1"/>
      <x:c r="O89" s="1"/>
      <x:c r="P89" s="1"/>
      <x:c r="Q89" s="1"/>
      <x:c r="R89" s="1"/>
      <x:c r="S89" s="1"/>
      <x:c r="T89" s="1"/>
      <x:c r="U89" s="1"/>
      <x:c r="V89" s="1"/>
      <x:c r="W89" s="1"/>
      <x:c r="X89" s="1"/>
      <x:c r="Y89" s="1"/>
      <x:c r="Z89" s="1"/>
      <x:c r="AA89" s="1"/>
      <x:c r="AB89" s="1"/>
      <x:c r="AC89" s="1"/>
      <x:c r="AD89" s="1" t="s">
        <x:v>203</x:v>
      </x:c>
      <x:c r="AE89" s="1" t="s">
        <x:v>19</x:v>
      </x:c>
      <x:c r="AF89" s="1">
        <x:v>8.859</x:v>
      </x:c>
      <x:c r="AG89" s="1">
        <x:v>17370</x:v>
      </x:c>
      <x:c r="AH89" s="1"/>
      <x:c r="AI89" s="1" t="s">
        <x:v>149</x:v>
      </x:c>
      <x:c r="AJ89" s="1" t="s">
        <x:v>20</x:v>
      </x:c>
      <x:c r="AK89" s="1">
        <x:v>8.5299999999999994</x:v>
      </x:c>
      <x:c r="AL89" s="1">
        <x:v>39050</x:v>
      </x:c>
      <x:c r="AM89" s="1"/>
      <x:c r="AN89" s="1"/>
      <x:c r="AO89" s="1"/>
      <x:c r="AP89" s="1"/>
      <x:c r="AQ89" s="1"/>
      <x:c r="AR89" s="1"/>
    </x:row>
    <x:row r="90">
      <x:c r="A90" s="1"/>
      <x:c r="B90" s="1"/>
      <x:c r="C90" s="1"/>
      <x:c r="D90" s="1"/>
      <x:c r="E90" s="1"/>
      <x:c r="F90" s="1"/>
      <x:c r="G90" s="1"/>
      <x:c r="H90" s="1"/>
      <x:c r="I90" s="1"/>
      <x:c r="J90" s="1"/>
      <x:c r="K90" s="1"/>
      <x:c r="L90" s="1"/>
      <x:c r="M90" s="1"/>
      <x:c r="N90" s="1"/>
      <x:c r="O90" s="1"/>
      <x:c r="P90" s="1"/>
      <x:c r="Q90" s="1"/>
      <x:c r="R90" s="1"/>
      <x:c r="S90" s="1"/>
      <x:c r="T90" s="1"/>
      <x:c r="U90" s="1"/>
      <x:c r="V90" s="1"/>
      <x:c r="W90" s="1"/>
      <x:c r="X90" s="1"/>
      <x:c r="Y90" s="1"/>
      <x:c r="Z90" s="1"/>
      <x:c r="AA90" s="1"/>
      <x:c r="AB90" s="1"/>
      <x:c r="AC90" s="1"/>
      <x:c r="AD90" s="1" t="s">
        <x:v>204</x:v>
      </x:c>
      <x:c r="AE90" s="1" t="s">
        <x:v>30</x:v>
      </x:c>
      <x:c r="AF90" s="1">
        <x:v>8.3800000000000008</x:v>
      </x:c>
      <x:c r="AG90" s="1">
        <x:v>9140</x:v>
      </x:c>
      <x:c r="AH90" s="1"/>
      <x:c r="AI90" s="1" t="s">
        <x:v>151</x:v>
      </x:c>
      <x:c r="AJ90" s="1" t="s">
        <x:v>27</x:v>
      </x:c>
      <x:c r="AK90" s="1">
        <x:v>5.9420000000000002</x:v>
      </x:c>
      <x:c r="AL90" s="1">
        <x:v>160060</x:v>
      </x:c>
      <x:c r="AM90" s="1"/>
      <x:c r="AN90" s="1"/>
      <x:c r="AO90" s="1"/>
      <x:c r="AP90" s="1"/>
      <x:c r="AQ90" s="1"/>
      <x:c r="AR90" s="1"/>
    </x:row>
    <x:row r="91">
      <x:c r="A91" s="1"/>
      <x:c r="B91" s="1"/>
      <x:c r="C91" s="1"/>
      <x:c r="D91" s="1"/>
      <x:c r="E91" s="1"/>
      <x:c r="F91" s="1"/>
      <x:c r="G91" s="1"/>
      <x:c r="H91" s="1"/>
      <x:c r="I91" s="1"/>
      <x:c r="J91" s="1"/>
      <x:c r="K91" s="1"/>
      <x:c r="L91" s="1"/>
      <x:c r="M91" s="1"/>
      <x:c r="N91" s="1"/>
      <x:c r="O91" s="1"/>
      <x:c r="P91" s="1"/>
      <x:c r="Q91" s="1"/>
      <x:c r="R91" s="1"/>
      <x:c r="S91" s="1"/>
      <x:c r="T91" s="1"/>
      <x:c r="U91" s="1"/>
      <x:c r="V91" s="1"/>
      <x:c r="W91" s="1"/>
      <x:c r="X91" s="1"/>
      <x:c r="Y91" s="1"/>
      <x:c r="Z91" s="1"/>
      <x:c r="AA91" s="1"/>
      <x:c r="AB91" s="1"/>
      <x:c r="AC91" s="1"/>
      <x:c r="AD91" s="1" t="s">
        <x:v>205</x:v>
      </x:c>
      <x:c r="AE91" s="1" t="s">
        <x:v>20</x:v>
      </x:c>
      <x:c r="AF91" s="1">
        <x:v>8.3629999999999995</x:v>
      </x:c>
      <x:c r="AG91" s="1">
        <x:v>74460</x:v>
      </x:c>
      <x:c r="AH91" s="1"/>
      <x:c r="AI91" s="1" t="s">
        <x:v>206</x:v>
      </x:c>
      <x:c r="AJ91" s="1" t="s">
        <x:v>31</x:v>
      </x:c>
      <x:c r="AK91" s="1">
        <x:v>5.9119999999999999</x:v>
      </x:c>
      <x:c r="AL91" s="1">
        <x:v>178510</x:v>
      </x:c>
      <x:c r="AM91" s="1"/>
      <x:c r="AN91" s="1"/>
      <x:c r="AO91" s="1"/>
      <x:c r="AP91" s="1"/>
      <x:c r="AQ91" s="1"/>
      <x:c r="AR91" s="1"/>
    </x:row>
    <x:row r="92">
      <x:c r="A92" s="1"/>
      <x:c r="B92" s="1"/>
      <x:c r="C92" s="1"/>
      <x:c r="D92" s="1"/>
      <x:c r="E92" s="1"/>
      <x:c r="F92" s="1"/>
      <x:c r="G92" s="1"/>
      <x:c r="H92" s="1"/>
      <x:c r="I92" s="1"/>
      <x:c r="J92" s="1"/>
      <x:c r="K92" s="1"/>
      <x:c r="L92" s="1"/>
      <x:c r="M92" s="1"/>
      <x:c r="N92" s="1"/>
      <x:c r="O92" s="1"/>
      <x:c r="P92" s="1"/>
      <x:c r="Q92" s="1"/>
      <x:c r="R92" s="1"/>
      <x:c r="S92" s="1"/>
      <x:c r="T92" s="1"/>
      <x:c r="U92" s="1"/>
      <x:c r="V92" s="1"/>
      <x:c r="W92" s="1"/>
      <x:c r="X92" s="1"/>
      <x:c r="Y92" s="1"/>
      <x:c r="Z92" s="1"/>
      <x:c r="AA92" s="1"/>
      <x:c r="AB92" s="1"/>
      <x:c r="AC92" s="1"/>
      <x:c r="AD92" s="1" t="s">
        <x:v>207</x:v>
      </x:c>
      <x:c r="AE92" s="1" t="s">
        <x:v>34</x:v>
      </x:c>
      <x:c r="AF92" s="1">
        <x:v>7.851</x:v>
      </x:c>
      <x:c r="AG92" s="1">
        <x:v>16530</x:v>
      </x:c>
      <x:c r="AH92" s="1"/>
      <x:c r="AI92" s="1" t="s">
        <x:v>208</x:v>
      </x:c>
      <x:c r="AJ92" s="1" t="s">
        <x:v>75</x:v>
      </x:c>
      <x:c r="AK92" s="1">
        <x:v>5.5890000000000004</x:v>
      </x:c>
      <x:c r="AL92" s="1">
        <x:v>2570</x:v>
      </x:c>
      <x:c r="AM92" s="1"/>
      <x:c r="AN92" s="1"/>
      <x:c r="AO92" s="1"/>
      <x:c r="AP92" s="1"/>
      <x:c r="AQ92" s="1"/>
      <x:c r="AR92" s="1"/>
    </x:row>
    <x:row r="93">
      <x:c r="A93" s="1"/>
      <x:c r="B93" s="1"/>
      <x:c r="C93" s="1"/>
      <x:c r="D93" s="1"/>
      <x:c r="E93" s="1"/>
      <x:c r="F93" s="1"/>
      <x:c r="G93" s="1"/>
      <x:c r="H93" s="1"/>
      <x:c r="I93" s="1"/>
      <x:c r="J93" s="1"/>
      <x:c r="K93" s="1"/>
      <x:c r="L93" s="1"/>
      <x:c r="M93" s="1"/>
      <x:c r="N93" s="1"/>
      <x:c r="O93" s="1"/>
      <x:c r="P93" s="1"/>
      <x:c r="Q93" s="1"/>
      <x:c r="R93" s="1"/>
      <x:c r="S93" s="1"/>
      <x:c r="T93" s="1"/>
      <x:c r="U93" s="1"/>
      <x:c r="V93" s="1"/>
      <x:c r="W93" s="1"/>
      <x:c r="X93" s="1"/>
      <x:c r="Y93" s="1"/>
      <x:c r="Z93" s="1"/>
      <x:c r="AA93" s="1"/>
      <x:c r="AB93" s="1"/>
      <x:c r="AC93" s="1"/>
      <x:c r="AD93" s="1" t="s">
        <x:v>209</x:v>
      </x:c>
      <x:c r="AE93" s="1" t="s">
        <x:v>46</x:v>
      </x:c>
      <x:c r="AF93" s="1">
        <x:v>7.6109999999999998</x:v>
      </x:c>
      <x:c r="AG93" s="1">
        <x:v>24800</x:v>
      </x:c>
      <x:c r="AH93" s="1"/>
      <x:c r="AI93" s="1" t="s">
        <x:v>210</x:v>
      </x:c>
      <x:c r="AJ93" s="1" t="s">
        <x:v>35</x:v>
      </x:c>
      <x:c r="AK93" s="1">
        <x:v>5.5670000000000002</x:v>
      </x:c>
      <x:c r="AL93" s="1">
        <x:v>78380</x:v>
      </x:c>
      <x:c r="AM93" s="1"/>
      <x:c r="AN93" s="1"/>
      <x:c r="AO93" s="1"/>
      <x:c r="AP93" s="1"/>
      <x:c r="AQ93" s="1"/>
      <x:c r="AR93" s="1"/>
    </x:row>
    <x:row r="94">
      <x:c r="A94" s="1"/>
      <x:c r="B94" s="1"/>
      <x:c r="C94" s="1"/>
      <x:c r="D94" s="1"/>
      <x:c r="E94" s="1"/>
      <x:c r="F94" s="1"/>
      <x:c r="G94" s="1"/>
      <x:c r="H94" s="1"/>
      <x:c r="I94" s="1"/>
      <x:c r="J94" s="1"/>
      <x:c r="K94" s="1"/>
      <x:c r="L94" s="1"/>
      <x:c r="M94" s="1"/>
      <x:c r="N94" s="1"/>
      <x:c r="O94" s="1"/>
      <x:c r="P94" s="1"/>
      <x:c r="Q94" s="1"/>
      <x:c r="R94" s="1"/>
      <x:c r="S94" s="1"/>
      <x:c r="T94" s="1"/>
      <x:c r="U94" s="1"/>
      <x:c r="V94" s="1"/>
      <x:c r="W94" s="1"/>
      <x:c r="X94" s="1"/>
      <x:c r="Y94" s="1"/>
      <x:c r="Z94" s="1"/>
      <x:c r="AA94" s="1"/>
      <x:c r="AB94" s="1"/>
      <x:c r="AC94" s="1"/>
      <x:c r="AD94" s="1" t="s">
        <x:v>211</x:v>
      </x:c>
      <x:c r="AE94" s="1" t="s">
        <x:v>38</x:v>
      </x:c>
      <x:c r="AF94" s="1">
        <x:v>7.55</x:v>
      </x:c>
      <x:c r="AG94" s="1">
        <x:v>68390</x:v>
      </x:c>
      <x:c r="AH94" s="1"/>
      <x:c r="AI94" s="1" t="s">
        <x:v>212</x:v>
      </x:c>
      <x:c r="AJ94" s="1" t="s">
        <x:v>39</x:v>
      </x:c>
      <x:c r="AK94" s="1">
        <x:v>5.3929999999999998</x:v>
      </x:c>
      <x:c r="AL94" s="1">
        <x:v>70330</x:v>
      </x:c>
      <x:c r="AM94" s="1"/>
      <x:c r="AN94" s="1"/>
      <x:c r="AO94" s="1"/>
      <x:c r="AP94" s="1"/>
      <x:c r="AQ94" s="1"/>
      <x:c r="AR94" s="1"/>
    </x:row>
    <x:row r="95">
      <x:c r="A95" s="1"/>
      <x:c r="B95" s="1"/>
      <x:c r="C95" s="1"/>
      <x:c r="D95" s="1"/>
      <x:c r="E95" s="1"/>
      <x:c r="F95" s="1"/>
      <x:c r="G95" s="1"/>
      <x:c r="H95" s="1"/>
      <x:c r="I95" s="1"/>
      <x:c r="J95" s="1"/>
      <x:c r="K95" s="1"/>
      <x:c r="L95" s="1"/>
      <x:c r="M95" s="1"/>
      <x:c r="N95" s="1"/>
      <x:c r="O95" s="1"/>
      <x:c r="P95" s="1"/>
      <x:c r="Q95" s="1"/>
      <x:c r="R95" s="1"/>
      <x:c r="S95" s="1"/>
      <x:c r="T95" s="1"/>
      <x:c r="U95" s="1"/>
      <x:c r="V95" s="1"/>
      <x:c r="W95" s="1"/>
      <x:c r="X95" s="1"/>
      <x:c r="Y95" s="1"/>
      <x:c r="Z95" s="1"/>
      <x:c r="AA95" s="1"/>
      <x:c r="AB95" s="1"/>
      <x:c r="AC95" s="1"/>
      <x:c r="AD95" s="1" t="s">
        <x:v>213</x:v>
      </x:c>
      <x:c r="AE95" s="1" t="s">
        <x:v>50</x:v>
      </x:c>
      <x:c r="AF95" s="1">
        <x:v>7.4710000000000001</x:v>
      </x:c>
      <x:c r="AG95" s="1">
        <x:v>38290</x:v>
      </x:c>
      <x:c r="AH95" s="1"/>
      <x:c r="AI95" s="1" t="s">
        <x:v>214</x:v>
      </x:c>
      <x:c r="AJ95" s="1" t="s">
        <x:v>67</x:v>
      </x:c>
      <x:c r="AK95" s="1">
        <x:v>5.3780000000000001</x:v>
      </x:c>
      <x:c r="AL95" s="1">
        <x:v>5510</x:v>
      </x:c>
      <x:c r="AM95" s="1"/>
      <x:c r="AN95" s="1"/>
      <x:c r="AO95" s="1"/>
      <x:c r="AP95" s="1"/>
      <x:c r="AQ95" s="1"/>
      <x:c r="AR95" s="1"/>
    </x:row>
    <x:row r="96">
      <x:c r="A96" s="1"/>
      <x:c r="B96" s="1"/>
      <x:c r="C96" s="1"/>
      <x:c r="D96" s="1"/>
      <x:c r="E96" s="1"/>
      <x:c r="F96" s="1"/>
      <x:c r="G96" s="1"/>
      <x:c r="H96" s="1"/>
      <x:c r="I96" s="1"/>
      <x:c r="J96" s="1"/>
      <x:c r="K96" s="1"/>
      <x:c r="L96" s="1"/>
      <x:c r="M96" s="1"/>
      <x:c r="N96" s="1"/>
      <x:c r="O96" s="1"/>
      <x:c r="P96" s="1"/>
      <x:c r="Q96" s="1"/>
      <x:c r="R96" s="1"/>
      <x:c r="S96" s="1"/>
      <x:c r="T96" s="1"/>
      <x:c r="U96" s="1"/>
      <x:c r="V96" s="1"/>
      <x:c r="W96" s="1"/>
      <x:c r="X96" s="1"/>
      <x:c r="Y96" s="1"/>
      <x:c r="Z96" s="1"/>
      <x:c r="AA96" s="1"/>
      <x:c r="AB96" s="1"/>
      <x:c r="AC96" s="1"/>
      <x:c r="AD96" s="1" t="s">
        <x:v>215</x:v>
      </x:c>
      <x:c r="AE96" s="1" t="s">
        <x:v>182</x:v>
      </x:c>
      <x:c r="AF96" s="1">
        <x:v>7.4710000000000001</x:v>
      </x:c>
      <x:c r="AG96" s="1">
        <x:v>12550</x:v>
      </x:c>
      <x:c r="AH96" s="1"/>
      <x:c r="AI96" s="1" t="s">
        <x:v>153</x:v>
      </x:c>
      <x:c r="AJ96" s="1" t="s">
        <x:v>43</x:v>
      </x:c>
      <x:c r="AK96" s="1">
        <x:v>5.1950000000000003</x:v>
      </x:c>
      <x:c r="AL96" s="1">
        <x:v>7760</x:v>
      </x:c>
      <x:c r="AM96" s="1"/>
      <x:c r="AN96" s="1"/>
      <x:c r="AO96" s="1"/>
      <x:c r="AP96" s="1"/>
      <x:c r="AQ96" s="1"/>
      <x:c r="AR96" s="1"/>
    </x:row>
    <x:row r="97">
      <x:c r="A97" s="1"/>
      <x:c r="B97" s="1"/>
      <x:c r="C97" s="1"/>
      <x:c r="D97" s="1"/>
      <x:c r="E97" s="1"/>
      <x:c r="F97" s="1"/>
      <x:c r="G97" s="1"/>
      <x:c r="H97" s="1"/>
      <x:c r="I97" s="1"/>
      <x:c r="J97" s="1"/>
      <x:c r="K97" s="1"/>
      <x:c r="L97" s="1"/>
      <x:c r="M97" s="1"/>
      <x:c r="N97" s="1"/>
      <x:c r="O97" s="1"/>
      <x:c r="P97" s="1"/>
      <x:c r="Q97" s="1"/>
      <x:c r="R97" s="1"/>
      <x:c r="S97" s="1"/>
      <x:c r="T97" s="1"/>
      <x:c r="U97" s="1"/>
      <x:c r="V97" s="1"/>
      <x:c r="W97" s="1"/>
      <x:c r="X97" s="1"/>
      <x:c r="Y97" s="1"/>
      <x:c r="Z97" s="1"/>
      <x:c r="AA97" s="1"/>
      <x:c r="AB97" s="1"/>
      <x:c r="AC97" s="1"/>
      <x:c r="AD97" s="1" t="s">
        <x:v>216</x:v>
      </x:c>
      <x:c r="AE97" s="1" t="s">
        <x:v>19</x:v>
      </x:c>
      <x:c r="AF97" s="1">
        <x:v>10.24</x:v>
      </x:c>
      <x:c r="AG97" s="1">
        <x:v>9530</x:v>
      </x:c>
      <x:c r="AH97" s="1"/>
      <x:c r="AI97" s="1" t="s">
        <x:v>217</x:v>
      </x:c>
      <x:c r="AJ97" s="1" t="s">
        <x:v>47</x:v>
      </x:c>
      <x:c r="AK97" s="1">
        <x:v>4.9450000000000003</x:v>
      </x:c>
      <x:c r="AL97" s="1">
        <x:v>130950</x:v>
      </x:c>
      <x:c r="AM97" s="1"/>
      <x:c r="AN97" s="1"/>
      <x:c r="AO97" s="1"/>
      <x:c r="AP97" s="1"/>
      <x:c r="AQ97" s="1"/>
      <x:c r="AR97" s="1"/>
    </x:row>
    <x:row r="98">
      <x:c r="A98" s="1"/>
      <x:c r="B98" s="1"/>
      <x:c r="C98" s="1"/>
      <x:c r="D98" s="1"/>
      <x:c r="E98" s="1"/>
      <x:c r="F98" s="1"/>
      <x:c r="G98" s="1"/>
      <x:c r="H98" s="1"/>
      <x:c r="I98" s="1"/>
      <x:c r="J98" s="1"/>
      <x:c r="K98" s="1"/>
      <x:c r="L98" s="1"/>
      <x:c r="M98" s="1"/>
      <x:c r="N98" s="1"/>
      <x:c r="O98" s="1"/>
      <x:c r="P98" s="1"/>
      <x:c r="Q98" s="1"/>
      <x:c r="R98" s="1"/>
      <x:c r="S98" s="1"/>
      <x:c r="T98" s="1"/>
      <x:c r="U98" s="1"/>
      <x:c r="V98" s="1"/>
      <x:c r="W98" s="1"/>
      <x:c r="X98" s="1"/>
      <x:c r="Y98" s="1"/>
      <x:c r="Z98" s="1"/>
      <x:c r="AA98" s="1"/>
      <x:c r="AB98" s="1"/>
      <x:c r="AC98" s="1"/>
      <x:c r="AD98" s="1" t="s">
        <x:v>218</x:v>
      </x:c>
      <x:c r="AE98" s="1" t="s">
        <x:v>10</x:v>
      </x:c>
      <x:c r="AF98" s="1">
        <x:v>10.115</x:v>
      </x:c>
      <x:c r="AG98" s="1">
        <x:v>17100</x:v>
      </x:c>
      <x:c r="AH98" s="1"/>
      <x:c r="AI98" s="1" t="s">
        <x:v>219</x:v>
      </x:c>
      <x:c r="AJ98" s="1" t="s">
        <x:v>55</x:v>
      </x:c>
      <x:c r="AK98" s="1">
        <x:v>4.9119999999999999</x:v>
      </x:c>
      <x:c r="AL98" s="1">
        <x:v>82620</x:v>
      </x:c>
      <x:c r="AM98" s="1"/>
      <x:c r="AN98" s="1"/>
      <x:c r="AO98" s="1"/>
      <x:c r="AP98" s="1"/>
      <x:c r="AQ98" s="1"/>
      <x:c r="AR98" s="1"/>
    </x:row>
    <x:row r="99">
      <x:c r="A99" s="1"/>
      <x:c r="B99" s="1"/>
      <x:c r="C99" s="1"/>
      <x:c r="D99" s="1"/>
      <x:c r="E99" s="1"/>
      <x:c r="F99" s="1"/>
      <x:c r="G99" s="1"/>
      <x:c r="H99" s="1"/>
      <x:c r="I99" s="1"/>
      <x:c r="J99" s="1"/>
      <x:c r="K99" s="1"/>
      <x:c r="L99" s="1"/>
      <x:c r="M99" s="1"/>
      <x:c r="N99" s="1"/>
      <x:c r="O99" s="1"/>
      <x:c r="P99" s="1"/>
      <x:c r="Q99" s="1"/>
      <x:c r="R99" s="1"/>
      <x:c r="S99" s="1"/>
      <x:c r="T99" s="1"/>
      <x:c r="U99" s="1"/>
      <x:c r="V99" s="1"/>
      <x:c r="W99" s="1"/>
      <x:c r="X99" s="1"/>
      <x:c r="Y99" s="1"/>
      <x:c r="Z99" s="1"/>
      <x:c r="AA99" s="1"/>
      <x:c r="AB99" s="1"/>
      <x:c r="AC99" s="1"/>
      <x:c r="AD99" s="1" t="s">
        <x:v>220</x:v>
      </x:c>
      <x:c r="AE99" s="1" t="s">
        <x:v>30</x:v>
      </x:c>
      <x:c r="AF99" s="1">
        <x:v>9.6449999999999996</x:v>
      </x:c>
      <x:c r="AG99" s="1">
        <x:v>5040</x:v>
      </x:c>
      <x:c r="AH99" s="1"/>
      <x:c r="AI99" s="1" t="s">
        <x:v>221</x:v>
      </x:c>
      <x:c r="AJ99" s="1" t="s">
        <x:v>51</x:v>
      </x:c>
      <x:c r="AK99" s="1">
        <x:v>4.79</x:v>
      </x:c>
      <x:c r="AL99" s="1">
        <x:v>144200</x:v>
      </x:c>
      <x:c r="AM99" s="1"/>
      <x:c r="AN99" s="1"/>
      <x:c r="AO99" s="1"/>
      <x:c r="AP99" s="1"/>
      <x:c r="AQ99" s="1"/>
      <x:c r="AR99" s="1"/>
    </x:row>
    <x:row r="100">
      <x:c r="A100" s="1"/>
      <x:c r="B100" s="1"/>
      <x:c r="C100" s="1"/>
      <x:c r="D100" s="1"/>
      <x:c r="E100" s="1"/>
      <x:c r="F100" s="1"/>
      <x:c r="G100" s="1"/>
      <x:c r="H100" s="1"/>
      <x:c r="I100" s="1"/>
      <x:c r="J100" s="1"/>
      <x:c r="K100" s="1"/>
      <x:c r="L100" s="1"/>
      <x:c r="M100" s="1"/>
      <x:c r="N100" s="1"/>
      <x:c r="O100" s="1"/>
      <x:c r="P100" s="1"/>
      <x:c r="Q100" s="1"/>
      <x:c r="R100" s="1"/>
      <x:c r="S100" s="1"/>
      <x:c r="T100" s="1"/>
      <x:c r="U100" s="1"/>
      <x:c r="V100" s="1"/>
      <x:c r="W100" s="1"/>
      <x:c r="X100" s="1"/>
      <x:c r="Y100" s="1"/>
      <x:c r="Z100" s="1"/>
      <x:c r="AA100" s="1"/>
      <x:c r="AB100" s="1"/>
      <x:c r="AC100" s="1"/>
      <x:c r="AD100" s="1" t="s">
        <x:v>222</x:v>
      </x:c>
      <x:c r="AE100" s="1" t="s">
        <x:v>14</x:v>
      </x:c>
      <x:c r="AF100" s="1">
        <x:v>9.5890000000000004</x:v>
      </x:c>
      <x:c r="AG100" s="1">
        <x:v>15160</x:v>
      </x:c>
      <x:c r="AH100" s="1"/>
      <x:c r="AI100" s="1" t="s">
        <x:v>223</x:v>
      </x:c>
      <x:c r="AJ100" s="1" t="s">
        <x:v>59</x:v>
      </x:c>
      <x:c r="AK100" s="1">
        <x:v>4.6669999999999998</x:v>
      </x:c>
      <x:c r="AL100" s="1">
        <x:v>138150</x:v>
      </x:c>
      <x:c r="AM100" s="1"/>
      <x:c r="AN100" s="1"/>
      <x:c r="AO100" s="1"/>
      <x:c r="AP100" s="1"/>
      <x:c r="AQ100" s="1"/>
      <x:c r="AR100" s="1"/>
    </x:row>
    <x:row r="101">
      <x:c r="A101" s="1"/>
      <x:c r="B101" s="1"/>
      <x:c r="C101" s="1"/>
      <x:c r="D101" s="1"/>
      <x:c r="E101" s="1"/>
      <x:c r="F101" s="1"/>
      <x:c r="G101" s="1"/>
      <x:c r="H101" s="1"/>
      <x:c r="I101" s="1"/>
      <x:c r="J101" s="1"/>
      <x:c r="K101" s="1"/>
      <x:c r="L101" s="1"/>
      <x:c r="M101" s="1"/>
      <x:c r="N101" s="1"/>
      <x:c r="O101" s="1"/>
      <x:c r="P101" s="1"/>
      <x:c r="Q101" s="1"/>
      <x:c r="R101" s="1"/>
      <x:c r="S101" s="1"/>
      <x:c r="T101" s="1"/>
      <x:c r="U101" s="1"/>
      <x:c r="V101" s="1"/>
      <x:c r="W101" s="1"/>
      <x:c r="X101" s="1"/>
      <x:c r="Y101" s="1"/>
      <x:c r="Z101" s="1"/>
      <x:c r="AA101" s="1"/>
      <x:c r="AB101" s="1"/>
      <x:c r="AC101" s="1"/>
      <x:c r="AD101" s="1" t="s">
        <x:v>224</x:v>
      </x:c>
      <x:c r="AE101" s="1" t="s">
        <x:v>34</x:v>
      </x:c>
      <x:c r="AF101" s="1">
        <x:v>9</x:v>
      </x:c>
      <x:c r="AG101" s="1">
        <x:v>9030</x:v>
      </x:c>
      <x:c r="AH101" s="1"/>
      <x:c r="AI101" s="1" t="s">
        <x:v>225</x:v>
      </x:c>
      <x:c r="AJ101" s="1" t="s">
        <x:v>63</x:v>
      </x:c>
      <x:c r="AK101" s="1">
        <x:v>4.5599999999999996</x:v>
      </x:c>
      <x:c r="AL101" s="1">
        <x:v>181810</x:v>
      </x:c>
      <x:c r="AM101" s="1"/>
      <x:c r="AN101" s="1"/>
      <x:c r="AO101" s="1"/>
      <x:c r="AP101" s="1"/>
      <x:c r="AQ101" s="1"/>
      <x:c r="AR101" s="1"/>
    </x:row>
    <x:row r="102">
      <x:c r="A102" s="1"/>
      <x:c r="B102" s="1"/>
      <x:c r="C102" s="1"/>
      <x:c r="D102" s="1"/>
      <x:c r="E102" s="1"/>
      <x:c r="F102" s="1"/>
      <x:c r="G102" s="1"/>
      <x:c r="H102" s="1"/>
      <x:c r="I102" s="1"/>
      <x:c r="J102" s="1"/>
      <x:c r="K102" s="1"/>
      <x:c r="L102" s="1"/>
      <x:c r="M102" s="1"/>
      <x:c r="N102" s="1"/>
      <x:c r="O102" s="1"/>
      <x:c r="P102" s="1"/>
      <x:c r="Q102" s="1"/>
      <x:c r="R102" s="1"/>
      <x:c r="S102" s="1"/>
      <x:c r="T102" s="1"/>
      <x:c r="U102" s="1"/>
      <x:c r="V102" s="1"/>
      <x:c r="W102" s="1"/>
      <x:c r="X102" s="1"/>
      <x:c r="Y102" s="1"/>
      <x:c r="Z102" s="1"/>
      <x:c r="AA102" s="1"/>
      <x:c r="AB102" s="1"/>
      <x:c r="AC102" s="1"/>
      <x:c r="AD102" s="1" t="s">
        <x:v>226</x:v>
      </x:c>
      <x:c r="AE102" s="1" t="s">
        <x:v>46</x:v>
      </x:c>
      <x:c r="AF102" s="1">
        <x:v>8.8889999999999993</x:v>
      </x:c>
      <x:c r="AG102" s="1">
        <x:v>13750</x:v>
      </x:c>
      <x:c r="AH102" s="1"/>
      <x:c r="AI102" s="1" t="s">
        <x:v>227</x:v>
      </x:c>
      <x:c r="AJ102" s="1" t="s">
        <x:v>71</x:v>
      </x:c>
      <x:c r="AK102" s="1">
        <x:v>4.3079999999999998</x:v>
      </x:c>
      <x:c r="AL102" s="1">
        <x:v>264740</x:v>
      </x:c>
      <x:c r="AM102" s="1"/>
      <x:c r="AN102" s="1"/>
      <x:c r="AO102" s="1"/>
      <x:c r="AP102" s="1"/>
      <x:c r="AQ102" s="1"/>
      <x:c r="AR102" s="1"/>
    </x:row>
    <x:row r="103">
      <x:c r="A103" s="1"/>
      <x:c r="B103" s="1"/>
      <x:c r="C103" s="1"/>
      <x:c r="D103" s="1"/>
      <x:c r="E103" s="1"/>
      <x:c r="F103" s="1"/>
      <x:c r="G103" s="1"/>
      <x:c r="H103" s="1"/>
      <x:c r="I103" s="1"/>
      <x:c r="J103" s="1"/>
      <x:c r="K103" s="1"/>
      <x:c r="L103" s="1"/>
      <x:c r="M103" s="1"/>
      <x:c r="N103" s="1"/>
      <x:c r="O103" s="1"/>
      <x:c r="P103" s="1"/>
      <x:c r="Q103" s="1"/>
      <x:c r="R103" s="1"/>
      <x:c r="S103" s="1"/>
      <x:c r="T103" s="1"/>
      <x:c r="U103" s="1"/>
      <x:c r="V103" s="1"/>
      <x:c r="W103" s="1"/>
      <x:c r="X103" s="1"/>
      <x:c r="Y103" s="1"/>
      <x:c r="Z103" s="1"/>
      <x:c r="AA103" s="1"/>
      <x:c r="AB103" s="1"/>
      <x:c r="AC103" s="1"/>
      <x:c r="AD103" s="1" t="s">
        <x:v>228</x:v>
      </x:c>
      <x:c r="AE103" s="1" t="s">
        <x:v>42</x:v>
      </x:c>
      <x:c r="AF103" s="1">
        <x:v>8.6219999999999999</x:v>
      </x:c>
      <x:c r="AG103" s="1">
        <x:v>13420</x:v>
      </x:c>
      <x:c r="AH103" s="1"/>
      <x:c r="AI103" s="1" t="s">
        <x:v>229</x:v>
      </x:c>
      <x:c r="AJ103" s="1" t="s">
        <x:v>79</x:v>
      </x:c>
      <x:c r="AK103" s="1">
        <x:v>3.9079999999999999</x:v>
      </x:c>
      <x:c r="AL103" s="1">
        <x:v>73950</x:v>
      </x:c>
      <x:c r="AM103" s="1"/>
      <x:c r="AN103" s="1"/>
      <x:c r="AO103" s="1"/>
      <x:c r="AP103" s="1"/>
      <x:c r="AQ103" s="1"/>
      <x:c r="AR103" s="1"/>
    </x:row>
    <x:row r="104">
      <x:c r="A104" s="1"/>
      <x:c r="B104" s="1"/>
      <x:c r="C104" s="1"/>
      <x:c r="D104" s="1"/>
      <x:c r="E104" s="1"/>
      <x:c r="F104" s="1"/>
      <x:c r="G104" s="1"/>
      <x:c r="H104" s="1"/>
      <x:c r="I104" s="1"/>
      <x:c r="J104" s="1"/>
      <x:c r="K104" s="1"/>
      <x:c r="L104" s="1"/>
      <x:c r="M104" s="1"/>
      <x:c r="N104" s="1"/>
      <x:c r="O104" s="1"/>
      <x:c r="P104" s="1"/>
      <x:c r="Q104" s="1"/>
      <x:c r="R104" s="1"/>
      <x:c r="S104" s="1"/>
      <x:c r="T104" s="1"/>
      <x:c r="U104" s="1"/>
      <x:c r="V104" s="1"/>
      <x:c r="W104" s="1"/>
      <x:c r="X104" s="1"/>
      <x:c r="Y104" s="1"/>
      <x:c r="Z104" s="1"/>
      <x:c r="AA104" s="1"/>
      <x:c r="AB104" s="1"/>
      <x:c r="AC104" s="1"/>
      <x:c r="AD104" s="1" t="s">
        <x:v>230</x:v>
      </x:c>
      <x:c r="AE104" s="1" t="s">
        <x:v>86</x:v>
      </x:c>
      <x:c r="AF104" s="1">
        <x:v>8.5519999999999996</x:v>
      </x:c>
      <x:c r="AG104" s="1">
        <x:v>11980</x:v>
      </x:c>
      <x:c r="AH104" s="1"/>
      <x:c r="AI104" s="1" t="s">
        <x:v>231</x:v>
      </x:c>
      <x:c r="AJ104" s="1" t="s">
        <x:v>83</x:v>
      </x:c>
      <x:c r="AK104" s="1">
        <x:v>3.411</x:v>
      </x:c>
      <x:c r="AL104" s="1">
        <x:v>56940</x:v>
      </x:c>
      <x:c r="AM104" s="1"/>
      <x:c r="AN104" s="1"/>
      <x:c r="AO104" s="1"/>
      <x:c r="AP104" s="1"/>
      <x:c r="AQ104" s="1"/>
      <x:c r="AR104" s="1"/>
    </x:row>
    <x:row r="105">
      <x:c r="A105" s="1"/>
      <x:c r="B105" s="1"/>
      <x:c r="C105" s="1"/>
      <x:c r="D105" s="1"/>
      <x:c r="E105" s="1"/>
      <x:c r="F105" s="1"/>
      <x:c r="G105" s="1"/>
      <x:c r="H105" s="1"/>
      <x:c r="I105" s="1"/>
      <x:c r="J105" s="1"/>
      <x:c r="K105" s="1"/>
      <x:c r="L105" s="1"/>
      <x:c r="M105" s="1"/>
      <x:c r="N105" s="1"/>
      <x:c r="O105" s="1"/>
      <x:c r="P105" s="1"/>
      <x:c r="Q105" s="1"/>
      <x:c r="R105" s="1"/>
      <x:c r="S105" s="1"/>
      <x:c r="T105" s="1"/>
      <x:c r="U105" s="1"/>
      <x:c r="V105" s="1"/>
      <x:c r="W105" s="1"/>
      <x:c r="X105" s="1"/>
      <x:c r="Y105" s="1"/>
      <x:c r="Z105" s="1"/>
      <x:c r="AA105" s="1"/>
      <x:c r="AB105" s="1"/>
      <x:c r="AC105" s="1"/>
      <x:c r="AD105" s="1" t="s">
        <x:v>232</x:v>
      </x:c>
      <x:c r="AE105" s="1" t="s">
        <x:v>38</x:v>
      </x:c>
      <x:c r="AF105" s="1">
        <x:v>8.51</x:v>
      </x:c>
      <x:c r="AG105" s="1">
        <x:v>36660</x:v>
      </x:c>
      <x:c r="AH105" s="1"/>
      <x:c r="AI105" s="1" t="s">
        <x:v>154</x:v>
      </x:c>
      <x:c r="AJ105" s="1" t="s">
        <x:v>10</x:v>
      </x:c>
      <x:c r="AK105" s="1">
        <x:v>10.494999999999999</x:v>
      </x:c>
      <x:c r="AL105" s="1">
        <x:v>39920</x:v>
      </x:c>
      <x:c r="AM105" s="1"/>
      <x:c r="AN105" s="1"/>
      <x:c r="AO105" s="1"/>
      <x:c r="AP105" s="1"/>
      <x:c r="AQ105" s="1"/>
      <x:c r="AR105" s="1"/>
    </x:row>
    <x:row r="106">
      <x:c r="A106" s="1"/>
      <x:c r="B106" s="1"/>
      <x:c r="C106" s="1"/>
      <x:c r="D106" s="1"/>
      <x:c r="E106" s="1"/>
      <x:c r="F106" s="1"/>
      <x:c r="G106" s="1"/>
      <x:c r="H106" s="1"/>
      <x:c r="I106" s="1"/>
      <x:c r="J106" s="1"/>
      <x:c r="K106" s="1"/>
      <x:c r="L106" s="1"/>
      <x:c r="M106" s="1"/>
      <x:c r="N106" s="1"/>
      <x:c r="O106" s="1"/>
      <x:c r="P106" s="1"/>
      <x:c r="Q106" s="1"/>
      <x:c r="R106" s="1"/>
      <x:c r="S106" s="1"/>
      <x:c r="T106" s="1"/>
      <x:c r="U106" s="1"/>
      <x:c r="V106" s="1"/>
      <x:c r="W106" s="1"/>
      <x:c r="X106" s="1"/>
      <x:c r="Y106" s="1"/>
      <x:c r="Z106" s="1"/>
      <x:c r="AA106" s="1"/>
      <x:c r="AB106" s="1"/>
      <x:c r="AC106" s="1"/>
      <x:c r="AD106" s="1" t="s">
        <x:v>233</x:v>
      </x:c>
      <x:c r="AE106" s="1" t="s">
        <x:v>182</x:v>
      </x:c>
      <x:c r="AF106" s="1">
        <x:v>8.4260000000000002</x:v>
      </x:c>
      <x:c r="AG106" s="1">
        <x:v>6830</x:v>
      </x:c>
      <x:c r="AH106" s="1"/>
      <x:c r="AI106" s="1" t="s">
        <x:v>155</x:v>
      </x:c>
      <x:c r="AJ106" s="1" t="s">
        <x:v>14</x:v>
      </x:c>
      <x:c r="AK106" s="1">
        <x:v>9.68</x:v>
      </x:c>
      <x:c r="AL106" s="1">
        <x:v>34730</x:v>
      </x:c>
      <x:c r="AM106" s="1"/>
      <x:c r="AN106" s="1"/>
      <x:c r="AO106" s="1"/>
      <x:c r="AP106" s="1"/>
      <x:c r="AQ106" s="1"/>
      <x:c r="AR106" s="1"/>
    </x:row>
    <x:row r="107">
      <x:c r="A107" s="1"/>
      <x:c r="B107" s="1"/>
      <x:c r="C107" s="1"/>
      <x:c r="D107" s="1"/>
      <x:c r="E107" s="1"/>
      <x:c r="F107" s="1"/>
      <x:c r="G107" s="1"/>
      <x:c r="H107" s="1"/>
      <x:c r="I107" s="1"/>
      <x:c r="J107" s="1"/>
      <x:c r="K107" s="1"/>
      <x:c r="L107" s="1"/>
      <x:c r="M107" s="1"/>
      <x:c r="N107" s="1"/>
      <x:c r="O107" s="1"/>
      <x:c r="P107" s="1"/>
      <x:c r="Q107" s="1"/>
      <x:c r="R107" s="1"/>
      <x:c r="S107" s="1"/>
      <x:c r="T107" s="1"/>
      <x:c r="U107" s="1"/>
      <x:c r="V107" s="1"/>
      <x:c r="W107" s="1"/>
      <x:c r="X107" s="1"/>
      <x:c r="Y107" s="1"/>
      <x:c r="Z107" s="1"/>
      <x:c r="AA107" s="1"/>
      <x:c r="AB107" s="1"/>
      <x:c r="AC107" s="1"/>
      <x:c r="AD107" s="1" t="s">
        <x:v>234</x:v>
      </x:c>
      <x:c r="AE107" s="1" t="s">
        <x:v>10</x:v>
      </x:c>
      <x:c r="AF107" s="1">
        <x:v>11.212999999999999</x:v>
      </x:c>
      <x:c r="AG107" s="1">
        <x:v>23570</x:v>
      </x:c>
      <x:c r="AH107" s="1"/>
      <x:c r="AI107" s="1" t="s">
        <x:v>156</x:v>
      </x:c>
      <x:c r="AJ107" s="1" t="s">
        <x:v>20</x:v>
      </x:c>
      <x:c r="AK107" s="1">
        <x:v>8.2119999999999997</x:v>
      </x:c>
      <x:c r="AL107" s="1">
        <x:v>72740</x:v>
      </x:c>
      <x:c r="AM107" s="1"/>
      <x:c r="AN107" s="1"/>
      <x:c r="AO107" s="1"/>
      <x:c r="AP107" s="1"/>
      <x:c r="AQ107" s="1"/>
      <x:c r="AR107" s="1"/>
    </x:row>
    <x:row r="108">
      <x:c r="A108" s="1"/>
      <x:c r="B108" s="1"/>
      <x:c r="C108" s="1"/>
      <x:c r="D108" s="1"/>
      <x:c r="E108" s="1"/>
      <x:c r="F108" s="1"/>
      <x:c r="G108" s="1"/>
      <x:c r="H108" s="1"/>
      <x:c r="I108" s="1"/>
      <x:c r="J108" s="1"/>
      <x:c r="K108" s="1"/>
      <x:c r="L108" s="1"/>
      <x:c r="M108" s="1"/>
      <x:c r="N108" s="1"/>
      <x:c r="O108" s="1"/>
      <x:c r="P108" s="1"/>
      <x:c r="Q108" s="1"/>
      <x:c r="R108" s="1"/>
      <x:c r="S108" s="1"/>
      <x:c r="T108" s="1"/>
      <x:c r="U108" s="1"/>
      <x:c r="V108" s="1"/>
      <x:c r="W108" s="1"/>
      <x:c r="X108" s="1"/>
      <x:c r="Y108" s="1"/>
      <x:c r="Z108" s="1"/>
      <x:c r="AA108" s="1"/>
      <x:c r="AB108" s="1"/>
      <x:c r="AC108" s="1"/>
      <x:c r="AD108" s="1" t="s">
        <x:v>235</x:v>
      </x:c>
      <x:c r="AE108" s="1" t="s">
        <x:v>14</x:v>
      </x:c>
      <x:c r="AF108" s="1">
        <x:v>10.236000000000001</x:v>
      </x:c>
      <x:c r="AG108" s="1">
        <x:v>20350</x:v>
      </x:c>
      <x:c r="AH108" s="1"/>
      <x:c r="AI108" s="1" t="s">
        <x:v>157</x:v>
      </x:c>
      <x:c r="AJ108" s="1" t="s">
        <x:v>27</x:v>
      </x:c>
      <x:c r="AK108" s="1">
        <x:v>6.8159999999999998</x:v>
      </x:c>
      <x:c r="AL108" s="1">
        <x:v>353010</x:v>
      </x:c>
      <x:c r="AM108" s="1"/>
      <x:c r="AN108" s="1"/>
      <x:c r="AO108" s="1"/>
      <x:c r="AP108" s="1"/>
      <x:c r="AQ108" s="1"/>
      <x:c r="AR108" s="1"/>
    </x:row>
    <x:row r="109">
      <x:c r="A109" s="1"/>
      <x:c r="B109" s="1"/>
      <x:c r="C109" s="1"/>
      <x:c r="D109" s="1"/>
      <x:c r="E109" s="1"/>
      <x:c r="F109" s="1"/>
      <x:c r="G109" s="1"/>
      <x:c r="H109" s="1"/>
      <x:c r="I109" s="1"/>
      <x:c r="J109" s="1"/>
      <x:c r="K109" s="1"/>
      <x:c r="L109" s="1"/>
      <x:c r="M109" s="1"/>
      <x:c r="N109" s="1"/>
      <x:c r="O109" s="1"/>
      <x:c r="P109" s="1"/>
      <x:c r="Q109" s="1"/>
      <x:c r="R109" s="1"/>
      <x:c r="S109" s="1"/>
      <x:c r="T109" s="1"/>
      <x:c r="U109" s="1"/>
      <x:c r="V109" s="1"/>
      <x:c r="W109" s="1"/>
      <x:c r="X109" s="1"/>
      <x:c r="Y109" s="1"/>
      <x:c r="Z109" s="1"/>
      <x:c r="AA109" s="1"/>
      <x:c r="AB109" s="1"/>
      <x:c r="AC109" s="1"/>
      <x:c r="AD109" s="1" t="s">
        <x:v>236</x:v>
      </x:c>
      <x:c r="AE109" s="1" t="s">
        <x:v>20</x:v>
      </x:c>
      <x:c r="AF109" s="1">
        <x:v>8.6969999999999992</x:v>
      </x:c>
      <x:c r="AG109" s="1">
        <x:v>40530</x:v>
      </x:c>
      <x:c r="AH109" s="1"/>
      <x:c r="AI109" s="1" t="s">
        <x:v>158</x:v>
      </x:c>
      <x:c r="AJ109" s="1" t="s">
        <x:v>31</x:v>
      </x:c>
      <x:c r="AK109" s="1">
        <x:v>6.6260000000000003</x:v>
      </x:c>
      <x:c r="AL109" s="1">
        <x:v>383840</x:v>
      </x:c>
      <x:c r="AM109" s="1"/>
      <x:c r="AN109" s="1"/>
      <x:c r="AO109" s="1"/>
      <x:c r="AP109" s="1"/>
      <x:c r="AQ109" s="1"/>
      <x:c r="AR109" s="1"/>
    </x:row>
    <x:row r="110">
      <x:c r="A110" s="1"/>
      <x:c r="B110" s="1"/>
      <x:c r="C110" s="1"/>
      <x:c r="D110" s="1"/>
      <x:c r="E110" s="1"/>
      <x:c r="F110" s="1"/>
      <x:c r="G110" s="1"/>
      <x:c r="H110" s="1"/>
      <x:c r="I110" s="1"/>
      <x:c r="J110" s="1"/>
      <x:c r="K110" s="1"/>
      <x:c r="L110" s="1"/>
      <x:c r="M110" s="1"/>
      <x:c r="N110" s="1"/>
      <x:c r="O110" s="1"/>
      <x:c r="P110" s="1"/>
      <x:c r="Q110" s="1"/>
      <x:c r="R110" s="1"/>
      <x:c r="S110" s="1"/>
      <x:c r="T110" s="1"/>
      <x:c r="U110" s="1"/>
      <x:c r="V110" s="1"/>
      <x:c r="W110" s="1"/>
      <x:c r="X110" s="1"/>
      <x:c r="Y110" s="1"/>
      <x:c r="Z110" s="1"/>
      <x:c r="AA110" s="1"/>
      <x:c r="AB110" s="1"/>
      <x:c r="AC110" s="1"/>
      <x:c r="AD110" s="1" t="s">
        <x:v>237</x:v>
      </x:c>
      <x:c r="AE110" s="1" t="s">
        <x:v>19</x:v>
      </x:c>
      <x:c r="AF110" s="1">
        <x:v>7.6130000000000004</x:v>
      </x:c>
      <x:c r="AG110" s="1">
        <x:v>7850</x:v>
      </x:c>
      <x:c r="AH110" s="1"/>
      <x:c r="AI110" s="1" t="s">
        <x:v>160</x:v>
      </x:c>
      <x:c r="AJ110" s="1" t="s">
        <x:v>35</x:v>
      </x:c>
      <x:c r="AK110" s="1">
        <x:v>6.476</x:v>
      </x:c>
      <x:c r="AL110" s="1">
        <x:v>175130</x:v>
      </x:c>
      <x:c r="AM110" s="1"/>
      <x:c r="AN110" s="1"/>
      <x:c r="AO110" s="1"/>
      <x:c r="AP110" s="1"/>
      <x:c r="AQ110" s="1"/>
      <x:c r="AR110" s="1"/>
    </x:row>
    <x:row r="111">
      <x:c r="A111" s="1"/>
      <x:c r="B111" s="1"/>
      <x:c r="C111" s="1"/>
      <x:c r="D111" s="1"/>
      <x:c r="E111" s="1"/>
      <x:c r="F111" s="1"/>
      <x:c r="G111" s="1"/>
      <x:c r="H111" s="1"/>
      <x:c r="I111" s="1"/>
      <x:c r="J111" s="1"/>
      <x:c r="K111" s="1"/>
      <x:c r="L111" s="1"/>
      <x:c r="M111" s="1"/>
      <x:c r="N111" s="1"/>
      <x:c r="O111" s="1"/>
      <x:c r="P111" s="1"/>
      <x:c r="Q111" s="1"/>
      <x:c r="R111" s="1"/>
      <x:c r="S111" s="1"/>
      <x:c r="T111" s="1"/>
      <x:c r="U111" s="1"/>
      <x:c r="V111" s="1"/>
      <x:c r="W111" s="1"/>
      <x:c r="X111" s="1"/>
      <x:c r="Y111" s="1"/>
      <x:c r="Z111" s="1"/>
      <x:c r="AA111" s="1"/>
      <x:c r="AB111" s="1"/>
      <x:c r="AC111" s="1"/>
      <x:c r="AD111" s="1" t="s">
        <x:v>238</x:v>
      </x:c>
      <x:c r="AE111" s="1" t="s">
        <x:v>30</x:v>
      </x:c>
      <x:c r="AF111" s="1">
        <x:v>7.2169999999999996</x:v>
      </x:c>
      <x:c r="AG111" s="1">
        <x:v>4100</x:v>
      </x:c>
      <x:c r="AH111" s="1"/>
      <x:c r="AI111" s="1" t="s">
        <x:v>162</x:v>
      </x:c>
      <x:c r="AJ111" s="1" t="s">
        <x:v>39</x:v>
      </x:c>
      <x:c r="AK111" s="1">
        <x:v>6.4089999999999998</x:v>
      </x:c>
      <x:c r="AL111" s="1">
        <x:v>159880</x:v>
      </x:c>
      <x:c r="AM111" s="1"/>
      <x:c r="AN111" s="1"/>
      <x:c r="AO111" s="1"/>
      <x:c r="AP111" s="1"/>
      <x:c r="AQ111" s="1"/>
      <x:c r="AR111" s="1"/>
    </x:row>
    <x:row r="112">
      <x:c r="A112" s="1"/>
      <x:c r="B112" s="1"/>
      <x:c r="C112" s="1"/>
      <x:c r="D112" s="1"/>
      <x:c r="E112" s="1"/>
      <x:c r="F112" s="1"/>
      <x:c r="G112" s="1"/>
      <x:c r="H112" s="1"/>
      <x:c r="I112" s="1"/>
      <x:c r="J112" s="1"/>
      <x:c r="K112" s="1"/>
      <x:c r="L112" s="1"/>
      <x:c r="M112" s="1"/>
      <x:c r="N112" s="1"/>
      <x:c r="O112" s="1"/>
      <x:c r="P112" s="1"/>
      <x:c r="Q112" s="1"/>
      <x:c r="R112" s="1"/>
      <x:c r="S112" s="1"/>
      <x:c r="T112" s="1"/>
      <x:c r="U112" s="1"/>
      <x:c r="V112" s="1"/>
      <x:c r="W112" s="1"/>
      <x:c r="X112" s="1"/>
      <x:c r="Y112" s="1"/>
      <x:c r="Z112" s="1"/>
      <x:c r="AA112" s="1"/>
      <x:c r="AB112" s="1"/>
      <x:c r="AC112" s="1"/>
      <x:c r="AD112" s="1" t="s">
        <x:v>239</x:v>
      </x:c>
      <x:c r="AE112" s="1" t="s">
        <x:v>97</x:v>
      </x:c>
      <x:c r="AF112" s="1">
        <x:v>6.827</x:v>
      </x:c>
      <x:c r="AG112" s="1">
        <x:v>9290</x:v>
      </x:c>
      <x:c r="AH112" s="1"/>
      <x:c r="AI112" s="1" t="s">
        <x:v>164</x:v>
      </x:c>
      <x:c r="AJ112" s="1" t="s">
        <x:v>43</x:v>
      </x:c>
      <x:c r="AK112" s="1">
        <x:v>6.2569999999999997</x:v>
      </x:c>
      <x:c r="AL112" s="1">
        <x:v>18120</x:v>
      </x:c>
      <x:c r="AM112" s="1"/>
      <x:c r="AN112" s="1"/>
      <x:c r="AO112" s="1"/>
      <x:c r="AP112" s="1"/>
      <x:c r="AQ112" s="1"/>
      <x:c r="AR112" s="1"/>
    </x:row>
    <x:row r="113">
      <x:c r="A113" s="1"/>
      <x:c r="B113" s="1"/>
      <x:c r="C113" s="1"/>
      <x:c r="D113" s="1"/>
      <x:c r="E113" s="1"/>
      <x:c r="F113" s="1"/>
      <x:c r="G113" s="1"/>
      <x:c r="H113" s="1"/>
      <x:c r="I113" s="1"/>
      <x:c r="J113" s="1"/>
      <x:c r="K113" s="1"/>
      <x:c r="L113" s="1"/>
      <x:c r="M113" s="1"/>
      <x:c r="N113" s="1"/>
      <x:c r="O113" s="1"/>
      <x:c r="P113" s="1"/>
      <x:c r="Q113" s="1"/>
      <x:c r="R113" s="1"/>
      <x:c r="S113" s="1"/>
      <x:c r="T113" s="1"/>
      <x:c r="U113" s="1"/>
      <x:c r="V113" s="1"/>
      <x:c r="W113" s="1"/>
      <x:c r="X113" s="1"/>
      <x:c r="Y113" s="1"/>
      <x:c r="Z113" s="1"/>
      <x:c r="AA113" s="1"/>
      <x:c r="AB113" s="1"/>
      <x:c r="AC113" s="1"/>
      <x:c r="AD113" s="1" t="s">
        <x:v>240</x:v>
      </x:c>
      <x:c r="AE113" s="1" t="s">
        <x:v>34</x:v>
      </x:c>
      <x:c r="AF113" s="1">
        <x:v>6.806</x:v>
      </x:c>
      <x:c r="AG113" s="1">
        <x:v>7500</x:v>
      </x:c>
      <x:c r="AH113" s="1"/>
      <x:c r="AI113" s="1" t="s">
        <x:v>166</x:v>
      </x:c>
      <x:c r="AJ113" s="1" t="s">
        <x:v>47</x:v>
      </x:c>
      <x:c r="AK113" s="1">
        <x:v>5.9340000000000002</x:v>
      </x:c>
      <x:c r="AL113" s="1">
        <x:v>301360</x:v>
      </x:c>
      <x:c r="AM113" s="1"/>
      <x:c r="AN113" s="1"/>
      <x:c r="AO113" s="1"/>
      <x:c r="AP113" s="1"/>
      <x:c r="AQ113" s="1"/>
      <x:c r="AR113" s="1"/>
    </x:row>
    <x:row r="114">
      <x:c r="A114" s="1"/>
      <x:c r="B114" s="1"/>
      <x:c r="C114" s="1"/>
      <x:c r="D114" s="1"/>
      <x:c r="E114" s="1"/>
      <x:c r="F114" s="1"/>
      <x:c r="G114" s="1"/>
      <x:c r="H114" s="1"/>
      <x:c r="I114" s="1"/>
      <x:c r="J114" s="1"/>
      <x:c r="K114" s="1"/>
      <x:c r="L114" s="1"/>
      <x:c r="M114" s="1"/>
      <x:c r="N114" s="1"/>
      <x:c r="O114" s="1"/>
      <x:c r="P114" s="1"/>
      <x:c r="Q114" s="1"/>
      <x:c r="R114" s="1"/>
      <x:c r="S114" s="1"/>
      <x:c r="T114" s="1"/>
      <x:c r="U114" s="1"/>
      <x:c r="V114" s="1"/>
      <x:c r="W114" s="1"/>
      <x:c r="X114" s="1"/>
      <x:c r="Y114" s="1"/>
      <x:c r="Z114" s="1"/>
      <x:c r="AA114" s="1"/>
      <x:c r="AB114" s="1"/>
      <x:c r="AC114" s="1"/>
      <x:c r="AD114" s="1" t="s">
        <x:v>241</x:v>
      </x:c>
      <x:c r="AE114" s="1" t="s">
        <x:v>50</x:v>
      </x:c>
      <x:c r="AF114" s="1">
        <x:v>6.726</x:v>
      </x:c>
      <x:c r="AG114" s="1">
        <x:v>17900</x:v>
      </x:c>
      <x:c r="AH114" s="1"/>
      <x:c r="AI114" s="1" t="s">
        <x:v>168</x:v>
      </x:c>
      <x:c r="AJ114" s="1" t="s">
        <x:v>55</x:v>
      </x:c>
      <x:c r="AK114" s="1">
        <x:v>5.8239999999999998</x:v>
      </x:c>
      <x:c r="AL114" s="1">
        <x:v>187410</x:v>
      </x:c>
      <x:c r="AM114" s="1"/>
      <x:c r="AN114" s="1"/>
      <x:c r="AO114" s="1"/>
      <x:c r="AP114" s="1"/>
      <x:c r="AQ114" s="1"/>
      <x:c r="AR114" s="1"/>
    </x:row>
    <x:row r="115">
      <x:c r="A115" s="1"/>
      <x:c r="B115" s="1"/>
      <x:c r="C115" s="1"/>
      <x:c r="D115" s="1"/>
      <x:c r="E115" s="1"/>
      <x:c r="F115" s="1"/>
      <x:c r="G115" s="1"/>
      <x:c r="H115" s="1"/>
      <x:c r="I115" s="1"/>
      <x:c r="J115" s="1"/>
      <x:c r="K115" s="1"/>
      <x:c r="L115" s="1"/>
      <x:c r="M115" s="1"/>
      <x:c r="N115" s="1"/>
      <x:c r="O115" s="1"/>
      <x:c r="P115" s="1"/>
      <x:c r="Q115" s="1"/>
      <x:c r="R115" s="1"/>
      <x:c r="S115" s="1"/>
      <x:c r="T115" s="1"/>
      <x:c r="U115" s="1"/>
      <x:c r="V115" s="1"/>
      <x:c r="W115" s="1"/>
      <x:c r="X115" s="1"/>
      <x:c r="Y115" s="1"/>
      <x:c r="Z115" s="1"/>
      <x:c r="AA115" s="1"/>
      <x:c r="AB115" s="1"/>
      <x:c r="AC115" s="1"/>
      <x:c r="AD115" s="1" t="s">
        <x:v>242</x:v>
      </x:c>
      <x:c r="AE115" s="1" t="s">
        <x:v>38</x:v>
      </x:c>
      <x:c r="AF115" s="1">
        <x:v>6.6790000000000003</x:v>
      </x:c>
      <x:c r="AG115" s="1">
        <x:v>31730</x:v>
      </x:c>
      <x:c r="AH115" s="1"/>
      <x:c r="AI115" s="1" t="s">
        <x:v>243</x:v>
      </x:c>
      <x:c r="AJ115" s="1" t="s">
        <x:v>51</x:v>
      </x:c>
      <x:c r="AK115" s="1">
        <x:v>5.7919999999999998</x:v>
      </x:c>
      <x:c r="AL115" s="1">
        <x:v>335450</x:v>
      </x:c>
      <x:c r="AM115" s="1"/>
      <x:c r="AN115" s="1"/>
      <x:c r="AO115" s="1"/>
      <x:c r="AP115" s="1"/>
      <x:c r="AQ115" s="1"/>
      <x:c r="AR115" s="1"/>
    </x:row>
    <x:row r="116">
      <x:c r="A116" s="1"/>
      <x:c r="B116" s="1"/>
      <x:c r="C116" s="1"/>
      <x:c r="D116" s="1"/>
      <x:c r="E116" s="1"/>
      <x:c r="F116" s="1"/>
      <x:c r="G116" s="1"/>
      <x:c r="H116" s="1"/>
      <x:c r="I116" s="1"/>
      <x:c r="J116" s="1"/>
      <x:c r="K116" s="1"/>
      <x:c r="L116" s="1"/>
      <x:c r="M116" s="1"/>
      <x:c r="N116" s="1"/>
      <x:c r="O116" s="1"/>
      <x:c r="P116" s="1"/>
      <x:c r="Q116" s="1"/>
      <x:c r="R116" s="1"/>
      <x:c r="S116" s="1"/>
      <x:c r="T116" s="1"/>
      <x:c r="U116" s="1"/>
      <x:c r="V116" s="1"/>
      <x:c r="W116" s="1"/>
      <x:c r="X116" s="1"/>
      <x:c r="Y116" s="1"/>
      <x:c r="Z116" s="1"/>
      <x:c r="AA116" s="1"/>
      <x:c r="AB116" s="1"/>
      <x:c r="AC116" s="1"/>
      <x:c r="AD116" s="1" t="s">
        <x:v>244</x:v>
      </x:c>
      <x:c r="AE116" s="1" t="s">
        <x:v>182</x:v>
      </x:c>
      <x:c r="AF116" s="1">
        <x:v>6.5810000000000004</x:v>
      </x:c>
      <x:c r="AG116" s="1">
        <x:v>5720</x:v>
      </x:c>
      <x:c r="AH116" s="1"/>
      <x:c r="AI116" s="1" t="s">
        <x:v>245</x:v>
      </x:c>
      <x:c r="AJ116" s="1" t="s">
        <x:v>59</x:v>
      </x:c>
      <x:c r="AK116" s="1">
        <x:v>5.6340000000000003</x:v>
      </x:c>
      <x:c r="AL116" s="1">
        <x:v>322200</x:v>
      </x:c>
      <x:c r="AM116" s="1"/>
      <x:c r="AN116" s="1"/>
      <x:c r="AO116" s="1"/>
      <x:c r="AP116" s="1"/>
      <x:c r="AQ116" s="1"/>
      <x:c r="AR116" s="1"/>
    </x:row>
    <x:row r="117">
      <x:c r="A117" s="1"/>
      <x:c r="B117" s="1"/>
      <x:c r="C117" s="1"/>
      <x:c r="D117" s="1"/>
      <x:c r="E117" s="1"/>
      <x:c r="F117" s="1"/>
      <x:c r="G117" s="1"/>
      <x:c r="H117" s="1"/>
      <x:c r="I117" s="1"/>
      <x:c r="J117" s="1"/>
      <x:c r="K117" s="1"/>
      <x:c r="L117" s="1"/>
      <x:c r="M117" s="1"/>
      <x:c r="N117" s="1"/>
      <x:c r="O117" s="1"/>
      <x:c r="P117" s="1"/>
      <x:c r="Q117" s="1"/>
      <x:c r="R117" s="1"/>
      <x:c r="S117" s="1"/>
      <x:c r="T117" s="1"/>
      <x:c r="U117" s="1"/>
      <x:c r="V117" s="1"/>
      <x:c r="W117" s="1"/>
      <x:c r="X117" s="1"/>
      <x:c r="Y117" s="1"/>
      <x:c r="Z117" s="1"/>
      <x:c r="AA117" s="1"/>
      <x:c r="AB117" s="1"/>
      <x:c r="AC117" s="1"/>
      <x:c r="AD117" s="1" t="s">
        <x:v>246</x:v>
      </x:c>
      <x:c r="AE117" s="1" t="s">
        <x:v>10</x:v>
      </x:c>
      <x:c r="AF117" s="1">
        <x:v>10.97</x:v>
      </x:c>
      <x:c r="AG117" s="1">
        <x:v>41750</x:v>
      </x:c>
      <x:c r="AH117" s="1"/>
      <x:c r="AI117" s="1" t="s">
        <x:v>247</x:v>
      </x:c>
      <x:c r="AJ117" s="1" t="s">
        <x:v>63</x:v>
      </x:c>
      <x:c r="AK117" s="1">
        <x:v>5.3959999999999999</x:v>
      </x:c>
      <x:c r="AL117" s="1">
        <x:v>415830</x:v>
      </x:c>
      <x:c r="AM117" s="1"/>
      <x:c r="AN117" s="1"/>
      <x:c r="AO117" s="1"/>
      <x:c r="AP117" s="1"/>
      <x:c r="AQ117" s="1"/>
      <x:c r="AR117" s="1"/>
    </x:row>
    <x:row r="118">
      <x:c r="A118" s="1"/>
      <x:c r="B118" s="1"/>
      <x:c r="C118" s="1"/>
      <x:c r="D118" s="1"/>
      <x:c r="E118" s="1"/>
      <x:c r="F118" s="1"/>
      <x:c r="G118" s="1"/>
      <x:c r="H118" s="1"/>
      <x:c r="I118" s="1"/>
      <x:c r="J118" s="1"/>
      <x:c r="K118" s="1"/>
      <x:c r="L118" s="1"/>
      <x:c r="M118" s="1"/>
      <x:c r="N118" s="1"/>
      <x:c r="O118" s="1"/>
      <x:c r="P118" s="1"/>
      <x:c r="Q118" s="1"/>
      <x:c r="R118" s="1"/>
      <x:c r="S118" s="1"/>
      <x:c r="T118" s="1"/>
      <x:c r="U118" s="1"/>
      <x:c r="V118" s="1"/>
      <x:c r="W118" s="1"/>
      <x:c r="X118" s="1"/>
      <x:c r="Y118" s="1"/>
      <x:c r="Z118" s="1"/>
      <x:c r="AA118" s="1"/>
      <x:c r="AB118" s="1"/>
      <x:c r="AC118" s="1"/>
      <x:c r="AD118" s="1" t="s">
        <x:v>248</x:v>
      </x:c>
      <x:c r="AE118" s="1" t="s">
        <x:v>14</x:v>
      </x:c>
      <x:c r="AF118" s="1">
        <x:v>10.182</x:v>
      </x:c>
      <x:c r="AG118" s="1">
        <x:v>36390</x:v>
      </x:c>
      <x:c r="AH118" s="1"/>
      <x:c r="AI118" s="1" t="s">
        <x:v>249</x:v>
      </x:c>
      <x:c r="AJ118" s="1" t="s">
        <x:v>67</x:v>
      </x:c>
      <x:c r="AK118" s="1">
        <x:v>5.327</x:v>
      </x:c>
      <x:c r="AL118" s="1">
        <x:v>10180</x:v>
      </x:c>
      <x:c r="AM118" s="1"/>
      <x:c r="AN118" s="1"/>
      <x:c r="AO118" s="1"/>
      <x:c r="AP118" s="1"/>
      <x:c r="AQ118" s="1"/>
      <x:c r="AR118" s="1"/>
    </x:row>
    <x:row r="119">
      <x:c r="A119" s="1"/>
      <x:c r="B119" s="1"/>
      <x:c r="C119" s="1"/>
      <x:c r="D119" s="1"/>
      <x:c r="E119" s="1"/>
      <x:c r="F119" s="1"/>
      <x:c r="G119" s="1"/>
      <x:c r="H119" s="1"/>
      <x:c r="I119" s="1"/>
      <x:c r="J119" s="1"/>
      <x:c r="K119" s="1"/>
      <x:c r="L119" s="1"/>
      <x:c r="M119" s="1"/>
      <x:c r="N119" s="1"/>
      <x:c r="O119" s="1"/>
      <x:c r="P119" s="1"/>
      <x:c r="Q119" s="1"/>
      <x:c r="R119" s="1"/>
      <x:c r="S119" s="1"/>
      <x:c r="T119" s="1"/>
      <x:c r="U119" s="1"/>
      <x:c r="V119" s="1"/>
      <x:c r="W119" s="1"/>
      <x:c r="X119" s="1"/>
      <x:c r="Y119" s="1"/>
      <x:c r="Z119" s="1"/>
      <x:c r="AA119" s="1"/>
      <x:c r="AB119" s="1"/>
      <x:c r="AC119" s="1"/>
      <x:c r="AD119" s="1" t="s">
        <x:v>250</x:v>
      </x:c>
      <x:c r="AE119" s="1" t="s">
        <x:v>19</x:v>
      </x:c>
      <x:c r="AF119" s="1">
        <x:v>9.0329999999999995</x:v>
      </x:c>
      <x:c r="AG119" s="1">
        <x:v>17670</x:v>
      </x:c>
      <x:c r="AH119" s="1"/>
      <x:c r="AI119" s="1" t="s">
        <x:v>251</x:v>
      </x:c>
      <x:c r="AJ119" s="1" t="s">
        <x:v>71</x:v>
      </x:c>
      <x:c r="AK119" s="1">
        <x:v>5.1970000000000001</x:v>
      </x:c>
      <x:c r="AL119" s="1">
        <x:v>610410</x:v>
      </x:c>
      <x:c r="AM119" s="1"/>
      <x:c r="AN119" s="1"/>
      <x:c r="AO119" s="1"/>
      <x:c r="AP119" s="1"/>
      <x:c r="AQ119" s="1"/>
      <x:c r="AR119" s="1"/>
    </x:row>
    <x:row r="120">
      <x:c r="A120" s="1"/>
      <x:c r="B120" s="1"/>
      <x:c r="C120" s="1"/>
      <x:c r="D120" s="1"/>
      <x:c r="E120" s="1"/>
      <x:c r="F120" s="1"/>
      <x:c r="G120" s="1"/>
      <x:c r="H120" s="1"/>
      <x:c r="I120" s="1"/>
      <x:c r="J120" s="1"/>
      <x:c r="K120" s="1"/>
      <x:c r="L120" s="1"/>
      <x:c r="M120" s="1"/>
      <x:c r="N120" s="1"/>
      <x:c r="O120" s="1"/>
      <x:c r="P120" s="1"/>
      <x:c r="Q120" s="1"/>
      <x:c r="R120" s="1"/>
      <x:c r="S120" s="1"/>
      <x:c r="T120" s="1"/>
      <x:c r="U120" s="1"/>
      <x:c r="V120" s="1"/>
      <x:c r="W120" s="1"/>
      <x:c r="X120" s="1"/>
      <x:c r="Y120" s="1"/>
      <x:c r="Z120" s="1"/>
      <x:c r="AA120" s="1"/>
      <x:c r="AB120" s="1"/>
      <x:c r="AC120" s="1"/>
      <x:c r="AD120" s="1" t="s">
        <x:v>252</x:v>
      </x:c>
      <x:c r="AE120" s="1" t="s">
        <x:v>30</x:v>
      </x:c>
      <x:c r="AF120" s="1">
        <x:v>8.5389999999999997</x:v>
      </x:c>
      <x:c r="AG120" s="1">
        <x:v>9300</x:v>
      </x:c>
      <x:c r="AH120" s="1"/>
      <x:c r="AI120" s="1" t="s">
        <x:v>253</x:v>
      </x:c>
      <x:c r="AJ120" s="1" t="s">
        <x:v>75</x:v>
      </x:c>
      <x:c r="AK120" s="1">
        <x:v>5.1109999999999998</x:v>
      </x:c>
      <x:c r="AL120" s="1">
        <x:v>5130</x:v>
      </x:c>
      <x:c r="AM120" s="1"/>
      <x:c r="AN120" s="1"/>
      <x:c r="AO120" s="1"/>
      <x:c r="AP120" s="1"/>
      <x:c r="AQ120" s="1"/>
      <x:c r="AR120" s="1"/>
    </x:row>
    <x:row r="121">
      <x:c r="A121" s="1"/>
      <x:c r="B121" s="1"/>
      <x:c r="C121" s="1"/>
      <x:c r="D121" s="1"/>
      <x:c r="E121" s="1"/>
      <x:c r="F121" s="1"/>
      <x:c r="G121" s="1"/>
      <x:c r="H121" s="1"/>
      <x:c r="I121" s="1"/>
      <x:c r="J121" s="1"/>
      <x:c r="K121" s="1"/>
      <x:c r="L121" s="1"/>
      <x:c r="M121" s="1"/>
      <x:c r="N121" s="1"/>
      <x:c r="O121" s="1"/>
      <x:c r="P121" s="1"/>
      <x:c r="Q121" s="1"/>
      <x:c r="R121" s="1"/>
      <x:c r="S121" s="1"/>
      <x:c r="T121" s="1"/>
      <x:c r="U121" s="1"/>
      <x:c r="V121" s="1"/>
      <x:c r="W121" s="1"/>
      <x:c r="X121" s="1"/>
      <x:c r="Y121" s="1"/>
      <x:c r="Z121" s="1"/>
      <x:c r="AA121" s="1"/>
      <x:c r="AB121" s="1"/>
      <x:c r="AC121" s="1"/>
      <x:c r="AD121" s="1" t="s">
        <x:v>254</x:v>
      </x:c>
      <x:c r="AE121" s="1" t="s">
        <x:v>20</x:v>
      </x:c>
      <x:c r="AF121" s="1">
        <x:v>8.5289999999999999</x:v>
      </x:c>
      <x:c r="AG121" s="1">
        <x:v>76850</x:v>
      </x:c>
      <x:c r="AH121" s="1"/>
      <x:c r="AI121" s="1" t="s">
        <x:v>255</x:v>
      </x:c>
      <x:c r="AJ121" s="1" t="s">
        <x:v>79</x:v>
      </x:c>
      <x:c r="AK121" s="1">
        <x:v>4.7779999999999996</x:v>
      </x:c>
      <x:c r="AL121" s="1">
        <x:v>175520</x:v>
      </x:c>
      <x:c r="AM121" s="1"/>
      <x:c r="AN121" s="1"/>
      <x:c r="AO121" s="1"/>
      <x:c r="AP121" s="1"/>
      <x:c r="AQ121" s="1"/>
      <x:c r="AR121" s="1"/>
    </x:row>
    <x:row r="122">
      <x:c r="A122" s="1"/>
      <x:c r="B122" s="1"/>
      <x:c r="C122" s="1"/>
      <x:c r="D122" s="1"/>
      <x:c r="E122" s="1"/>
      <x:c r="F122" s="1"/>
      <x:c r="G122" s="1"/>
      <x:c r="H122" s="1"/>
      <x:c r="I122" s="1"/>
      <x:c r="J122" s="1"/>
      <x:c r="K122" s="1"/>
      <x:c r="L122" s="1"/>
      <x:c r="M122" s="1"/>
      <x:c r="N122" s="1"/>
      <x:c r="O122" s="1"/>
      <x:c r="P122" s="1"/>
      <x:c r="Q122" s="1"/>
      <x:c r="R122" s="1"/>
      <x:c r="S122" s="1"/>
      <x:c r="T122" s="1"/>
      <x:c r="U122" s="1"/>
      <x:c r="V122" s="1"/>
      <x:c r="W122" s="1"/>
      <x:c r="X122" s="1"/>
      <x:c r="Y122" s="1"/>
      <x:c r="Z122" s="1"/>
      <x:c r="AA122" s="1"/>
      <x:c r="AB122" s="1"/>
      <x:c r="AC122" s="1"/>
      <x:c r="AD122" s="1" t="s">
        <x:v>256</x:v>
      </x:c>
      <x:c r="AE122" s="1" t="s">
        <x:v>34</x:v>
      </x:c>
      <x:c r="AF122" s="1">
        <x:v>8.0009999999999994</x:v>
      </x:c>
      <x:c r="AG122" s="1">
        <x:v>16830</x:v>
      </x:c>
      <x:c r="AH122" s="1"/>
      <x:c r="AI122" s="1" t="s">
        <x:v>257</x:v>
      </x:c>
      <x:c r="AJ122" s="1" t="s">
        <x:v>83</x:v>
      </x:c>
      <x:c r="AK122" s="1">
        <x:v>4.1740000000000004</x:v>
      </x:c>
      <x:c r="AL122" s="1">
        <x:v>134750</x:v>
      </x:c>
      <x:c r="AM122" s="1"/>
      <x:c r="AN122" s="1"/>
      <x:c r="AO122" s="1"/>
      <x:c r="AP122" s="1"/>
      <x:c r="AQ122" s="1"/>
      <x:c r="AR122" s="1"/>
    </x:row>
    <x:row r="123">
      <x:c r="A123" s="1"/>
      <x:c r="B123" s="1"/>
      <x:c r="C123" s="1"/>
      <x:c r="D123" s="1"/>
      <x:c r="E123" s="1"/>
      <x:c r="F123" s="1"/>
      <x:c r="G123" s="1"/>
      <x:c r="H123" s="1"/>
      <x:c r="I123" s="1"/>
      <x:c r="J123" s="1"/>
      <x:c r="K123" s="1"/>
      <x:c r="L123" s="1"/>
      <x:c r="M123" s="1"/>
      <x:c r="N123" s="1"/>
      <x:c r="O123" s="1"/>
      <x:c r="P123" s="1"/>
      <x:c r="Q123" s="1"/>
      <x:c r="R123" s="1"/>
      <x:c r="S123" s="1"/>
      <x:c r="T123" s="1"/>
      <x:c r="U123" s="1"/>
      <x:c r="V123" s="1"/>
      <x:c r="W123" s="1"/>
      <x:c r="X123" s="1"/>
      <x:c r="Y123" s="1"/>
      <x:c r="Z123" s="1"/>
      <x:c r="AA123" s="1"/>
      <x:c r="AB123" s="1"/>
      <x:c r="AC123" s="1"/>
      <x:c r="AD123" s="1" t="s">
        <x:v>258</x:v>
      </x:c>
      <x:c r="AE123" s="1" t="s">
        <x:v>46</x:v>
      </x:c>
      <x:c r="AF123" s="1">
        <x:v>7.7720000000000002</x:v>
      </x:c>
      <x:c r="AG123" s="1">
        <x:v>25370</x:v>
      </x:c>
      <x:c r="AH123" s="1"/>
      <x:c r="AI123" s="1" t="s">
        <x:v>170</x:v>
      </x:c>
      <x:c r="AJ123" s="1" t="s">
        <x:v>10</x:v>
      </x:c>
      <x:c r="AK123" s="1">
        <x:v>9.8109999999999999</x:v>
      </x:c>
      <x:c r="AL123" s="1">
        <x:v>16640</x:v>
      </x:c>
      <x:c r="AM123" s="1"/>
      <x:c r="AN123" s="1"/>
      <x:c r="AO123" s="1"/>
      <x:c r="AP123" s="1"/>
      <x:c r="AQ123" s="1"/>
      <x:c r="AR123" s="1"/>
    </x:row>
    <x:row r="124">
      <x:c r="A124" s="1"/>
      <x:c r="B124" s="1"/>
      <x:c r="C124" s="1"/>
      <x:c r="D124" s="1"/>
      <x:c r="E124" s="1"/>
      <x:c r="F124" s="1"/>
      <x:c r="G124" s="1"/>
      <x:c r="H124" s="1"/>
      <x:c r="I124" s="1"/>
      <x:c r="J124" s="1"/>
      <x:c r="K124" s="1"/>
      <x:c r="L124" s="1"/>
      <x:c r="M124" s="1"/>
      <x:c r="N124" s="1"/>
      <x:c r="O124" s="1"/>
      <x:c r="P124" s="1"/>
      <x:c r="Q124" s="1"/>
      <x:c r="R124" s="1"/>
      <x:c r="S124" s="1"/>
      <x:c r="T124" s="1"/>
      <x:c r="U124" s="1"/>
      <x:c r="V124" s="1"/>
      <x:c r="W124" s="1"/>
      <x:c r="X124" s="1"/>
      <x:c r="Y124" s="1"/>
      <x:c r="Z124" s="1"/>
      <x:c r="AA124" s="1"/>
      <x:c r="AB124" s="1"/>
      <x:c r="AC124" s="1"/>
      <x:c r="AD124" s="1" t="s">
        <x:v>259</x:v>
      </x:c>
      <x:c r="AE124" s="1" t="s">
        <x:v>38</x:v>
      </x:c>
      <x:c r="AF124" s="1">
        <x:v>7.726</x:v>
      </x:c>
      <x:c r="AG124" s="1">
        <x:v>69730</x:v>
      </x:c>
      <x:c r="AH124" s="1"/>
      <x:c r="AI124" s="1" t="s">
        <x:v>172</x:v>
      </x:c>
      <x:c r="AJ124" s="1" t="s">
        <x:v>14</x:v>
      </x:c>
      <x:c r="AK124" s="1">
        <x:v>9.25</x:v>
      </x:c>
      <x:c r="AL124" s="1">
        <x:v>14690</x:v>
      </x:c>
      <x:c r="AM124" s="1"/>
      <x:c r="AN124" s="1"/>
      <x:c r="AO124" s="1"/>
      <x:c r="AP124" s="1"/>
      <x:c r="AQ124" s="1"/>
      <x:c r="AR124" s="1"/>
    </x:row>
    <x:row r="125">
      <x:c r="A125" s="1"/>
      <x:c r="B125" s="1"/>
      <x:c r="C125" s="1"/>
      <x:c r="D125" s="1"/>
      <x:c r="E125" s="1"/>
      <x:c r="F125" s="1"/>
      <x:c r="G125" s="1"/>
      <x:c r="H125" s="1"/>
      <x:c r="I125" s="1"/>
      <x:c r="J125" s="1"/>
      <x:c r="K125" s="1"/>
      <x:c r="L125" s="1"/>
      <x:c r="M125" s="1"/>
      <x:c r="N125" s="1"/>
      <x:c r="O125" s="1"/>
      <x:c r="P125" s="1"/>
      <x:c r="Q125" s="1"/>
      <x:c r="R125" s="1"/>
      <x:c r="S125" s="1"/>
      <x:c r="T125" s="1"/>
      <x:c r="U125" s="1"/>
      <x:c r="V125" s="1"/>
      <x:c r="W125" s="1"/>
      <x:c r="X125" s="1"/>
      <x:c r="Y125" s="1"/>
      <x:c r="Z125" s="1"/>
      <x:c r="AA125" s="1"/>
      <x:c r="AB125" s="1"/>
      <x:c r="AC125" s="1"/>
      <x:c r="AD125" s="1" t="s">
        <x:v>260</x:v>
      </x:c>
      <x:c r="AE125" s="1" t="s">
        <x:v>50</x:v>
      </x:c>
      <x:c r="AF125" s="1">
        <x:v>7.65</x:v>
      </x:c>
      <x:c r="AG125" s="1">
        <x:v>39270</x:v>
      </x:c>
      <x:c r="AH125" s="1"/>
      <x:c r="AI125" s="1" t="s">
        <x:v>174</x:v>
      </x:c>
      <x:c r="AJ125" s="1" t="s">
        <x:v>20</x:v>
      </x:c>
      <x:c r="AK125" s="1">
        <x:v>7.7939999999999996</x:v>
      </x:c>
      <x:c r="AL125" s="1">
        <x:v>32910</x:v>
      </x:c>
      <x:c r="AM125" s="1"/>
      <x:c r="AN125" s="1"/>
      <x:c r="AO125" s="1"/>
      <x:c r="AP125" s="1"/>
      <x:c r="AQ125" s="1"/>
      <x:c r="AR125" s="1"/>
    </x:row>
    <x:row r="126">
      <x:c r="A126" s="1"/>
      <x:c r="B126" s="1"/>
      <x:c r="C126" s="1"/>
      <x:c r="D126" s="1"/>
      <x:c r="E126" s="1"/>
      <x:c r="F126" s="1"/>
      <x:c r="G126" s="1"/>
      <x:c r="H126" s="1"/>
      <x:c r="I126" s="1"/>
      <x:c r="J126" s="1"/>
      <x:c r="K126" s="1"/>
      <x:c r="L126" s="1"/>
      <x:c r="M126" s="1"/>
      <x:c r="N126" s="1"/>
      <x:c r="O126" s="1"/>
      <x:c r="P126" s="1"/>
      <x:c r="Q126" s="1"/>
      <x:c r="R126" s="1"/>
      <x:c r="S126" s="1"/>
      <x:c r="T126" s="1"/>
      <x:c r="U126" s="1"/>
      <x:c r="V126" s="1"/>
      <x:c r="W126" s="1"/>
      <x:c r="X126" s="1"/>
      <x:c r="Y126" s="1"/>
      <x:c r="Z126" s="1"/>
      <x:c r="AA126" s="1"/>
      <x:c r="AB126" s="1"/>
      <x:c r="AC126" s="1"/>
      <x:c r="AD126" s="1" t="s">
        <x:v>261</x:v>
      </x:c>
      <x:c r="AE126" s="1" t="s">
        <x:v>182</x:v>
      </x:c>
      <x:c r="AF126" s="1">
        <x:v>7.6429999999999998</x:v>
      </x:c>
      <x:c r="AG126" s="1">
        <x:v>12760</x:v>
      </x:c>
      <x:c r="AH126" s="1"/>
      <x:c r="AI126" s="1" t="s">
        <x:v>175</x:v>
      </x:c>
      <x:c r="AJ126" s="1" t="s">
        <x:v>27</x:v>
      </x:c>
      <x:c r="AK126" s="1">
        <x:v>7.6820000000000004</x:v>
      </x:c>
      <x:c r="AL126" s="1">
        <x:v>190490</x:v>
      </x:c>
      <x:c r="AM126" s="1"/>
      <x:c r="AN126" s="1"/>
      <x:c r="AO126" s="1"/>
      <x:c r="AP126" s="1"/>
      <x:c r="AQ126" s="1"/>
      <x:c r="AR126" s="1"/>
    </x:row>
    <x:row r="127">
      <x:c r="A127" s="1"/>
      <x:c r="B127" s="1"/>
      <x:c r="C127" s="1"/>
      <x:c r="D127" s="1"/>
      <x:c r="E127" s="1"/>
      <x:c r="F127" s="1"/>
      <x:c r="G127" s="1"/>
      <x:c r="H127" s="1"/>
      <x:c r="I127" s="1"/>
      <x:c r="J127" s="1"/>
      <x:c r="K127" s="1"/>
      <x:c r="L127" s="1"/>
      <x:c r="M127" s="1"/>
      <x:c r="N127" s="1"/>
      <x:c r="O127" s="1"/>
      <x:c r="P127" s="1"/>
      <x:c r="Q127" s="1"/>
      <x:c r="R127" s="1"/>
      <x:c r="S127" s="1"/>
      <x:c r="T127" s="1"/>
      <x:c r="U127" s="1"/>
      <x:c r="V127" s="1"/>
      <x:c r="W127" s="1"/>
      <x:c r="X127" s="1"/>
      <x:c r="Y127" s="1"/>
      <x:c r="Z127" s="1"/>
      <x:c r="AA127" s="1"/>
      <x:c r="AB127" s="1"/>
      <x:c r="AC127" s="1"/>
      <x:c r="AD127" s="1" t="s">
        <x:v>262</x:v>
      </x:c>
      <x:c r="AE127" s="1" t="s">
        <x:v>19</x:v>
      </x:c>
      <x:c r="AF127" s="1">
        <x:v>10.433999999999999</x:v>
      </x:c>
      <x:c r="AG127" s="1">
        <x:v>9690</x:v>
      </x:c>
      <x:c r="AH127" s="1"/>
      <x:c r="AI127" s="1" t="s">
        <x:v>176</x:v>
      </x:c>
      <x:c r="AJ127" s="1" t="s">
        <x:v>39</x:v>
      </x:c>
      <x:c r="AK127" s="1">
        <x:v>7.4029999999999996</x:v>
      </x:c>
      <x:c r="AL127" s="1">
        <x:v>88200</x:v>
      </x:c>
      <x:c r="AM127" s="1"/>
      <x:c r="AN127" s="1"/>
      <x:c r="AO127" s="1"/>
      <x:c r="AP127" s="1"/>
      <x:c r="AQ127" s="1"/>
      <x:c r="AR127" s="1"/>
    </x:row>
    <x:row r="128">
      <x:c r="A128" s="1"/>
      <x:c r="B128" s="1"/>
      <x:c r="C128" s="1"/>
      <x:c r="D128" s="1"/>
      <x:c r="E128" s="1"/>
      <x:c r="F128" s="1"/>
      <x:c r="G128" s="1"/>
      <x:c r="H128" s="1"/>
      <x:c r="I128" s="1"/>
      <x:c r="J128" s="1"/>
      <x:c r="K128" s="1"/>
      <x:c r="L128" s="1"/>
      <x:c r="M128" s="1"/>
      <x:c r="N128" s="1"/>
      <x:c r="O128" s="1"/>
      <x:c r="P128" s="1"/>
      <x:c r="Q128" s="1"/>
      <x:c r="R128" s="1"/>
      <x:c r="S128" s="1"/>
      <x:c r="T128" s="1"/>
      <x:c r="U128" s="1"/>
      <x:c r="V128" s="1"/>
      <x:c r="W128" s="1"/>
      <x:c r="X128" s="1"/>
      <x:c r="Y128" s="1"/>
      <x:c r="Z128" s="1"/>
      <x:c r="AA128" s="1"/>
      <x:c r="AB128" s="1"/>
      <x:c r="AC128" s="1"/>
      <x:c r="AD128" s="1" t="s">
        <x:v>263</x:v>
      </x:c>
      <x:c r="AE128" s="1" t="s">
        <x:v>10</x:v>
      </x:c>
      <x:c r="AF128" s="1">
        <x:v>10.34</x:v>
      </x:c>
      <x:c r="AG128" s="1">
        <x:v>17580</x:v>
      </x:c>
      <x:c r="AH128" s="1"/>
      <x:c r="AI128" s="1" t="s">
        <x:v>177</x:v>
      </x:c>
      <x:c r="AJ128" s="1" t="s">
        <x:v>35</x:v>
      </x:c>
      <x:c r="AK128" s="1">
        <x:v>7.38</x:v>
      </x:c>
      <x:c r="AL128" s="1">
        <x:v>95770</x:v>
      </x:c>
      <x:c r="AM128" s="1"/>
      <x:c r="AN128" s="1"/>
      <x:c r="AO128" s="1"/>
      <x:c r="AP128" s="1"/>
      <x:c r="AQ128" s="1"/>
      <x:c r="AR128" s="1"/>
    </x:row>
    <x:row r="129">
      <x:c r="A129" s="1"/>
      <x:c r="B129" s="1"/>
      <x:c r="C129" s="1"/>
      <x:c r="D129" s="1"/>
      <x:c r="E129" s="1"/>
      <x:c r="F129" s="1"/>
      <x:c r="G129" s="1"/>
      <x:c r="H129" s="1"/>
      <x:c r="I129" s="1"/>
      <x:c r="J129" s="1"/>
      <x:c r="K129" s="1"/>
      <x:c r="L129" s="1"/>
      <x:c r="M129" s="1"/>
      <x:c r="N129" s="1"/>
      <x:c r="O129" s="1"/>
      <x:c r="P129" s="1"/>
      <x:c r="Q129" s="1"/>
      <x:c r="R129" s="1"/>
      <x:c r="S129" s="1"/>
      <x:c r="T129" s="1"/>
      <x:c r="U129" s="1"/>
      <x:c r="V129" s="1"/>
      <x:c r="W129" s="1"/>
      <x:c r="X129" s="1"/>
      <x:c r="Y129" s="1"/>
      <x:c r="Z129" s="1"/>
      <x:c r="AA129" s="1"/>
      <x:c r="AB129" s="1"/>
      <x:c r="AC129" s="1"/>
      <x:c r="AD129" s="1" t="s">
        <x:v>264</x:v>
      </x:c>
      <x:c r="AE129" s="1" t="s">
        <x:v>14</x:v>
      </x:c>
      <x:c r="AF129" s="1">
        <x:v>9.8140000000000001</x:v>
      </x:c>
      <x:c r="AG129" s="1">
        <x:v>15560</x:v>
      </x:c>
      <x:c r="AH129" s="1"/>
      <x:c r="AI129" s="1" t="s">
        <x:v>178</x:v>
      </x:c>
      <x:c r="AJ129" s="1" t="s">
        <x:v>43</x:v>
      </x:c>
      <x:c r="AK129" s="1">
        <x:v>7.3559999999999999</x:v>
      </x:c>
      <x:c r="AL129" s="1">
        <x:v>10200</x:v>
      </x:c>
      <x:c r="AM129" s="1"/>
      <x:c r="AN129" s="1"/>
      <x:c r="AO129" s="1"/>
      <x:c r="AP129" s="1"/>
      <x:c r="AQ129" s="1"/>
      <x:c r="AR129" s="1"/>
    </x:row>
    <x:row r="130">
      <x:c r="A130" s="1"/>
      <x:c r="B130" s="1"/>
      <x:c r="C130" s="1"/>
      <x:c r="D130" s="1"/>
      <x:c r="E130" s="1"/>
      <x:c r="F130" s="1"/>
      <x:c r="G130" s="1"/>
      <x:c r="H130" s="1"/>
      <x:c r="I130" s="1"/>
      <x:c r="J130" s="1"/>
      <x:c r="K130" s="1"/>
      <x:c r="L130" s="1"/>
      <x:c r="M130" s="1"/>
      <x:c r="N130" s="1"/>
      <x:c r="O130" s="1"/>
      <x:c r="P130" s="1"/>
      <x:c r="Q130" s="1"/>
      <x:c r="R130" s="1"/>
      <x:c r="S130" s="1"/>
      <x:c r="T130" s="1"/>
      <x:c r="U130" s="1"/>
      <x:c r="V130" s="1"/>
      <x:c r="W130" s="1"/>
      <x:c r="X130" s="1"/>
      <x:c r="Y130" s="1"/>
      <x:c r="Z130" s="1"/>
      <x:c r="AA130" s="1"/>
      <x:c r="AB130" s="1"/>
      <x:c r="AC130" s="1"/>
      <x:c r="AD130" s="1" t="s">
        <x:v>265</x:v>
      </x:c>
      <x:c r="AE130" s="1" t="s">
        <x:v>30</x:v>
      </x:c>
      <x:c r="AF130" s="1">
        <x:v>9.8019999999999996</x:v>
      </x:c>
      <x:c r="AG130" s="1">
        <x:v>5110</x:v>
      </x:c>
      <x:c r="AH130" s="1"/>
      <x:c r="AI130" s="1" t="s">
        <x:v>179</x:v>
      </x:c>
      <x:c r="AJ130" s="1" t="s">
        <x:v>31</x:v>
      </x:c>
      <x:c r="AK130" s="1">
        <x:v>7.2910000000000004</x:v>
      </x:c>
      <x:c r="AL130" s="1">
        <x:v>202360</x:v>
      </x:c>
      <x:c r="AM130" s="1"/>
      <x:c r="AN130" s="1"/>
      <x:c r="AO130" s="1"/>
      <x:c r="AP130" s="1"/>
      <x:c r="AQ130" s="1"/>
      <x:c r="AR130" s="1"/>
    </x:row>
    <x:row r="131">
      <x:c r="A131" s="1"/>
      <x:c r="B131" s="1"/>
      <x:c r="C131" s="1"/>
      <x:c r="D131" s="1"/>
      <x:c r="E131" s="1"/>
      <x:c r="F131" s="1"/>
      <x:c r="G131" s="1"/>
      <x:c r="H131" s="1"/>
      <x:c r="I131" s="1"/>
      <x:c r="J131" s="1"/>
      <x:c r="K131" s="1"/>
      <x:c r="L131" s="1"/>
      <x:c r="M131" s="1"/>
      <x:c r="N131" s="1"/>
      <x:c r="O131" s="1"/>
      <x:c r="P131" s="1"/>
      <x:c r="Q131" s="1"/>
      <x:c r="R131" s="1"/>
      <x:c r="S131" s="1"/>
      <x:c r="T131" s="1"/>
      <x:c r="U131" s="1"/>
      <x:c r="V131" s="1"/>
      <x:c r="W131" s="1"/>
      <x:c r="X131" s="1"/>
      <x:c r="Y131" s="1"/>
      <x:c r="Z131" s="1"/>
      <x:c r="AA131" s="1"/>
      <x:c r="AB131" s="1"/>
      <x:c r="AC131" s="1"/>
      <x:c r="AD131" s="1" t="s">
        <x:v>266</x:v>
      </x:c>
      <x:c r="AE131" s="1" t="s">
        <x:v>34</x:v>
      </x:c>
      <x:c r="AF131" s="1">
        <x:v>9.2119999999999997</x:v>
      </x:c>
      <x:c r="AG131" s="1">
        <x:v>9230</x:v>
      </x:c>
      <x:c r="AH131" s="1"/>
      <x:c r="AI131" s="1" t="s">
        <x:v>180</x:v>
      </x:c>
      <x:c r="AJ131" s="1" t="s">
        <x:v>47</x:v>
      </x:c>
      <x:c r="AK131" s="1">
        <x:v>6.9790000000000001</x:v>
      </x:c>
      <x:c r="AL131" s="1">
        <x:v>168270</x:v>
      </x:c>
      <x:c r="AM131" s="1"/>
      <x:c r="AN131" s="1"/>
      <x:c r="AO131" s="1"/>
      <x:c r="AP131" s="1"/>
      <x:c r="AQ131" s="1"/>
      <x:c r="AR131" s="1"/>
    </x:row>
    <x:row r="132">
      <x:c r="A132" s="1"/>
      <x:c r="B132" s="1"/>
      <x:c r="C132" s="1"/>
      <x:c r="D132" s="1"/>
      <x:c r="E132" s="1"/>
      <x:c r="F132" s="1"/>
      <x:c r="G132" s="1"/>
      <x:c r="H132" s="1"/>
      <x:c r="I132" s="1"/>
      <x:c r="J132" s="1"/>
      <x:c r="K132" s="1"/>
      <x:c r="L132" s="1"/>
      <x:c r="M132" s="1"/>
      <x:c r="N132" s="1"/>
      <x:c r="O132" s="1"/>
      <x:c r="P132" s="1"/>
      <x:c r="Q132" s="1"/>
      <x:c r="R132" s="1"/>
      <x:c r="S132" s="1"/>
      <x:c r="T132" s="1"/>
      <x:c r="U132" s="1"/>
      <x:c r="V132" s="1"/>
      <x:c r="W132" s="1"/>
      <x:c r="X132" s="1"/>
      <x:c r="Y132" s="1"/>
      <x:c r="Z132" s="1"/>
      <x:c r="AA132" s="1"/>
      <x:c r="AB132" s="1"/>
      <x:c r="AC132" s="1"/>
      <x:c r="AD132" s="1" t="s">
        <x:v>267</x:v>
      </x:c>
      <x:c r="AE132" s="1" t="s">
        <x:v>46</x:v>
      </x:c>
      <x:c r="AF132" s="1">
        <x:v>9.0559999999999992</x:v>
      </x:c>
      <x:c r="AG132" s="1">
        <x:v>14030</x:v>
      </x:c>
      <x:c r="AH132" s="1"/>
      <x:c r="AI132" s="1" t="s">
        <x:v>181</x:v>
      </x:c>
      <x:c r="AJ132" s="1" t="s">
        <x:v>51</x:v>
      </x:c>
      <x:c r="AK132" s="1">
        <x:v>6.8209999999999997</x:v>
      </x:c>
      <x:c r="AL132" s="1">
        <x:v>188110</x:v>
      </x:c>
      <x:c r="AM132" s="1"/>
      <x:c r="AN132" s="1"/>
      <x:c r="AO132" s="1"/>
      <x:c r="AP132" s="1"/>
      <x:c r="AQ132" s="1"/>
      <x:c r="AR132" s="1"/>
    </x:row>
    <x:row r="133">
      <x:c r="A133" s="1"/>
      <x:c r="B133" s="1"/>
      <x:c r="C133" s="1"/>
      <x:c r="D133" s="1"/>
      <x:c r="E133" s="1"/>
      <x:c r="F133" s="1"/>
      <x:c r="G133" s="1"/>
      <x:c r="H133" s="1"/>
      <x:c r="I133" s="1"/>
      <x:c r="J133" s="1"/>
      <x:c r="K133" s="1"/>
      <x:c r="L133" s="1"/>
      <x:c r="M133" s="1"/>
      <x:c r="N133" s="1"/>
      <x:c r="O133" s="1"/>
      <x:c r="P133" s="1"/>
      <x:c r="Q133" s="1"/>
      <x:c r="R133" s="1"/>
      <x:c r="S133" s="1"/>
      <x:c r="T133" s="1"/>
      <x:c r="U133" s="1"/>
      <x:c r="V133" s="1"/>
      <x:c r="W133" s="1"/>
      <x:c r="X133" s="1"/>
      <x:c r="Y133" s="1"/>
      <x:c r="Z133" s="1"/>
      <x:c r="AA133" s="1"/>
      <x:c r="AB133" s="1"/>
      <x:c r="AC133" s="1"/>
      <x:c r="AD133" s="1" t="s">
        <x:v>268</x:v>
      </x:c>
      <x:c r="AE133" s="1" t="s">
        <x:v>42</x:v>
      </x:c>
      <x:c r="AF133" s="1">
        <x:v>8.766</x:v>
      </x:c>
      <x:c r="AG133" s="1">
        <x:v>13670</x:v>
      </x:c>
      <x:c r="AH133" s="1"/>
      <x:c r="AI133" s="1" t="s">
        <x:v>269</x:v>
      </x:c>
      <x:c r="AJ133" s="1" t="s">
        <x:v>55</x:v>
      </x:c>
      <x:c r="AK133" s="1">
        <x:v>6.72</x:v>
      </x:c>
      <x:c r="AL133" s="1">
        <x:v>103210</x:v>
      </x:c>
      <x:c r="AM133" s="1"/>
      <x:c r="AN133" s="1"/>
      <x:c r="AO133" s="1"/>
      <x:c r="AP133" s="1"/>
      <x:c r="AQ133" s="1"/>
      <x:c r="AR133" s="1"/>
    </x:row>
    <x:row r="134">
      <x:c r="A134" s="1"/>
      <x:c r="B134" s="1"/>
      <x:c r="C134" s="1"/>
      <x:c r="D134" s="1"/>
      <x:c r="E134" s="1"/>
      <x:c r="F134" s="1"/>
      <x:c r="G134" s="1"/>
      <x:c r="H134" s="1"/>
      <x:c r="I134" s="1"/>
      <x:c r="J134" s="1"/>
      <x:c r="K134" s="1"/>
      <x:c r="L134" s="1"/>
      <x:c r="M134" s="1"/>
      <x:c r="N134" s="1"/>
      <x:c r="O134" s="1"/>
      <x:c r="P134" s="1"/>
      <x:c r="Q134" s="1"/>
      <x:c r="R134" s="1"/>
      <x:c r="S134" s="1"/>
      <x:c r="T134" s="1"/>
      <x:c r="U134" s="1"/>
      <x:c r="V134" s="1"/>
      <x:c r="W134" s="1"/>
      <x:c r="X134" s="1"/>
      <x:c r="Y134" s="1"/>
      <x:c r="Z134" s="1"/>
      <x:c r="AA134" s="1"/>
      <x:c r="AB134" s="1"/>
      <x:c r="AC134" s="1"/>
      <x:c r="AD134" s="1" t="s">
        <x:v>270</x:v>
      </x:c>
      <x:c r="AE134" s="1" t="s">
        <x:v>38</x:v>
      </x:c>
      <x:c r="AF134" s="1">
        <x:v>8.7409999999999997</x:v>
      </x:c>
      <x:c r="AG134" s="1">
        <x:v>37520</x:v>
      </x:c>
      <x:c r="AH134" s="1"/>
      <x:c r="AI134" s="1" t="s">
        <x:v>271</x:v>
      </x:c>
      <x:c r="AJ134" s="1" t="s">
        <x:v>59</x:v>
      </x:c>
      <x:c r="AK134" s="1">
        <x:v>6.6310000000000002</x:v>
      </x:c>
      <x:c r="AL134" s="1">
        <x:v>181270</x:v>
      </x:c>
      <x:c r="AM134" s="1"/>
      <x:c r="AN134" s="1"/>
      <x:c r="AO134" s="1"/>
      <x:c r="AP134" s="1"/>
      <x:c r="AQ134" s="1"/>
      <x:c r="AR134" s="1"/>
    </x:row>
    <x:row r="135">
      <x:c r="A135" s="1"/>
      <x:c r="B135" s="1"/>
      <x:c r="C135" s="1"/>
      <x:c r="D135" s="1"/>
      <x:c r="E135" s="1"/>
      <x:c r="F135" s="1"/>
      <x:c r="G135" s="1"/>
      <x:c r="H135" s="1"/>
      <x:c r="I135" s="1"/>
      <x:c r="J135" s="1"/>
      <x:c r="K135" s="1"/>
      <x:c r="L135" s="1"/>
      <x:c r="M135" s="1"/>
      <x:c r="N135" s="1"/>
      <x:c r="O135" s="1"/>
      <x:c r="P135" s="1"/>
      <x:c r="Q135" s="1"/>
      <x:c r="R135" s="1"/>
      <x:c r="S135" s="1"/>
      <x:c r="T135" s="1"/>
      <x:c r="U135" s="1"/>
      <x:c r="V135" s="1"/>
      <x:c r="W135" s="1"/>
      <x:c r="X135" s="1"/>
      <x:c r="Y135" s="1"/>
      <x:c r="Z135" s="1"/>
      <x:c r="AA135" s="1"/>
      <x:c r="AB135" s="1"/>
      <x:c r="AC135" s="1"/>
      <x:c r="AD135" s="1" t="s">
        <x:v>272</x:v>
      </x:c>
      <x:c r="AE135" s="1" t="s">
        <x:v>86</x:v>
      </x:c>
      <x:c r="AF135" s="1">
        <x:v>8.7260000000000009</x:v>
      </x:c>
      <x:c r="AG135" s="1">
        <x:v>12220</x:v>
      </x:c>
      <x:c r="AH135" s="1"/>
      <x:c r="AI135" s="1" t="s">
        <x:v>273</x:v>
      </x:c>
      <x:c r="AJ135" s="1" t="s">
        <x:v>63</x:v>
      </x:c>
      <x:c r="AK135" s="1">
        <x:v>6.2220000000000004</x:v>
      </x:c>
      <x:c r="AL135" s="1">
        <x:v>229830</x:v>
      </x:c>
      <x:c r="AM135" s="1"/>
      <x:c r="AN135" s="1"/>
      <x:c r="AO135" s="1"/>
      <x:c r="AP135" s="1"/>
      <x:c r="AQ135" s="1"/>
      <x:c r="AR135" s="1"/>
    </x:row>
    <x:row r="136">
      <x:c r="A136" s="1"/>
      <x:c r="B136" s="1"/>
      <x:c r="C136" s="1"/>
      <x:c r="D136" s="1"/>
      <x:c r="E136" s="1"/>
      <x:c r="F136" s="1"/>
      <x:c r="G136" s="1"/>
      <x:c r="H136" s="1"/>
      <x:c r="I136" s="1"/>
      <x:c r="J136" s="1"/>
      <x:c r="K136" s="1"/>
      <x:c r="L136" s="1"/>
      <x:c r="M136" s="1"/>
      <x:c r="N136" s="1"/>
      <x:c r="O136" s="1"/>
      <x:c r="P136" s="1"/>
      <x:c r="Q136" s="1"/>
      <x:c r="R136" s="1"/>
      <x:c r="S136" s="1"/>
      <x:c r="T136" s="1"/>
      <x:c r="U136" s="1"/>
      <x:c r="V136" s="1"/>
      <x:c r="W136" s="1"/>
      <x:c r="X136" s="1"/>
      <x:c r="Y136" s="1"/>
      <x:c r="Z136" s="1"/>
      <x:c r="AA136" s="1"/>
      <x:c r="AB136" s="1"/>
      <x:c r="AC136" s="1"/>
      <x:c r="AD136" s="1" t="s">
        <x:v>274</x:v>
      </x:c>
      <x:c r="AE136" s="1" t="s">
        <x:v>182</x:v>
      </x:c>
      <x:c r="AF136" s="1">
        <x:v>8.6419999999999995</x:v>
      </x:c>
      <x:c r="AG136" s="1">
        <x:v>6970</x:v>
      </x:c>
      <x:c r="AH136" s="1"/>
      <x:c r="AI136" s="1" t="s">
        <x:v>275</x:v>
      </x:c>
      <x:c r="AJ136" s="1" t="s">
        <x:v>71</x:v>
      </x:c>
      <x:c r="AK136" s="1">
        <x:v>6.09</x:v>
      </x:c>
      <x:c r="AL136" s="1">
        <x:v>339580</x:v>
      </x:c>
      <x:c r="AM136" s="1"/>
      <x:c r="AN136" s="1"/>
      <x:c r="AO136" s="1"/>
      <x:c r="AP136" s="1"/>
      <x:c r="AQ136" s="1"/>
      <x:c r="AR136" s="1"/>
    </x:row>
    <x:row r="137">
      <x:c r="A137" s="1"/>
      <x:c r="B137" s="1"/>
      <x:c r="C137" s="1"/>
      <x:c r="D137" s="1"/>
      <x:c r="E137" s="1"/>
      <x:c r="F137" s="1"/>
      <x:c r="G137" s="1"/>
      <x:c r="H137" s="1"/>
      <x:c r="I137" s="1"/>
      <x:c r="J137" s="1"/>
      <x:c r="K137" s="1"/>
      <x:c r="L137" s="1"/>
      <x:c r="M137" s="1"/>
      <x:c r="N137" s="1"/>
      <x:c r="O137" s="1"/>
      <x:c r="P137" s="1"/>
      <x:c r="Q137" s="1"/>
      <x:c r="R137" s="1"/>
      <x:c r="S137" s="1"/>
      <x:c r="T137" s="1"/>
      <x:c r="U137" s="1"/>
      <x:c r="V137" s="1"/>
      <x:c r="W137" s="1"/>
      <x:c r="X137" s="1"/>
      <x:c r="Y137" s="1"/>
      <x:c r="Z137" s="1"/>
      <x:c r="AA137" s="1"/>
      <x:c r="AB137" s="1"/>
      <x:c r="AC137" s="1"/>
      <x:c r="AD137" s="1" t="s">
        <x:v>276</x:v>
      </x:c>
      <x:c r="AE137" s="1" t="s">
        <x:v>10</x:v>
      </x:c>
      <x:c r="AF137" s="1">
        <x:v>11.478999999999999</x:v>
      </x:c>
      <x:c r="AG137" s="1">
        <x:v>24170</x:v>
      </x:c>
      <x:c r="AH137" s="1"/>
      <x:c r="AI137" s="1" t="s">
        <x:v>277</x:v>
      </x:c>
      <x:c r="AJ137" s="1" t="s">
        <x:v>79</x:v>
      </x:c>
      <x:c r="AK137" s="1">
        <x:v>5.6219999999999999</x:v>
      </x:c>
      <x:c r="AL137" s="1">
        <x:v>99300</x:v>
      </x:c>
      <x:c r="AM137" s="1"/>
      <x:c r="AN137" s="1"/>
      <x:c r="AO137" s="1"/>
      <x:c r="AP137" s="1"/>
      <x:c r="AQ137" s="1"/>
      <x:c r="AR137" s="1"/>
    </x:row>
    <x:row r="138">
      <x:c r="A138" s="1"/>
      <x:c r="B138" s="1"/>
      <x:c r="C138" s="1"/>
      <x:c r="D138" s="1"/>
      <x:c r="E138" s="1"/>
      <x:c r="F138" s="1"/>
      <x:c r="G138" s="1"/>
      <x:c r="H138" s="1"/>
      <x:c r="I138" s="1"/>
      <x:c r="J138" s="1"/>
      <x:c r="K138" s="1"/>
      <x:c r="L138" s="1"/>
      <x:c r="M138" s="1"/>
      <x:c r="N138" s="1"/>
      <x:c r="O138" s="1"/>
      <x:c r="P138" s="1"/>
      <x:c r="Q138" s="1"/>
      <x:c r="R138" s="1"/>
      <x:c r="S138" s="1"/>
      <x:c r="T138" s="1"/>
      <x:c r="U138" s="1"/>
      <x:c r="V138" s="1"/>
      <x:c r="W138" s="1"/>
      <x:c r="X138" s="1"/>
      <x:c r="Y138" s="1"/>
      <x:c r="Z138" s="1"/>
      <x:c r="AA138" s="1"/>
      <x:c r="AB138" s="1"/>
      <x:c r="AC138" s="1"/>
      <x:c r="AD138" s="1" t="s">
        <x:v>278</x:v>
      </x:c>
      <x:c r="AE138" s="1" t="s">
        <x:v>14</x:v>
      </x:c>
      <x:c r="AF138" s="1">
        <x:v>10.476000000000001</x:v>
      </x:c>
      <x:c r="AG138" s="1">
        <x:v>20820</x:v>
      </x:c>
      <x:c r="AH138" s="1"/>
      <x:c r="AI138" s="1" t="s">
        <x:v>279</x:v>
      </x:c>
      <x:c r="AJ138" s="1" t="s">
        <x:v>67</x:v>
      </x:c>
      <x:c r="AK138" s="1">
        <x:v>5.0999999999999996</x:v>
      </x:c>
      <x:c r="AL138" s="1">
        <x:v>4460</x:v>
      </x:c>
      <x:c r="AM138" s="1"/>
      <x:c r="AN138" s="1"/>
      <x:c r="AO138" s="1"/>
      <x:c r="AP138" s="1"/>
      <x:c r="AQ138" s="1"/>
      <x:c r="AR138" s="1"/>
    </x:row>
    <x:row r="139">
      <x:c r="A139" s="1"/>
      <x:c r="B139" s="1"/>
      <x:c r="C139" s="1"/>
      <x:c r="D139" s="1"/>
      <x:c r="E139" s="1"/>
      <x:c r="F139" s="1"/>
      <x:c r="G139" s="1"/>
      <x:c r="H139" s="1"/>
      <x:c r="I139" s="1"/>
      <x:c r="J139" s="1"/>
      <x:c r="K139" s="1"/>
      <x:c r="L139" s="1"/>
      <x:c r="M139" s="1"/>
      <x:c r="N139" s="1"/>
      <x:c r="O139" s="1"/>
      <x:c r="P139" s="1"/>
      <x:c r="Q139" s="1"/>
      <x:c r="R139" s="1"/>
      <x:c r="S139" s="1"/>
      <x:c r="T139" s="1"/>
      <x:c r="U139" s="1"/>
      <x:c r="V139" s="1"/>
      <x:c r="W139" s="1"/>
      <x:c r="X139" s="1"/>
      <x:c r="Y139" s="1"/>
      <x:c r="Z139" s="1"/>
      <x:c r="AA139" s="1"/>
      <x:c r="AB139" s="1"/>
      <x:c r="AC139" s="1"/>
      <x:c r="AD139" s="1" t="s">
        <x:v>280</x:v>
      </x:c>
      <x:c r="AE139" s="1" t="s">
        <x:v>20</x:v>
      </x:c>
      <x:c r="AF139" s="1">
        <x:v>8.8450000000000006</x:v>
      </x:c>
      <x:c r="AG139" s="1">
        <x:v>41630</x:v>
      </x:c>
      <x:c r="AH139" s="1"/>
      <x:c r="AI139" s="1" t="s">
        <x:v>281</x:v>
      </x:c>
      <x:c r="AJ139" s="1" t="s">
        <x:v>75</x:v>
      </x:c>
      <x:c r="AK139" s="1">
        <x:v>5.0999999999999996</x:v>
      </x:c>
      <x:c r="AL139" s="1">
        <x:v>2310</x:v>
      </x:c>
      <x:c r="AM139" s="1"/>
      <x:c r="AN139" s="1"/>
      <x:c r="AO139" s="1"/>
      <x:c r="AP139" s="1"/>
      <x:c r="AQ139" s="1"/>
      <x:c r="AR139" s="1"/>
    </x:row>
    <x:row r="140">
      <x:c r="A140" s="1"/>
      <x:c r="B140" s="1"/>
      <x:c r="C140" s="1"/>
      <x:c r="D140" s="1"/>
      <x:c r="E140" s="1"/>
      <x:c r="F140" s="1"/>
      <x:c r="G140" s="1"/>
      <x:c r="H140" s="1"/>
      <x:c r="I140" s="1"/>
      <x:c r="J140" s="1"/>
      <x:c r="K140" s="1"/>
      <x:c r="L140" s="1"/>
      <x:c r="M140" s="1"/>
      <x:c r="N140" s="1"/>
      <x:c r="O140" s="1"/>
      <x:c r="P140" s="1"/>
      <x:c r="Q140" s="1"/>
      <x:c r="R140" s="1"/>
      <x:c r="S140" s="1"/>
      <x:c r="T140" s="1"/>
      <x:c r="U140" s="1"/>
      <x:c r="V140" s="1"/>
      <x:c r="W140" s="1"/>
      <x:c r="X140" s="1"/>
      <x:c r="Y140" s="1"/>
      <x:c r="Z140" s="1"/>
      <x:c r="AA140" s="1"/>
      <x:c r="AB140" s="1"/>
      <x:c r="AC140" s="1"/>
      <x:c r="AD140" s="1" t="s">
        <x:v>282</x:v>
      </x:c>
      <x:c r="AE140" s="1" t="s">
        <x:v>19</x:v>
      </x:c>
      <x:c r="AF140" s="1">
        <x:v>7.7670000000000003</x:v>
      </x:c>
      <x:c r="AG140" s="1">
        <x:v>7980</x:v>
      </x:c>
      <x:c r="AH140" s="1"/>
      <x:c r="AI140" s="1" t="s">
        <x:v>283</x:v>
      </x:c>
      <x:c r="AJ140" s="1" t="s">
        <x:v>83</x:v>
      </x:c>
      <x:c r="AK140" s="1">
        <x:v>4.923</x:v>
      </x:c>
      <x:c r="AL140" s="1">
        <x:v>76150</x:v>
      </x:c>
      <x:c r="AM140" s="1"/>
      <x:c r="AN140" s="1"/>
      <x:c r="AO140" s="1"/>
      <x:c r="AP140" s="1"/>
      <x:c r="AQ140" s="1"/>
      <x:c r="AR140" s="1"/>
    </x:row>
    <x:row r="141">
      <x:c r="A141" s="1"/>
      <x:c r="B141" s="1"/>
      <x:c r="C141" s="1"/>
      <x:c r="D141" s="1"/>
      <x:c r="E141" s="1"/>
      <x:c r="F141" s="1"/>
      <x:c r="G141" s="1"/>
      <x:c r="H141" s="1"/>
      <x:c r="I141" s="1"/>
      <x:c r="J141" s="1"/>
      <x:c r="K141" s="1"/>
      <x:c r="L141" s="1"/>
      <x:c r="M141" s="1"/>
      <x:c r="N141" s="1"/>
      <x:c r="O141" s="1"/>
      <x:c r="P141" s="1"/>
      <x:c r="Q141" s="1"/>
      <x:c r="R141" s="1"/>
      <x:c r="S141" s="1"/>
      <x:c r="T141" s="1"/>
      <x:c r="U141" s="1"/>
      <x:c r="V141" s="1"/>
      <x:c r="W141" s="1"/>
      <x:c r="X141" s="1"/>
      <x:c r="Y141" s="1"/>
      <x:c r="Z141" s="1"/>
      <x:c r="AA141" s="1"/>
      <x:c r="AB141" s="1"/>
      <x:c r="AC141" s="1"/>
      <x:c r="AD141" s="1" t="s">
        <x:v>284</x:v>
      </x:c>
      <x:c r="AE141" s="1" t="s">
        <x:v>30</x:v>
      </x:c>
      <x:c r="AF141" s="1">
        <x:v>7.3780000000000001</x:v>
      </x:c>
      <x:c r="AG141" s="1">
        <x:v>4190</x:v>
      </x:c>
      <x:c r="AH141" s="1"/>
      <x:c r="AI141" s="1" t="s">
        <x:v>183</x:v>
      </x:c>
      <x:c r="AJ141" s="1" t="s">
        <x:v>10</x:v>
      </x:c>
      <x:c r="AK141" s="1">
        <x:v>11.045999999999999</x:v>
      </x:c>
      <x:c r="AL141" s="1">
        <x:v>23280</x:v>
      </x:c>
      <x:c r="AM141" s="1"/>
      <x:c r="AN141" s="1"/>
      <x:c r="AO141" s="1"/>
      <x:c r="AP141" s="1"/>
      <x:c r="AQ141" s="1"/>
      <x:c r="AR141" s="1"/>
    </x:row>
    <x:row r="142">
      <x:c r="A142" s="1"/>
      <x:c r="B142" s="1"/>
      <x:c r="C142" s="1"/>
      <x:c r="D142" s="1"/>
      <x:c r="E142" s="1"/>
      <x:c r="F142" s="1"/>
      <x:c r="G142" s="1"/>
      <x:c r="H142" s="1"/>
      <x:c r="I142" s="1"/>
      <x:c r="J142" s="1"/>
      <x:c r="K142" s="1"/>
      <x:c r="L142" s="1"/>
      <x:c r="M142" s="1"/>
      <x:c r="N142" s="1"/>
      <x:c r="O142" s="1"/>
      <x:c r="P142" s="1"/>
      <x:c r="Q142" s="1"/>
      <x:c r="R142" s="1"/>
      <x:c r="S142" s="1"/>
      <x:c r="T142" s="1"/>
      <x:c r="U142" s="1"/>
      <x:c r="V142" s="1"/>
      <x:c r="W142" s="1"/>
      <x:c r="X142" s="1"/>
      <x:c r="Y142" s="1"/>
      <x:c r="Z142" s="1"/>
      <x:c r="AA142" s="1"/>
      <x:c r="AB142" s="1"/>
      <x:c r="AC142" s="1"/>
      <x:c r="AD142" s="1" t="s">
        <x:v>285</x:v>
      </x:c>
      <x:c r="AE142" s="1" t="s">
        <x:v>97</x:v>
      </x:c>
      <x:c r="AF142" s="1">
        <x:v>6.9779999999999998</x:v>
      </x:c>
      <x:c r="AG142" s="1">
        <x:v>9470</x:v>
      </x:c>
      <x:c r="AH142" s="1"/>
      <x:c r="AI142" s="1" t="s">
        <x:v>184</x:v>
      </x:c>
      <x:c r="AJ142" s="1" t="s">
        <x:v>14</x:v>
      </x:c>
      <x:c r="AK142" s="1">
        <x:v>10.021000000000001</x:v>
      </x:c>
      <x:c r="AL142" s="1">
        <x:v>20040</x:v>
      </x:c>
      <x:c r="AM142" s="1"/>
      <x:c r="AN142" s="1"/>
      <x:c r="AO142" s="1"/>
      <x:c r="AP142" s="1"/>
      <x:c r="AQ142" s="1"/>
      <x:c r="AR142" s="1"/>
    </x:row>
    <x:row r="143">
      <x:c r="A143" s="1"/>
      <x:c r="B143" s="1"/>
      <x:c r="C143" s="1"/>
      <x:c r="D143" s="1"/>
      <x:c r="E143" s="1"/>
      <x:c r="F143" s="1"/>
      <x:c r="G143" s="1"/>
      <x:c r="H143" s="1"/>
      <x:c r="I143" s="1"/>
      <x:c r="J143" s="1"/>
      <x:c r="K143" s="1"/>
      <x:c r="L143" s="1"/>
      <x:c r="M143" s="1"/>
      <x:c r="N143" s="1"/>
      <x:c r="O143" s="1"/>
      <x:c r="P143" s="1"/>
      <x:c r="Q143" s="1"/>
      <x:c r="R143" s="1"/>
      <x:c r="S143" s="1"/>
      <x:c r="T143" s="1"/>
      <x:c r="U143" s="1"/>
      <x:c r="V143" s="1"/>
      <x:c r="W143" s="1"/>
      <x:c r="X143" s="1"/>
      <x:c r="Y143" s="1"/>
      <x:c r="Z143" s="1"/>
      <x:c r="AA143" s="1"/>
      <x:c r="AB143" s="1"/>
      <x:c r="AC143" s="1"/>
      <x:c r="AD143" s="1" t="s">
        <x:v>286</x:v>
      </x:c>
      <x:c r="AE143" s="1" t="s">
        <x:v>34</x:v>
      </x:c>
      <x:c r="AF143" s="1">
        <x:v>6.9</x:v>
      </x:c>
      <x:c r="AG143" s="1">
        <x:v>7600</x:v>
      </x:c>
      <x:c r="AH143" s="1"/>
      <x:c r="AI143" s="1" t="s">
        <x:v>185</x:v>
      </x:c>
      <x:c r="AJ143" s="1" t="s">
        <x:v>20</x:v>
      </x:c>
      <x:c r="AK143" s="1">
        <x:v>8.5939999999999994</x:v>
      </x:c>
      <x:c r="AL143" s="1">
        <x:v>39830</x:v>
      </x:c>
      <x:c r="AM143" s="1"/>
      <x:c r="AN143" s="1"/>
      <x:c r="AO143" s="1"/>
      <x:c r="AP143" s="1"/>
      <x:c r="AQ143" s="1"/>
      <x:c r="AR143" s="1"/>
    </x:row>
    <x:row r="144">
      <x:c r="A144" s="1"/>
      <x:c r="B144" s="1"/>
      <x:c r="C144" s="1"/>
      <x:c r="D144" s="1"/>
      <x:c r="E144" s="1"/>
      <x:c r="F144" s="1"/>
      <x:c r="G144" s="1"/>
      <x:c r="H144" s="1"/>
      <x:c r="I144" s="1"/>
      <x:c r="J144" s="1"/>
      <x:c r="K144" s="1"/>
      <x:c r="L144" s="1"/>
      <x:c r="M144" s="1"/>
      <x:c r="N144" s="1"/>
      <x:c r="O144" s="1"/>
      <x:c r="P144" s="1"/>
      <x:c r="Q144" s="1"/>
      <x:c r="R144" s="1"/>
      <x:c r="S144" s="1"/>
      <x:c r="T144" s="1"/>
      <x:c r="U144" s="1"/>
      <x:c r="V144" s="1"/>
      <x:c r="W144" s="1"/>
      <x:c r="X144" s="1"/>
      <x:c r="Y144" s="1"/>
      <x:c r="Z144" s="1"/>
      <x:c r="AA144" s="1"/>
      <x:c r="AB144" s="1"/>
      <x:c r="AC144" s="1"/>
      <x:c r="AD144" s="1" t="s">
        <x:v>287</x:v>
      </x:c>
      <x:c r="AE144" s="1" t="s">
        <x:v>50</x:v>
      </x:c>
      <x:c r="AF144" s="1">
        <x:v>6.8819999999999997</x:v>
      </x:c>
      <x:c r="AG144" s="1">
        <x:v>18320</x:v>
      </x:c>
      <x:c r="AH144" s="1"/>
      <x:c r="AI144" s="1" t="s">
        <x:v>187</x:v>
      </x:c>
      <x:c r="AJ144" s="1" t="s">
        <x:v>27</x:v>
      </x:c>
      <x:c r="AK144" s="1">
        <x:v>6.02</x:v>
      </x:c>
      <x:c r="AL144" s="1">
        <x:v>162520</x:v>
      </x:c>
      <x:c r="AM144" s="1"/>
      <x:c r="AN144" s="1"/>
      <x:c r="AO144" s="1"/>
      <x:c r="AP144" s="1"/>
      <x:c r="AQ144" s="1"/>
      <x:c r="AR144" s="1"/>
    </x:row>
    <x:row r="145">
      <x:c r="A145" s="1"/>
      <x:c r="B145" s="1"/>
      <x:c r="C145" s="1"/>
      <x:c r="D145" s="1"/>
      <x:c r="E145" s="1"/>
      <x:c r="F145" s="1"/>
      <x:c r="G145" s="1"/>
      <x:c r="H145" s="1"/>
      <x:c r="I145" s="1"/>
      <x:c r="J145" s="1"/>
      <x:c r="K145" s="1"/>
      <x:c r="L145" s="1"/>
      <x:c r="M145" s="1"/>
      <x:c r="N145" s="1"/>
      <x:c r="O145" s="1"/>
      <x:c r="P145" s="1"/>
      <x:c r="Q145" s="1"/>
      <x:c r="R145" s="1"/>
      <x:c r="S145" s="1"/>
      <x:c r="T145" s="1"/>
      <x:c r="U145" s="1"/>
      <x:c r="V145" s="1"/>
      <x:c r="W145" s="1"/>
      <x:c r="X145" s="1"/>
      <x:c r="Y145" s="1"/>
      <x:c r="Z145" s="1"/>
      <x:c r="AA145" s="1"/>
      <x:c r="AB145" s="1"/>
      <x:c r="AC145" s="1"/>
      <x:c r="AD145" s="1" t="s">
        <x:v>288</x:v>
      </x:c>
      <x:c r="AE145" s="1" t="s">
        <x:v>38</x:v>
      </x:c>
      <x:c r="AF145" s="1">
        <x:v>6.8049999999999997</x:v>
      </x:c>
      <x:c r="AG145" s="1">
        <x:v>32210</x:v>
      </x:c>
      <x:c r="AH145" s="1"/>
      <x:c r="AI145" s="1" t="s">
        <x:v>189</x:v>
      </x:c>
      <x:c r="AJ145" s="1" t="s">
        <x:v>31</x:v>
      </x:c>
      <x:c r="AK145" s="1">
        <x:v>6.0149999999999997</x:v>
      </x:c>
      <x:c r="AL145" s="1">
        <x:v>181480</x:v>
      </x:c>
      <x:c r="AM145" s="1"/>
      <x:c r="AN145" s="1"/>
      <x:c r="AO145" s="1"/>
      <x:c r="AP145" s="1"/>
      <x:c r="AQ145" s="1"/>
      <x:c r="AR145" s="1"/>
    </x:row>
    <x:row r="146">
      <x:c r="A146" s="1"/>
      <x:c r="B146" s="1"/>
      <x:c r="C146" s="1"/>
      <x:c r="D146" s="1"/>
      <x:c r="E146" s="1"/>
      <x:c r="F146" s="1"/>
      <x:c r="G146" s="1"/>
      <x:c r="H146" s="1"/>
      <x:c r="I146" s="1"/>
      <x:c r="J146" s="1"/>
      <x:c r="K146" s="1"/>
      <x:c r="L146" s="1"/>
      <x:c r="M146" s="1"/>
      <x:c r="N146" s="1"/>
      <x:c r="O146" s="1"/>
      <x:c r="P146" s="1"/>
      <x:c r="Q146" s="1"/>
      <x:c r="R146" s="1"/>
      <x:c r="S146" s="1"/>
      <x:c r="T146" s="1"/>
      <x:c r="U146" s="1"/>
      <x:c r="V146" s="1"/>
      <x:c r="W146" s="1"/>
      <x:c r="X146" s="1"/>
      <x:c r="Y146" s="1"/>
      <x:c r="Z146" s="1"/>
      <x:c r="AA146" s="1"/>
      <x:c r="AB146" s="1"/>
      <x:c r="AC146" s="1"/>
      <x:c r="AD146" s="1" t="s">
        <x:v>289</x:v>
      </x:c>
      <x:c r="AE146" s="1" t="s">
        <x:v>182</x:v>
      </x:c>
      <x:c r="AF146" s="1">
        <x:v>6.71</x:v>
      </x:c>
      <x:c r="AG146" s="1">
        <x:v>5790</x:v>
      </x:c>
      <x:c r="AH146" s="1"/>
      <x:c r="AI146" s="1" t="s">
        <x:v>191</x:v>
      </x:c>
      <x:c r="AJ146" s="1" t="s">
        <x:v>35</x:v>
      </x:c>
      <x:c r="AK146" s="1">
        <x:v>5.6420000000000003</x:v>
      </x:c>
      <x:c r="AL146" s="1">
        <x:v>79360</x:v>
      </x:c>
      <x:c r="AM146" s="1"/>
      <x:c r="AN146" s="1"/>
      <x:c r="AO146" s="1"/>
      <x:c r="AP146" s="1"/>
      <x:c r="AQ146" s="1"/>
      <x:c r="AR146" s="1"/>
    </x:row>
    <x:row r="147">
      <x:c r="A147" s="1"/>
      <x:c r="B147" s="1"/>
      <x:c r="C147" s="1"/>
      <x:c r="D147" s="1"/>
      <x:c r="E147" s="1"/>
      <x:c r="F147" s="1"/>
      <x:c r="G147" s="1"/>
      <x:c r="H147" s="1"/>
      <x:c r="I147" s="1"/>
      <x:c r="J147" s="1"/>
      <x:c r="K147" s="1"/>
      <x:c r="L147" s="1"/>
      <x:c r="M147" s="1"/>
      <x:c r="N147" s="1"/>
      <x:c r="O147" s="1"/>
      <x:c r="P147" s="1"/>
      <x:c r="Q147" s="1"/>
      <x:c r="R147" s="1"/>
      <x:c r="S147" s="1"/>
      <x:c r="T147" s="1"/>
      <x:c r="U147" s="1"/>
      <x:c r="V147" s="1"/>
      <x:c r="W147" s="1"/>
      <x:c r="X147" s="1"/>
      <x:c r="Y147" s="1"/>
      <x:c r="Z147" s="1"/>
      <x:c r="AA147" s="1"/>
      <x:c r="AB147" s="1"/>
      <x:c r="AC147" s="1"/>
      <x:c r="AD147" s="1" t="s">
        <x:v>290</x:v>
      </x:c>
      <x:c r="AE147" s="1" t="s">
        <x:v>10</x:v>
      </x:c>
      <x:c r="AF147" s="1">
        <x:v>11.353</x:v>
      </x:c>
      <x:c r="AG147" s="1">
        <x:v>42890</x:v>
      </x:c>
      <x:c r="AH147" s="1"/>
      <x:c r="AI147" s="1" t="s">
        <x:v>193</x:v>
      </x:c>
      <x:c r="AJ147" s="1" t="s">
        <x:v>67</x:v>
      </x:c>
      <x:c r="AK147" s="1">
        <x:v>5.5190000000000001</x:v>
      </x:c>
      <x:c r="AL147" s="1">
        <x:v>5730</x:v>
      </x:c>
      <x:c r="AM147" s="1"/>
      <x:c r="AN147" s="1"/>
      <x:c r="AO147" s="1"/>
      <x:c r="AP147" s="1"/>
      <x:c r="AQ147" s="1"/>
      <x:c r="AR147" s="1"/>
    </x:row>
    <x:row r="148">
      <x:c r="A148" s="1"/>
      <x:c r="B148" s="1"/>
      <x:c r="C148" s="1"/>
      <x:c r="D148" s="1"/>
      <x:c r="E148" s="1"/>
      <x:c r="F148" s="1"/>
      <x:c r="G148" s="1"/>
      <x:c r="H148" s="1"/>
      <x:c r="I148" s="1"/>
      <x:c r="J148" s="1"/>
      <x:c r="K148" s="1"/>
      <x:c r="L148" s="1"/>
      <x:c r="M148" s="1"/>
      <x:c r="N148" s="1"/>
      <x:c r="O148" s="1"/>
      <x:c r="P148" s="1"/>
      <x:c r="Q148" s="1"/>
      <x:c r="R148" s="1"/>
      <x:c r="S148" s="1"/>
      <x:c r="T148" s="1"/>
      <x:c r="U148" s="1"/>
      <x:c r="V148" s="1"/>
      <x:c r="W148" s="1"/>
      <x:c r="X148" s="1"/>
      <x:c r="Y148" s="1"/>
      <x:c r="Z148" s="1"/>
      <x:c r="AA148" s="1"/>
      <x:c r="AB148" s="1"/>
      <x:c r="AC148" s="1"/>
      <x:c r="AD148" s="1" t="s">
        <x:v>291</x:v>
      </x:c>
      <x:c r="AE148" s="1" t="s">
        <x:v>14</x:v>
      </x:c>
      <x:c r="AF148" s="1">
        <x:v>10.465</x:v>
      </x:c>
      <x:c r="AG148" s="1">
        <x:v>37140</x:v>
      </x:c>
      <x:c r="AH148" s="1"/>
      <x:c r="AI148" s="1" t="s">
        <x:v>195</x:v>
      </x:c>
      <x:c r="AJ148" s="1" t="s">
        <x:v>39</x:v>
      </x:c>
      <x:c r="AK148" s="1">
        <x:v>5.5010000000000003</x:v>
      </x:c>
      <x:c r="AL148" s="1">
        <x:v>71680</x:v>
      </x:c>
      <x:c r="AM148" s="1"/>
      <x:c r="AN148" s="1"/>
      <x:c r="AO148" s="1"/>
      <x:c r="AP148" s="1"/>
      <x:c r="AQ148" s="1"/>
      <x:c r="AR148" s="1"/>
    </x:row>
    <x:row r="149">
      <x:c r="A149" s="1"/>
      <x:c r="B149" s="1"/>
      <x:c r="C149" s="1"/>
      <x:c r="D149" s="1"/>
      <x:c r="E149" s="1"/>
      <x:c r="F149" s="1"/>
      <x:c r="G149" s="1"/>
      <x:c r="H149" s="1"/>
      <x:c r="I149" s="1"/>
      <x:c r="J149" s="1"/>
      <x:c r="K149" s="1"/>
      <x:c r="L149" s="1"/>
      <x:c r="M149" s="1"/>
      <x:c r="N149" s="1"/>
      <x:c r="O149" s="1"/>
      <x:c r="P149" s="1"/>
      <x:c r="Q149" s="1"/>
      <x:c r="R149" s="1"/>
      <x:c r="S149" s="1"/>
      <x:c r="T149" s="1"/>
      <x:c r="U149" s="1"/>
      <x:c r="V149" s="1"/>
      <x:c r="W149" s="1"/>
      <x:c r="X149" s="1"/>
      <x:c r="Y149" s="1"/>
      <x:c r="Z149" s="1"/>
      <x:c r="AA149" s="1"/>
      <x:c r="AB149" s="1"/>
      <x:c r="AC149" s="1"/>
      <x:c r="AD149" s="1" t="s">
        <x:v>292</x:v>
      </x:c>
      <x:c r="AE149" s="1" t="s">
        <x:v>19</x:v>
      </x:c>
      <x:c r="AF149" s="1">
        <x:v>9.2240000000000002</x:v>
      </x:c>
      <x:c r="AG149" s="1">
        <x:v>17900</x:v>
      </x:c>
      <x:c r="AH149" s="1"/>
      <x:c r="AI149" s="1" t="s">
        <x:v>197</x:v>
      </x:c>
      <x:c r="AJ149" s="1" t="s">
        <x:v>43</x:v>
      </x:c>
      <x:c r="AK149" s="1">
        <x:v>5.2469999999999999</x:v>
      </x:c>
      <x:c r="AL149" s="1">
        <x:v>7920</x:v>
      </x:c>
      <x:c r="AM149" s="1"/>
      <x:c r="AN149" s="1"/>
      <x:c r="AO149" s="1"/>
      <x:c r="AP149" s="1"/>
      <x:c r="AQ149" s="1"/>
      <x:c r="AR149" s="1"/>
    </x:row>
    <x:row r="150">
      <x:c r="A150" s="1"/>
      <x:c r="B150" s="1"/>
      <x:c r="C150" s="1"/>
      <x:c r="D150" s="1"/>
      <x:c r="E150" s="1"/>
      <x:c r="F150" s="1"/>
      <x:c r="G150" s="1"/>
      <x:c r="H150" s="1"/>
      <x:c r="I150" s="1"/>
      <x:c r="J150" s="1"/>
      <x:c r="K150" s="1"/>
      <x:c r="L150" s="1"/>
      <x:c r="M150" s="1"/>
      <x:c r="N150" s="1"/>
      <x:c r="O150" s="1"/>
      <x:c r="P150" s="1"/>
      <x:c r="Q150" s="1"/>
      <x:c r="R150" s="1"/>
      <x:c r="S150" s="1"/>
      <x:c r="T150" s="1"/>
      <x:c r="U150" s="1"/>
      <x:c r="V150" s="1"/>
      <x:c r="W150" s="1"/>
      <x:c r="X150" s="1"/>
      <x:c r="Y150" s="1"/>
      <x:c r="Z150" s="1"/>
      <x:c r="AA150" s="1"/>
      <x:c r="AB150" s="1"/>
      <x:c r="AC150" s="1"/>
      <x:c r="AD150" s="1" t="s">
        <x:v>293</x:v>
      </x:c>
      <x:c r="AE150" s="1" t="s">
        <x:v>20</x:v>
      </x:c>
      <x:c r="AF150" s="1">
        <x:v>8.8550000000000004</x:v>
      </x:c>
      <x:c r="AG150" s="1">
        <x:v>79600</x:v>
      </x:c>
      <x:c r="AH150" s="1"/>
      <x:c r="AI150" s="1" t="s">
        <x:v>199</x:v>
      </x:c>
      <x:c r="AJ150" s="1" t="s">
        <x:v>75</x:v>
      </x:c>
      <x:c r="AK150" s="1">
        <x:v>5.1189999999999998</x:v>
      </x:c>
      <x:c r="AL150" s="1">
        <x:v>2830</x:v>
      </x:c>
      <x:c r="AM150" s="1"/>
      <x:c r="AN150" s="1"/>
      <x:c r="AO150" s="1"/>
      <x:c r="AP150" s="1"/>
      <x:c r="AQ150" s="1"/>
      <x:c r="AR150" s="1"/>
    </x:row>
    <x:row r="151">
      <x:c r="A151" s="1"/>
      <x:c r="B151" s="1"/>
      <x:c r="C151" s="1"/>
      <x:c r="D151" s="1"/>
      <x:c r="E151" s="1"/>
      <x:c r="F151" s="1"/>
      <x:c r="G151" s="1"/>
      <x:c r="H151" s="1"/>
      <x:c r="I151" s="1"/>
      <x:c r="J151" s="1"/>
      <x:c r="K151" s="1"/>
      <x:c r="L151" s="1"/>
      <x:c r="M151" s="1"/>
      <x:c r="N151" s="1"/>
      <x:c r="O151" s="1"/>
      <x:c r="P151" s="1"/>
      <x:c r="Q151" s="1"/>
      <x:c r="R151" s="1"/>
      <x:c r="S151" s="1"/>
      <x:c r="T151" s="1"/>
      <x:c r="U151" s="1"/>
      <x:c r="V151" s="1"/>
      <x:c r="W151" s="1"/>
      <x:c r="X151" s="1"/>
      <x:c r="Y151" s="1"/>
      <x:c r="Z151" s="1"/>
      <x:c r="AA151" s="1"/>
      <x:c r="AB151" s="1"/>
      <x:c r="AC151" s="1"/>
      <x:c r="AD151" s="1" t="s">
        <x:v>294</x:v>
      </x:c>
      <x:c r="AE151" s="1" t="s">
        <x:v>30</x:v>
      </x:c>
      <x:c r="AF151" s="1">
        <x:v>8.7420000000000009</x:v>
      </x:c>
      <x:c r="AG151" s="1">
        <x:v>9400</x:v>
      </x:c>
      <x:c r="AH151" s="1"/>
      <x:c r="AI151" s="1" t="s">
        <x:v>295</x:v>
      </x:c>
      <x:c r="AJ151" s="1" t="s">
        <x:v>55</x:v>
      </x:c>
      <x:c r="AK151" s="1">
        <x:v>5.0060000000000002</x:v>
      </x:c>
      <x:c r="AL151" s="1">
        <x:v>84200</x:v>
      </x:c>
      <x:c r="AM151" s="1"/>
      <x:c r="AN151" s="1"/>
      <x:c r="AO151" s="1"/>
      <x:c r="AP151" s="1"/>
      <x:c r="AQ151" s="1"/>
      <x:c r="AR151" s="1"/>
    </x:row>
    <x:row r="152">
      <x:c r="A152" s="1"/>
      <x:c r="B152" s="1"/>
      <x:c r="C152" s="1"/>
      <x:c r="D152" s="1"/>
      <x:c r="E152" s="1"/>
      <x:c r="F152" s="1"/>
      <x:c r="G152" s="1"/>
      <x:c r="H152" s="1"/>
      <x:c r="I152" s="1"/>
      <x:c r="J152" s="1"/>
      <x:c r="K152" s="1"/>
      <x:c r="L152" s="1"/>
      <x:c r="M152" s="1"/>
      <x:c r="N152" s="1"/>
      <x:c r="O152" s="1"/>
      <x:c r="P152" s="1"/>
      <x:c r="Q152" s="1"/>
      <x:c r="R152" s="1"/>
      <x:c r="S152" s="1"/>
      <x:c r="T152" s="1"/>
      <x:c r="U152" s="1"/>
      <x:c r="V152" s="1"/>
      <x:c r="W152" s="1"/>
      <x:c r="X152" s="1"/>
      <x:c r="Y152" s="1"/>
      <x:c r="Z152" s="1"/>
      <x:c r="AA152" s="1"/>
      <x:c r="AB152" s="1"/>
      <x:c r="AC152" s="1"/>
      <x:c r="AD152" s="1" t="s">
        <x:v>296</x:v>
      </x:c>
      <x:c r="AE152" s="1" t="s">
        <x:v>34</x:v>
      </x:c>
      <x:c r="AF152" s="1">
        <x:v>8.218</x:v>
      </x:c>
      <x:c r="AG152" s="1">
        <x:v>17130</x:v>
      </x:c>
      <x:c r="AH152" s="1"/>
      <x:c r="AI152" s="1" t="s">
        <x:v>297</x:v>
      </x:c>
      <x:c r="AJ152" s="1" t="s">
        <x:v>47</x:v>
      </x:c>
      <x:c r="AK152" s="1">
        <x:v>4.9889999999999999</x:v>
      </x:c>
      <x:c r="AL152" s="1">
        <x:v>133090</x:v>
      </x:c>
      <x:c r="AM152" s="1"/>
      <x:c r="AN152" s="1"/>
      <x:c r="AO152" s="1"/>
      <x:c r="AP152" s="1"/>
      <x:c r="AQ152" s="1"/>
      <x:c r="AR152" s="1"/>
    </x:row>
    <x:row r="153">
      <x:c r="A153" s="1"/>
      <x:c r="B153" s="1"/>
      <x:c r="C153" s="1"/>
      <x:c r="D153" s="1"/>
      <x:c r="E153" s="1"/>
      <x:c r="F153" s="1"/>
      <x:c r="G153" s="1"/>
      <x:c r="H153" s="1"/>
      <x:c r="I153" s="1"/>
      <x:c r="J153" s="1"/>
      <x:c r="K153" s="1"/>
      <x:c r="L153" s="1"/>
      <x:c r="M153" s="1"/>
      <x:c r="N153" s="1"/>
      <x:c r="O153" s="1"/>
      <x:c r="P153" s="1"/>
      <x:c r="Q153" s="1"/>
      <x:c r="R153" s="1"/>
      <x:c r="S153" s="1"/>
      <x:c r="T153" s="1"/>
      <x:c r="U153" s="1"/>
      <x:c r="V153" s="1"/>
      <x:c r="W153" s="1"/>
      <x:c r="X153" s="1"/>
      <x:c r="Y153" s="1"/>
      <x:c r="Z153" s="1"/>
      <x:c r="AA153" s="1"/>
      <x:c r="AB153" s="1"/>
      <x:c r="AC153" s="1"/>
      <x:c r="AD153" s="1" t="s">
        <x:v>298</x:v>
      </x:c>
      <x:c r="AE153" s="1" t="s">
        <x:v>46</x:v>
      </x:c>
      <x:c r="AF153" s="1">
        <x:v>7.9560000000000004</x:v>
      </x:c>
      <x:c r="AG153" s="1">
        <x:v>25830</x:v>
      </x:c>
      <x:c r="AH153" s="1"/>
      <x:c r="AI153" s="1" t="s">
        <x:v>299</x:v>
      </x:c>
      <x:c r="AJ153" s="1" t="s">
        <x:v>51</x:v>
      </x:c>
      <x:c r="AK153" s="1">
        <x:v>4.8559999999999999</x:v>
      </x:c>
      <x:c r="AL153" s="1">
        <x:v>147340</x:v>
      </x:c>
      <x:c r="AM153" s="1"/>
      <x:c r="AN153" s="1"/>
      <x:c r="AO153" s="1"/>
      <x:c r="AP153" s="1"/>
      <x:c r="AQ153" s="1"/>
      <x:c r="AR153" s="1"/>
    </x:row>
    <x:row r="154">
      <x:c r="A154" s="1"/>
      <x:c r="B154" s="1"/>
      <x:c r="C154" s="1"/>
      <x:c r="D154" s="1"/>
      <x:c r="E154" s="1"/>
      <x:c r="F154" s="1"/>
      <x:c r="G154" s="1"/>
      <x:c r="H154" s="1"/>
      <x:c r="I154" s="1"/>
      <x:c r="J154" s="1"/>
      <x:c r="K154" s="1"/>
      <x:c r="L154" s="1"/>
      <x:c r="M154" s="1"/>
      <x:c r="N154" s="1"/>
      <x:c r="O154" s="1"/>
      <x:c r="P154" s="1"/>
      <x:c r="Q154" s="1"/>
      <x:c r="R154" s="1"/>
      <x:c r="S154" s="1"/>
      <x:c r="T154" s="1"/>
      <x:c r="U154" s="1"/>
      <x:c r="V154" s="1"/>
      <x:c r="W154" s="1"/>
      <x:c r="X154" s="1"/>
      <x:c r="Y154" s="1"/>
      <x:c r="Z154" s="1"/>
      <x:c r="AA154" s="1"/>
      <x:c r="AB154" s="1"/>
      <x:c r="AC154" s="1"/>
      <x:c r="AD154" s="1" t="s">
        <x:v>300</x:v>
      </x:c>
      <x:c r="AE154" s="1" t="s">
        <x:v>50</x:v>
      </x:c>
      <x:c r="AF154" s="1">
        <x:v>7.9249999999999998</x:v>
      </x:c>
      <x:c r="AG154" s="1">
        <x:v>40340</x:v>
      </x:c>
      <x:c r="AH154" s="1"/>
      <x:c r="AI154" s="1" t="s">
        <x:v>301</x:v>
      </x:c>
      <x:c r="AJ154" s="1" t="s">
        <x:v>59</x:v>
      </x:c>
      <x:c r="AK154" s="1">
        <x:v>4.7210000000000001</x:v>
      </x:c>
      <x:c r="AL154" s="1">
        <x:v>140930</x:v>
      </x:c>
      <x:c r="AM154" s="1"/>
      <x:c r="AN154" s="1"/>
      <x:c r="AO154" s="1"/>
      <x:c r="AP154" s="1"/>
      <x:c r="AQ154" s="1"/>
      <x:c r="AR154" s="1"/>
    </x:row>
    <x:row r="155">
      <x:c r="A155" s="1"/>
      <x:c r="B155" s="1"/>
      <x:c r="C155" s="1"/>
      <x:c r="D155" s="1"/>
      <x:c r="E155" s="1"/>
      <x:c r="F155" s="1"/>
      <x:c r="G155" s="1"/>
      <x:c r="H155" s="1"/>
      <x:c r="I155" s="1"/>
      <x:c r="J155" s="1"/>
      <x:c r="K155" s="1"/>
      <x:c r="L155" s="1"/>
      <x:c r="M155" s="1"/>
      <x:c r="N155" s="1"/>
      <x:c r="O155" s="1"/>
      <x:c r="P155" s="1"/>
      <x:c r="Q155" s="1"/>
      <x:c r="R155" s="1"/>
      <x:c r="S155" s="1"/>
      <x:c r="T155" s="1"/>
      <x:c r="U155" s="1"/>
      <x:c r="V155" s="1"/>
      <x:c r="W155" s="1"/>
      <x:c r="X155" s="1"/>
      <x:c r="Y155" s="1"/>
      <x:c r="Z155" s="1"/>
      <x:c r="AA155" s="1"/>
      <x:c r="AB155" s="1"/>
      <x:c r="AC155" s="1"/>
      <x:c r="AD155" s="1" t="s">
        <x:v>302</x:v>
      </x:c>
      <x:c r="AE155" s="1" t="s">
        <x:v>38</x:v>
      </x:c>
      <x:c r="AF155" s="1">
        <x:v>7.8949999999999996</x:v>
      </x:c>
      <x:c r="AG155" s="1">
        <x:v>71060</x:v>
      </x:c>
      <x:c r="AH155" s="1"/>
      <x:c r="AI155" s="1" t="s">
        <x:v>303</x:v>
      </x:c>
      <x:c r="AJ155" s="1" t="s">
        <x:v>63</x:v>
      </x:c>
      <x:c r="AK155" s="1">
        <x:v>4.6360000000000001</x:v>
      </x:c>
      <x:c r="AL155" s="1">
        <x:v>186000</x:v>
      </x:c>
      <x:c r="AM155" s="1"/>
      <x:c r="AN155" s="1"/>
      <x:c r="AO155" s="1"/>
      <x:c r="AP155" s="1"/>
      <x:c r="AQ155" s="1"/>
      <x:c r="AR155" s="1"/>
    </x:row>
    <x:row r="156">
      <x:c r="A156" s="1"/>
      <x:c r="B156" s="1"/>
      <x:c r="C156" s="1"/>
      <x:c r="D156" s="1"/>
      <x:c r="E156" s="1"/>
      <x:c r="F156" s="1"/>
      <x:c r="G156" s="1"/>
      <x:c r="H156" s="1"/>
      <x:c r="I156" s="1"/>
      <x:c r="J156" s="1"/>
      <x:c r="K156" s="1"/>
      <x:c r="L156" s="1"/>
      <x:c r="M156" s="1"/>
      <x:c r="N156" s="1"/>
      <x:c r="O156" s="1"/>
      <x:c r="P156" s="1"/>
      <x:c r="Q156" s="1"/>
      <x:c r="R156" s="1"/>
      <x:c r="S156" s="1"/>
      <x:c r="T156" s="1"/>
      <x:c r="U156" s="1"/>
      <x:c r="V156" s="1"/>
      <x:c r="W156" s="1"/>
      <x:c r="X156" s="1"/>
      <x:c r="Y156" s="1"/>
      <x:c r="Z156" s="1"/>
      <x:c r="AA156" s="1"/>
      <x:c r="AB156" s="1"/>
      <x:c r="AC156" s="1"/>
      <x:c r="AD156" s="1" t="s">
        <x:v>304</x:v>
      </x:c>
      <x:c r="AE156" s="1" t="s">
        <x:v>182</x:v>
      </x:c>
      <x:c r="AF156" s="1">
        <x:v>7.8319999999999999</x:v>
      </x:c>
      <x:c r="AG156" s="1">
        <x:v>12920</x:v>
      </x:c>
      <x:c r="AH156" s="1"/>
      <x:c r="AI156" s="1" t="s">
        <x:v>305</x:v>
      </x:c>
      <x:c r="AJ156" s="1" t="s">
        <x:v>71</x:v>
      </x:c>
      <x:c r="AK156" s="1">
        <x:v>4.3890000000000002</x:v>
      </x:c>
      <x:c r="AL156" s="1">
        <x:v>270830</x:v>
      </x:c>
      <x:c r="AM156" s="1"/>
      <x:c r="AN156" s="1"/>
      <x:c r="AO156" s="1"/>
      <x:c r="AP156" s="1"/>
      <x:c r="AQ156" s="1"/>
      <x:c r="AR156" s="1"/>
    </x:row>
    <x:row r="157">
      <x:c r="A157" s="1"/>
      <x:c r="B157" s="1"/>
      <x:c r="C157" s="1"/>
      <x:c r="D157" s="1"/>
      <x:c r="E157" s="1"/>
      <x:c r="F157" s="1"/>
      <x:c r="G157" s="1"/>
      <x:c r="H157" s="1"/>
      <x:c r="I157" s="1"/>
      <x:c r="J157" s="1"/>
      <x:c r="K157" s="1"/>
      <x:c r="L157" s="1"/>
      <x:c r="M157" s="1"/>
      <x:c r="N157" s="1"/>
      <x:c r="O157" s="1"/>
      <x:c r="P157" s="1"/>
      <x:c r="Q157" s="1"/>
      <x:c r="R157" s="1"/>
      <x:c r="S157" s="1"/>
      <x:c r="T157" s="1"/>
      <x:c r="U157" s="1"/>
      <x:c r="V157" s="1"/>
      <x:c r="W157" s="1"/>
      <x:c r="X157" s="1"/>
      <x:c r="Y157" s="1"/>
      <x:c r="Z157" s="1"/>
      <x:c r="AA157" s="1"/>
      <x:c r="AB157" s="1"/>
      <x:c r="AC157" s="1"/>
      <x:c r="AD157" s="1" t="s">
        <x:v>306</x:v>
      </x:c>
      <x:c r="AE157" s="1" t="s">
        <x:v>10</x:v>
      </x:c>
      <x:c r="AF157" s="1">
        <x:v>10.717000000000001</x:v>
      </x:c>
      <x:c r="AG157" s="1">
        <x:v>18120</x:v>
      </x:c>
      <x:c r="AH157" s="1"/>
      <x:c r="AI157" s="1" t="s">
        <x:v>307</x:v>
      </x:c>
      <x:c r="AJ157" s="1" t="s">
        <x:v>79</x:v>
      </x:c>
      <x:c r="AK157" s="1">
        <x:v>3.9969999999999999</x:v>
      </x:c>
      <x:c r="AL157" s="1">
        <x:v>76220</x:v>
      </x:c>
      <x:c r="AM157" s="1"/>
      <x:c r="AN157" s="1"/>
      <x:c r="AO157" s="1"/>
      <x:c r="AP157" s="1"/>
      <x:c r="AQ157" s="1"/>
      <x:c r="AR157" s="1"/>
    </x:row>
    <x:row r="158">
      <x:c r="A158" s="1"/>
      <x:c r="B158" s="1"/>
      <x:c r="C158" s="1"/>
      <x:c r="D158" s="1"/>
      <x:c r="E158" s="1"/>
      <x:c r="F158" s="1"/>
      <x:c r="G158" s="1"/>
      <x:c r="H158" s="1"/>
      <x:c r="I158" s="1"/>
      <x:c r="J158" s="1"/>
      <x:c r="K158" s="1"/>
      <x:c r="L158" s="1"/>
      <x:c r="M158" s="1"/>
      <x:c r="N158" s="1"/>
      <x:c r="O158" s="1"/>
      <x:c r="P158" s="1"/>
      <x:c r="Q158" s="1"/>
      <x:c r="R158" s="1"/>
      <x:c r="S158" s="1"/>
      <x:c r="T158" s="1"/>
      <x:c r="U158" s="1"/>
      <x:c r="V158" s="1"/>
      <x:c r="W158" s="1"/>
      <x:c r="X158" s="1"/>
      <x:c r="Y158" s="1"/>
      <x:c r="Z158" s="1"/>
      <x:c r="AA158" s="1"/>
      <x:c r="AB158" s="1"/>
      <x:c r="AC158" s="1"/>
      <x:c r="AD158" s="1" t="s">
        <x:v>308</x:v>
      </x:c>
      <x:c r="AE158" s="1" t="s">
        <x:v>19</x:v>
      </x:c>
      <x:c r="AF158" s="1">
        <x:v>10.647</x:v>
      </x:c>
      <x:c r="AG158" s="1">
        <x:v>9800</x:v>
      </x:c>
      <x:c r="AH158" s="1"/>
      <x:c r="AI158" s="1" t="s">
        <x:v>309</x:v>
      </x:c>
      <x:c r="AJ158" s="1" t="s">
        <x:v>83</x:v>
      </x:c>
      <x:c r="AK158" s="1">
        <x:v>3.4849999999999999</x:v>
      </x:c>
      <x:c r="AL158" s="1">
        <x:v>58600</x:v>
      </x:c>
      <x:c r="AM158" s="1"/>
      <x:c r="AN158" s="1"/>
      <x:c r="AO158" s="1"/>
      <x:c r="AP158" s="1"/>
      <x:c r="AQ158" s="1"/>
      <x:c r="AR158" s="1"/>
    </x:row>
    <x:row r="159">
      <x:c r="A159" s="1"/>
      <x:c r="B159" s="1"/>
      <x:c r="C159" s="1"/>
      <x:c r="D159" s="1"/>
      <x:c r="E159" s="1"/>
      <x:c r="F159" s="1"/>
      <x:c r="G159" s="1"/>
      <x:c r="H159" s="1"/>
      <x:c r="I159" s="1"/>
      <x:c r="J159" s="1"/>
      <x:c r="K159" s="1"/>
      <x:c r="L159" s="1"/>
      <x:c r="M159" s="1"/>
      <x:c r="N159" s="1"/>
      <x:c r="O159" s="1"/>
      <x:c r="P159" s="1"/>
      <x:c r="Q159" s="1"/>
      <x:c r="R159" s="1"/>
      <x:c r="S159" s="1"/>
      <x:c r="T159" s="1"/>
      <x:c r="U159" s="1"/>
      <x:c r="V159" s="1"/>
      <x:c r="W159" s="1"/>
      <x:c r="X159" s="1"/>
      <x:c r="Y159" s="1"/>
      <x:c r="Z159" s="1"/>
      <x:c r="AA159" s="1"/>
      <x:c r="AB159" s="1"/>
      <x:c r="AC159" s="1"/>
      <x:c r="AD159" s="1" t="s">
        <x:v>310</x:v>
      </x:c>
      <x:c r="AE159" s="1" t="s">
        <x:v>30</x:v>
      </x:c>
      <x:c r="AF159" s="1">
        <x:v>10.077999999999999</x:v>
      </x:c>
      <x:c r="AG159" s="1">
        <x:v>5180</x:v>
      </x:c>
      <x:c r="AH159" s="1"/>
      <x:c r="AI159" s="1" t="s">
        <x:v>201</x:v>
      </x:c>
      <x:c r="AJ159" s="1" t="s">
        <x:v>10</x:v>
      </x:c>
      <x:c r="AK159" s="1">
        <x:v>10.724</x:v>
      </x:c>
      <x:c r="AL159" s="1">
        <x:v>40670</x:v>
      </x:c>
      <x:c r="AM159" s="1"/>
      <x:c r="AN159" s="1"/>
      <x:c r="AO159" s="1"/>
      <x:c r="AP159" s="1"/>
      <x:c r="AQ159" s="1"/>
      <x:c r="AR159" s="1"/>
    </x:row>
    <x:row r="160">
      <x:c r="A160" s="1"/>
      <x:c r="B160" s="1"/>
      <x:c r="C160" s="1"/>
      <x:c r="D160" s="1"/>
      <x:c r="E160" s="1"/>
      <x:c r="F160" s="1"/>
      <x:c r="G160" s="1"/>
      <x:c r="H160" s="1"/>
      <x:c r="I160" s="1"/>
      <x:c r="J160" s="1"/>
      <x:c r="K160" s="1"/>
      <x:c r="L160" s="1"/>
      <x:c r="M160" s="1"/>
      <x:c r="N160" s="1"/>
      <x:c r="O160" s="1"/>
      <x:c r="P160" s="1"/>
      <x:c r="Q160" s="1"/>
      <x:c r="R160" s="1"/>
      <x:c r="S160" s="1"/>
      <x:c r="T160" s="1"/>
      <x:c r="U160" s="1"/>
      <x:c r="V160" s="1"/>
      <x:c r="W160" s="1"/>
      <x:c r="X160" s="1"/>
      <x:c r="Y160" s="1"/>
      <x:c r="Z160" s="1"/>
      <x:c r="AA160" s="1"/>
      <x:c r="AB160" s="1"/>
      <x:c r="AC160" s="1"/>
      <x:c r="AD160" s="1" t="s">
        <x:v>311</x:v>
      </x:c>
      <x:c r="AE160" s="1" t="s">
        <x:v>14</x:v>
      </x:c>
      <x:c r="AF160" s="1">
        <x:v>10.055</x:v>
      </x:c>
      <x:c r="AG160" s="1">
        <x:v>15900</x:v>
      </x:c>
      <x:c r="AH160" s="1"/>
      <x:c r="AI160" s="1" t="s">
        <x:v>202</x:v>
      </x:c>
      <x:c r="AJ160" s="1" t="s">
        <x:v>14</x:v>
      </x:c>
      <x:c r="AK160" s="1">
        <x:v>9.9489999999999998</x:v>
      </x:c>
      <x:c r="AL160" s="1">
        <x:v>35510</x:v>
      </x:c>
      <x:c r="AM160" s="1"/>
      <x:c r="AN160" s="1"/>
      <x:c r="AO160" s="1"/>
      <x:c r="AP160" s="1"/>
      <x:c r="AQ160" s="1"/>
      <x:c r="AR160" s="1"/>
    </x:row>
    <x:row r="161">
      <x:c r="A161" s="1"/>
      <x:c r="B161" s="1"/>
      <x:c r="C161" s="1"/>
      <x:c r="D161" s="1"/>
      <x:c r="E161" s="1"/>
      <x:c r="F161" s="1"/>
      <x:c r="G161" s="1"/>
      <x:c r="H161" s="1"/>
      <x:c r="I161" s="1"/>
      <x:c r="J161" s="1"/>
      <x:c r="K161" s="1"/>
      <x:c r="L161" s="1"/>
      <x:c r="M161" s="1"/>
      <x:c r="N161" s="1"/>
      <x:c r="O161" s="1"/>
      <x:c r="P161" s="1"/>
      <x:c r="Q161" s="1"/>
      <x:c r="R161" s="1"/>
      <x:c r="S161" s="1"/>
      <x:c r="T161" s="1"/>
      <x:c r="U161" s="1"/>
      <x:c r="V161" s="1"/>
      <x:c r="W161" s="1"/>
      <x:c r="X161" s="1"/>
      <x:c r="Y161" s="1"/>
      <x:c r="Z161" s="1"/>
      <x:c r="AA161" s="1"/>
      <x:c r="AB161" s="1"/>
      <x:c r="AC161" s="1"/>
      <x:c r="AD161" s="1" t="s">
        <x:v>312</x:v>
      </x:c>
      <x:c r="AE161" s="1" t="s">
        <x:v>34</x:v>
      </x:c>
      <x:c r="AF161" s="1">
        <x:v>9.4749999999999996</x:v>
      </x:c>
      <x:c r="AG161" s="1">
        <x:v>9400</x:v>
      </x:c>
      <x:c r="AH161" s="1"/>
      <x:c r="AI161" s="1" t="s">
        <x:v>203</x:v>
      </x:c>
      <x:c r="AJ161" s="1" t="s">
        <x:v>20</x:v>
      </x:c>
      <x:c r="AK161" s="1">
        <x:v>8.3629999999999995</x:v>
      </x:c>
      <x:c r="AL161" s="1">
        <x:v>74460</x:v>
      </x:c>
      <x:c r="AM161" s="1"/>
      <x:c r="AN161" s="1"/>
      <x:c r="AO161" s="1"/>
      <x:c r="AP161" s="1"/>
      <x:c r="AQ161" s="1"/>
      <x:c r="AR161" s="1"/>
    </x:row>
    <x:row r="162">
      <x:c r="A162" s="1"/>
      <x:c r="B162" s="1"/>
      <x:c r="C162" s="1"/>
      <x:c r="D162" s="1"/>
      <x:c r="E162" s="1"/>
      <x:c r="F162" s="1"/>
      <x:c r="G162" s="1"/>
      <x:c r="H162" s="1"/>
      <x:c r="I162" s="1"/>
      <x:c r="J162" s="1"/>
      <x:c r="K162" s="1"/>
      <x:c r="L162" s="1"/>
      <x:c r="M162" s="1"/>
      <x:c r="N162" s="1"/>
      <x:c r="O162" s="1"/>
      <x:c r="P162" s="1"/>
      <x:c r="Q162" s="1"/>
      <x:c r="R162" s="1"/>
      <x:c r="S162" s="1"/>
      <x:c r="T162" s="1"/>
      <x:c r="U162" s="1"/>
      <x:c r="V162" s="1"/>
      <x:c r="W162" s="1"/>
      <x:c r="X162" s="1"/>
      <x:c r="Y162" s="1"/>
      <x:c r="Z162" s="1"/>
      <x:c r="AA162" s="1"/>
      <x:c r="AB162" s="1"/>
      <x:c r="AC162" s="1"/>
      <x:c r="AD162" s="1" t="s">
        <x:v>313</x:v>
      </x:c>
      <x:c r="AE162" s="1" t="s">
        <x:v>46</x:v>
      </x:c>
      <x:c r="AF162" s="1">
        <x:v>9.2910000000000004</x:v>
      </x:c>
      <x:c r="AG162" s="1">
        <x:v>14330</x:v>
      </x:c>
      <x:c r="AH162" s="1"/>
      <x:c r="AI162" s="1" t="s">
        <x:v>204</x:v>
      </x:c>
      <x:c r="AJ162" s="1" t="s">
        <x:v>27</x:v>
      </x:c>
      <x:c r="AK162" s="1">
        <x:v>6.8959999999999999</x:v>
      </x:c>
      <x:c r="AL162" s="1">
        <x:v>358520</x:v>
      </x:c>
      <x:c r="AM162" s="1"/>
      <x:c r="AN162" s="1"/>
      <x:c r="AO162" s="1"/>
      <x:c r="AP162" s="1"/>
      <x:c r="AQ162" s="1"/>
      <x:c r="AR162" s="1"/>
    </x:row>
    <x:row r="163">
      <x:c r="A163" s="1"/>
      <x:c r="B163" s="1"/>
      <x:c r="C163" s="1"/>
      <x:c r="D163" s="1"/>
      <x:c r="E163" s="1"/>
      <x:c r="F163" s="1"/>
      <x:c r="G163" s="1"/>
      <x:c r="H163" s="1"/>
      <x:c r="I163" s="1"/>
      <x:c r="J163" s="1"/>
      <x:c r="K163" s="1"/>
      <x:c r="L163" s="1"/>
      <x:c r="M163" s="1"/>
      <x:c r="N163" s="1"/>
      <x:c r="O163" s="1"/>
      <x:c r="P163" s="1"/>
      <x:c r="Q163" s="1"/>
      <x:c r="R163" s="1"/>
      <x:c r="S163" s="1"/>
      <x:c r="T163" s="1"/>
      <x:c r="U163" s="1"/>
      <x:c r="V163" s="1"/>
      <x:c r="W163" s="1"/>
      <x:c r="X163" s="1"/>
      <x:c r="Y163" s="1"/>
      <x:c r="Z163" s="1"/>
      <x:c r="AA163" s="1"/>
      <x:c r="AB163" s="1"/>
      <x:c r="AC163" s="1"/>
      <x:c r="AD163" s="1" t="s">
        <x:v>314</x:v>
      </x:c>
      <x:c r="AE163" s="1" t="s">
        <x:v>42</x:v>
      </x:c>
      <x:c r="AF163" s="1">
        <x:v>8.9700000000000006</x:v>
      </x:c>
      <x:c r="AG163" s="1">
        <x:v>13880</x:v>
      </x:c>
      <x:c r="AH163" s="1"/>
      <x:c r="AI163" s="1" t="s">
        <x:v>205</x:v>
      </x:c>
      <x:c r="AJ163" s="1" t="s">
        <x:v>31</x:v>
      </x:c>
      <x:c r="AK163" s="1">
        <x:v>6.7290000000000001</x:v>
      </x:c>
      <x:c r="AL163" s="1">
        <x:v>390670</x:v>
      </x:c>
      <x:c r="AM163" s="1"/>
      <x:c r="AN163" s="1"/>
      <x:c r="AO163" s="1"/>
      <x:c r="AP163" s="1"/>
      <x:c r="AQ163" s="1"/>
      <x:c r="AR163" s="1"/>
    </x:row>
    <x:row r="164">
      <x:c r="A164" s="1"/>
      <x:c r="B164" s="1"/>
      <x:c r="C164" s="1"/>
      <x:c r="D164" s="1"/>
      <x:c r="E164" s="1"/>
      <x:c r="F164" s="1"/>
      <x:c r="G164" s="1"/>
      <x:c r="H164" s="1"/>
      <x:c r="I164" s="1"/>
      <x:c r="J164" s="1"/>
      <x:c r="K164" s="1"/>
      <x:c r="L164" s="1"/>
      <x:c r="M164" s="1"/>
      <x:c r="N164" s="1"/>
      <x:c r="O164" s="1"/>
      <x:c r="P164" s="1"/>
      <x:c r="Q164" s="1"/>
      <x:c r="R164" s="1"/>
      <x:c r="S164" s="1"/>
      <x:c r="T164" s="1"/>
      <x:c r="U164" s="1"/>
      <x:c r="V164" s="1"/>
      <x:c r="W164" s="1"/>
      <x:c r="X164" s="1"/>
      <x:c r="Y164" s="1"/>
      <x:c r="Z164" s="1"/>
      <x:c r="AA164" s="1"/>
      <x:c r="AB164" s="1"/>
      <x:c r="AC164" s="1"/>
      <x:c r="AD164" s="1" t="s">
        <x:v>315</x:v>
      </x:c>
      <x:c r="AE164" s="1" t="s">
        <x:v>86</x:v>
      </x:c>
      <x:c r="AF164" s="1">
        <x:v>8.9550000000000001</x:v>
      </x:c>
      <x:c r="AG164" s="1">
        <x:v>12400</x:v>
      </x:c>
      <x:c r="AH164" s="1"/>
      <x:c r="AI164" s="1" t="s">
        <x:v>207</x:v>
      </x:c>
      <x:c r="AJ164" s="1" t="s">
        <x:v>35</x:v>
      </x:c>
      <x:c r="AK164" s="1">
        <x:v>6.5640000000000001</x:v>
      </x:c>
      <x:c r="AL164" s="1">
        <x:v>177740</x:v>
      </x:c>
      <x:c r="AM164" s="1"/>
      <x:c r="AN164" s="1"/>
      <x:c r="AO164" s="1"/>
      <x:c r="AP164" s="1"/>
      <x:c r="AQ164" s="1"/>
      <x:c r="AR164" s="1"/>
    </x:row>
    <x:row r="165">
      <x:c r="A165" s="1"/>
      <x:c r="B165" s="1"/>
      <x:c r="C165" s="1"/>
      <x:c r="D165" s="1"/>
      <x:c r="E165" s="1"/>
      <x:c r="F165" s="1"/>
      <x:c r="G165" s="1"/>
      <x:c r="H165" s="1"/>
      <x:c r="I165" s="1"/>
      <x:c r="J165" s="1"/>
      <x:c r="K165" s="1"/>
      <x:c r="L165" s="1"/>
      <x:c r="M165" s="1"/>
      <x:c r="N165" s="1"/>
      <x:c r="O165" s="1"/>
      <x:c r="P165" s="1"/>
      <x:c r="Q165" s="1"/>
      <x:c r="R165" s="1"/>
      <x:c r="S165" s="1"/>
      <x:c r="T165" s="1"/>
      <x:c r="U165" s="1"/>
      <x:c r="V165" s="1"/>
      <x:c r="W165" s="1"/>
      <x:c r="X165" s="1"/>
      <x:c r="Y165" s="1"/>
      <x:c r="Z165" s="1"/>
      <x:c r="AA165" s="1"/>
      <x:c r="AB165" s="1"/>
      <x:c r="AC165" s="1"/>
      <x:c r="AD165" s="1" t="s">
        <x:v>316</x:v>
      </x:c>
      <x:c r="AE165" s="1" t="s">
        <x:v>38</x:v>
      </x:c>
      <x:c r="AF165" s="1">
        <x:v>8.9459999999999997</x:v>
      </x:c>
      <x:c r="AG165" s="1">
        <x:v>38280</x:v>
      </x:c>
      <x:c r="AH165" s="1"/>
      <x:c r="AI165" s="1" t="s">
        <x:v>209</x:v>
      </x:c>
      <x:c r="AJ165" s="1" t="s">
        <x:v>39</x:v>
      </x:c>
      <x:c r="AK165" s="1">
        <x:v>6.5049999999999999</x:v>
      </x:c>
      <x:c r="AL165" s="1">
        <x:v>162730</x:v>
      </x:c>
      <x:c r="AM165" s="1"/>
      <x:c r="AN165" s="1"/>
      <x:c r="AO165" s="1"/>
      <x:c r="AP165" s="1"/>
      <x:c r="AQ165" s="1"/>
      <x:c r="AR165" s="1"/>
    </x:row>
    <x:row r="166">
      <x:c r="A166" s="1"/>
      <x:c r="B166" s="1"/>
      <x:c r="C166" s="1"/>
      <x:c r="D166" s="1"/>
      <x:c r="E166" s="1"/>
      <x:c r="F166" s="1"/>
      <x:c r="G166" s="1"/>
      <x:c r="H166" s="1"/>
      <x:c r="I166" s="1"/>
      <x:c r="J166" s="1"/>
      <x:c r="K166" s="1"/>
      <x:c r="L166" s="1"/>
      <x:c r="M166" s="1"/>
      <x:c r="N166" s="1"/>
      <x:c r="O166" s="1"/>
      <x:c r="P166" s="1"/>
      <x:c r="Q166" s="1"/>
      <x:c r="R166" s="1"/>
      <x:c r="S166" s="1"/>
      <x:c r="T166" s="1"/>
      <x:c r="U166" s="1"/>
      <x:c r="V166" s="1"/>
      <x:c r="W166" s="1"/>
      <x:c r="X166" s="1"/>
      <x:c r="Y166" s="1"/>
      <x:c r="Z166" s="1"/>
      <x:c r="AA166" s="1"/>
      <x:c r="AB166" s="1"/>
      <x:c r="AC166" s="1"/>
      <x:c r="AD166" s="1" t="s">
        <x:v>317</x:v>
      </x:c>
      <x:c r="AE166" s="1" t="s">
        <x:v>182</x:v>
      </x:c>
      <x:c r="AF166" s="1">
        <x:v>8.8940000000000001</x:v>
      </x:c>
      <x:c r="AG166" s="1">
        <x:v>7090</x:v>
      </x:c>
      <x:c r="AH166" s="1"/>
      <x:c r="AI166" s="1" t="s">
        <x:v>211</x:v>
      </x:c>
      <x:c r="AJ166" s="1" t="s">
        <x:v>43</x:v>
      </x:c>
      <x:c r="AK166" s="1">
        <x:v>6.3739999999999997</x:v>
      </x:c>
      <x:c r="AL166" s="1">
        <x:v>18500</x:v>
      </x:c>
      <x:c r="AM166" s="1"/>
      <x:c r="AN166" s="1"/>
      <x:c r="AO166" s="1"/>
      <x:c r="AP166" s="1"/>
      <x:c r="AQ166" s="1"/>
      <x:c r="AR166" s="1"/>
    </x:row>
    <x:row r="167">
      <x:c r="A167" s="1"/>
      <x:c r="B167" s="1"/>
      <x:c r="C167" s="1"/>
      <x:c r="D167" s="1"/>
      <x:c r="E167" s="1"/>
      <x:c r="F167" s="1"/>
      <x:c r="G167" s="1"/>
      <x:c r="H167" s="1"/>
      <x:c r="I167" s="1"/>
      <x:c r="J167" s="1"/>
      <x:c r="K167" s="1"/>
      <x:c r="L167" s="1"/>
      <x:c r="M167" s="1"/>
      <x:c r="N167" s="1"/>
      <x:c r="O167" s="1"/>
      <x:c r="P167" s="1"/>
      <x:c r="Q167" s="1"/>
      <x:c r="R167" s="1"/>
      <x:c r="S167" s="1"/>
      <x:c r="T167" s="1"/>
      <x:c r="U167" s="1"/>
      <x:c r="V167" s="1"/>
      <x:c r="W167" s="1"/>
      <x:c r="X167" s="1"/>
      <x:c r="Y167" s="1"/>
      <x:c r="Z167" s="1"/>
      <x:c r="AA167" s="1"/>
      <x:c r="AB167" s="1"/>
      <x:c r="AC167" s="1"/>
      <x:c r="AD167" s="1" t="s">
        <x:v>318</x:v>
      </x:c>
      <x:c r="AE167" s="1" t="s">
        <x:v>10</x:v>
      </x:c>
      <x:c r="AF167" s="1">
        <x:v>11.868</x:v>
      </x:c>
      <x:c r="AG167" s="1">
        <x:v>24770</x:v>
      </x:c>
      <x:c r="AH167" s="1"/>
      <x:c r="AI167" s="1" t="s">
        <x:v>213</x:v>
      </x:c>
      <x:c r="AJ167" s="1" t="s">
        <x:v>47</x:v>
      </x:c>
      <x:c r="AK167" s="1">
        <x:v>5.9930000000000003</x:v>
      </x:c>
      <x:c r="AL167" s="1">
        <x:v>307010</x:v>
      </x:c>
      <x:c r="AM167" s="1"/>
      <x:c r="AN167" s="1"/>
      <x:c r="AO167" s="1"/>
      <x:c r="AP167" s="1"/>
      <x:c r="AQ167" s="1"/>
      <x:c r="AR167" s="1"/>
    </x:row>
    <x:row r="168">
      <x:c r="A168" s="1"/>
      <x:c r="B168" s="1"/>
      <x:c r="C168" s="1"/>
      <x:c r="D168" s="1"/>
      <x:c r="E168" s="1"/>
      <x:c r="F168" s="1"/>
      <x:c r="G168" s="1"/>
      <x:c r="H168" s="1"/>
      <x:c r="I168" s="1"/>
      <x:c r="J168" s="1"/>
      <x:c r="K168" s="1"/>
      <x:c r="L168" s="1"/>
      <x:c r="M168" s="1"/>
      <x:c r="N168" s="1"/>
      <x:c r="O168" s="1"/>
      <x:c r="P168" s="1"/>
      <x:c r="Q168" s="1"/>
      <x:c r="R168" s="1"/>
      <x:c r="S168" s="1"/>
      <x:c r="T168" s="1"/>
      <x:c r="U168" s="1"/>
      <x:c r="V168" s="1"/>
      <x:c r="W168" s="1"/>
      <x:c r="X168" s="1"/>
      <x:c r="Y168" s="1"/>
      <x:c r="Z168" s="1"/>
      <x:c r="AA168" s="1"/>
      <x:c r="AB168" s="1"/>
      <x:c r="AC168" s="1"/>
      <x:c r="AD168" s="1" t="s">
        <x:v>319</x:v>
      </x:c>
      <x:c r="AE168" s="1" t="s">
        <x:v>14</x:v>
      </x:c>
      <x:c r="AF168" s="1">
        <x:v>10.794</x:v>
      </x:c>
      <x:c r="AG168" s="1">
        <x:v>21240</x:v>
      </x:c>
      <x:c r="AH168" s="1"/>
      <x:c r="AI168" s="1" t="s">
        <x:v>215</x:v>
      </x:c>
      <x:c r="AJ168" s="1" t="s">
        <x:v>55</x:v>
      </x:c>
      <x:c r="AK168" s="1">
        <x:v>5.9290000000000003</x:v>
      </x:c>
      <x:c r="AL168" s="1">
        <x:v>191300</x:v>
      </x:c>
      <x:c r="AM168" s="1"/>
      <x:c r="AN168" s="1"/>
      <x:c r="AO168" s="1"/>
      <x:c r="AP168" s="1"/>
      <x:c r="AQ168" s="1"/>
      <x:c r="AR168" s="1"/>
    </x:row>
    <x:row r="169">
      <x:c r="A169" s="1"/>
      <x:c r="B169" s="1"/>
      <x:c r="C169" s="1"/>
      <x:c r="D169" s="1"/>
      <x:c r="E169" s="1"/>
      <x:c r="F169" s="1"/>
      <x:c r="G169" s="1"/>
      <x:c r="H169" s="1"/>
      <x:c r="I169" s="1"/>
      <x:c r="J169" s="1"/>
      <x:c r="K169" s="1"/>
      <x:c r="L169" s="1"/>
      <x:c r="M169" s="1"/>
      <x:c r="N169" s="1"/>
      <x:c r="O169" s="1"/>
      <x:c r="P169" s="1"/>
      <x:c r="Q169" s="1"/>
      <x:c r="R169" s="1"/>
      <x:c r="S169" s="1"/>
      <x:c r="T169" s="1"/>
      <x:c r="U169" s="1"/>
      <x:c r="V169" s="1"/>
      <x:c r="W169" s="1"/>
      <x:c r="X169" s="1"/>
      <x:c r="Y169" s="1"/>
      <x:c r="Z169" s="1"/>
      <x:c r="AA169" s="1"/>
      <x:c r="AB169" s="1"/>
      <x:c r="AC169" s="1"/>
      <x:c r="AD169" s="1" t="s">
        <x:v>320</x:v>
      </x:c>
      <x:c r="AE169" s="1" t="s">
        <x:v>20</x:v>
      </x:c>
      <x:c r="AF169" s="1">
        <x:v>9.1509999999999998</x:v>
      </x:c>
      <x:c r="AG169" s="1">
        <x:v>43050</x:v>
      </x:c>
      <x:c r="AH169" s="1"/>
      <x:c r="AI169" s="1" t="s">
        <x:v>321</x:v>
      </x:c>
      <x:c r="AJ169" s="1" t="s">
        <x:v>51</x:v>
      </x:c>
      <x:c r="AK169" s="1">
        <x:v>5.867</x:v>
      </x:c>
      <x:c r="AL169" s="1">
        <x:v>343150</x:v>
      </x:c>
      <x:c r="AM169" s="1"/>
      <x:c r="AN169" s="1"/>
      <x:c r="AO169" s="1"/>
      <x:c r="AP169" s="1"/>
      <x:c r="AQ169" s="1"/>
      <x:c r="AR169" s="1"/>
    </x:row>
    <x:row r="170">
      <x:c r="A170" s="1"/>
      <x:c r="B170" s="1"/>
      <x:c r="C170" s="1"/>
      <x:c r="D170" s="1"/>
      <x:c r="E170" s="1"/>
      <x:c r="F170" s="1"/>
      <x:c r="G170" s="1"/>
      <x:c r="H170" s="1"/>
      <x:c r="I170" s="1"/>
      <x:c r="J170" s="1"/>
      <x:c r="K170" s="1"/>
      <x:c r="L170" s="1"/>
      <x:c r="M170" s="1"/>
      <x:c r="N170" s="1"/>
      <x:c r="O170" s="1"/>
      <x:c r="P170" s="1"/>
      <x:c r="Q170" s="1"/>
      <x:c r="R170" s="1"/>
      <x:c r="S170" s="1"/>
      <x:c r="T170" s="1"/>
      <x:c r="U170" s="1"/>
      <x:c r="V170" s="1"/>
      <x:c r="W170" s="1"/>
      <x:c r="X170" s="1"/>
      <x:c r="Y170" s="1"/>
      <x:c r="Z170" s="1"/>
      <x:c r="AA170" s="1"/>
      <x:c r="AB170" s="1"/>
      <x:c r="AC170" s="1"/>
      <x:c r="AD170" s="1" t="s">
        <x:v>322</x:v>
      </x:c>
      <x:c r="AE170" s="1" t="s">
        <x:v>19</x:v>
      </x:c>
      <x:c r="AF170" s="1">
        <x:v>7.9390000000000001</x:v>
      </x:c>
      <x:c r="AG170" s="1">
        <x:v>8100</x:v>
      </x:c>
      <x:c r="AH170" s="1"/>
      <x:c r="AI170" s="1" t="s">
        <x:v>323</x:v>
      </x:c>
      <x:c r="AJ170" s="1" t="s">
        <x:v>59</x:v>
      </x:c>
      <x:c r="AK170" s="1">
        <x:v>5.6859999999999999</x:v>
      </x:c>
      <x:c r="AL170" s="1">
        <x:v>328780</x:v>
      </x:c>
      <x:c r="AM170" s="1"/>
      <x:c r="AN170" s="1"/>
      <x:c r="AO170" s="1"/>
      <x:c r="AP170" s="1"/>
      <x:c r="AQ170" s="1"/>
      <x:c r="AR170" s="1"/>
    </x:row>
    <x:row r="171">
      <x:c r="A171" s="1"/>
      <x:c r="B171" s="1"/>
      <x:c r="C171" s="1"/>
      <x:c r="D171" s="1"/>
      <x:c r="E171" s="1"/>
      <x:c r="F171" s="1"/>
      <x:c r="G171" s="1"/>
      <x:c r="H171" s="1"/>
      <x:c r="I171" s="1"/>
      <x:c r="J171" s="1"/>
      <x:c r="K171" s="1"/>
      <x:c r="L171" s="1"/>
      <x:c r="M171" s="1"/>
      <x:c r="N171" s="1"/>
      <x:c r="O171" s="1"/>
      <x:c r="P171" s="1"/>
      <x:c r="Q171" s="1"/>
      <x:c r="R171" s="1"/>
      <x:c r="S171" s="1"/>
      <x:c r="T171" s="1"/>
      <x:c r="U171" s="1"/>
      <x:c r="V171" s="1"/>
      <x:c r="W171" s="1"/>
      <x:c r="X171" s="1"/>
      <x:c r="Y171" s="1"/>
      <x:c r="Z171" s="1"/>
      <x:c r="AA171" s="1"/>
      <x:c r="AB171" s="1"/>
      <x:c r="AC171" s="1"/>
      <x:c r="AD171" s="1" t="s">
        <x:v>324</x:v>
      </x:c>
      <x:c r="AE171" s="1" t="s">
        <x:v>30</x:v>
      </x:c>
      <x:c r="AF171" s="1">
        <x:v>7.5170000000000003</x:v>
      </x:c>
      <x:c r="AG171" s="1">
        <x:v>4220</x:v>
      </x:c>
      <x:c r="AH171" s="1"/>
      <x:c r="AI171" s="1" t="s">
        <x:v>325</x:v>
      </x:c>
      <x:c r="AJ171" s="1" t="s">
        <x:v>67</x:v>
      </x:c>
      <x:c r="AK171" s="1">
        <x:v>5.4980000000000002</x:v>
      </x:c>
      <x:c r="AL171" s="1">
        <x:v>10700</x:v>
      </x:c>
      <x:c r="AM171" s="1"/>
      <x:c r="AN171" s="1"/>
      <x:c r="AO171" s="1"/>
      <x:c r="AP171" s="1"/>
      <x:c r="AQ171" s="1"/>
      <x:c r="AR171" s="1"/>
    </x:row>
    <x:row r="172">
      <x:c r="A172" s="1"/>
      <x:c r="B172" s="1"/>
      <x:c r="C172" s="1"/>
      <x:c r="D172" s="1"/>
      <x:c r="E172" s="1"/>
      <x:c r="F172" s="1"/>
      <x:c r="G172" s="1"/>
      <x:c r="H172" s="1"/>
      <x:c r="I172" s="1"/>
      <x:c r="J172" s="1"/>
      <x:c r="K172" s="1"/>
      <x:c r="L172" s="1"/>
      <x:c r="M172" s="1"/>
      <x:c r="N172" s="1"/>
      <x:c r="O172" s="1"/>
      <x:c r="P172" s="1"/>
      <x:c r="Q172" s="1"/>
      <x:c r="R172" s="1"/>
      <x:c r="S172" s="1"/>
      <x:c r="T172" s="1"/>
      <x:c r="U172" s="1"/>
      <x:c r="V172" s="1"/>
      <x:c r="W172" s="1"/>
      <x:c r="X172" s="1"/>
      <x:c r="Y172" s="1"/>
      <x:c r="Z172" s="1"/>
      <x:c r="AA172" s="1"/>
      <x:c r="AB172" s="1"/>
      <x:c r="AC172" s="1"/>
      <x:c r="AD172" s="1" t="s">
        <x:v>326</x:v>
      </x:c>
      <x:c r="AE172" s="1" t="s">
        <x:v>50</x:v>
      </x:c>
      <x:c r="AF172" s="1">
        <x:v>7.0819999999999999</x:v>
      </x:c>
      <x:c r="AG172" s="1">
        <x:v>18700</x:v>
      </x:c>
      <x:c r="AH172" s="1"/>
      <x:c r="AI172" s="1" t="s">
        <x:v>327</x:v>
      </x:c>
      <x:c r="AJ172" s="1" t="s">
        <x:v>63</x:v>
      </x:c>
      <x:c r="AK172" s="1">
        <x:v>5.4580000000000002</x:v>
      </x:c>
      <x:c r="AL172" s="1">
        <x:v>424720</x:v>
      </x:c>
      <x:c r="AM172" s="1"/>
      <x:c r="AN172" s="1"/>
      <x:c r="AO172" s="1"/>
      <x:c r="AP172" s="1"/>
      <x:c r="AQ172" s="1"/>
      <x:c r="AR172" s="1"/>
    </x:row>
    <x:row r="173">
      <x:c r="A173" s="1"/>
      <x:c r="B173" s="1"/>
      <x:c r="C173" s="1"/>
      <x:c r="D173" s="1"/>
      <x:c r="E173" s="1"/>
      <x:c r="F173" s="1"/>
      <x:c r="G173" s="1"/>
      <x:c r="H173" s="1"/>
      <x:c r="I173" s="1"/>
      <x:c r="J173" s="1"/>
      <x:c r="K173" s="1"/>
      <x:c r="L173" s="1"/>
      <x:c r="M173" s="1"/>
      <x:c r="N173" s="1"/>
      <x:c r="O173" s="1"/>
      <x:c r="P173" s="1"/>
      <x:c r="Q173" s="1"/>
      <x:c r="R173" s="1"/>
      <x:c r="S173" s="1"/>
      <x:c r="T173" s="1"/>
      <x:c r="U173" s="1"/>
      <x:c r="V173" s="1"/>
      <x:c r="W173" s="1"/>
      <x:c r="X173" s="1"/>
      <x:c r="Y173" s="1"/>
      <x:c r="Z173" s="1"/>
      <x:c r="AA173" s="1"/>
      <x:c r="AB173" s="1"/>
      <x:c r="AC173" s="1"/>
      <x:c r="AD173" s="1" t="s">
        <x:v>328</x:v>
      </x:c>
      <x:c r="AE173" s="1" t="s">
        <x:v>34</x:v>
      </x:c>
      <x:c r="AF173" s="1">
        <x:v>7.0780000000000003</x:v>
      </x:c>
      <x:c r="AG173" s="1">
        <x:v>7740</x:v>
      </x:c>
      <x:c r="AH173" s="1"/>
      <x:c r="AI173" s="1" t="s">
        <x:v>329</x:v>
      </x:c>
      <x:c r="AJ173" s="1" t="s">
        <x:v>75</x:v>
      </x:c>
      <x:c r="AK173" s="1">
        <x:v>5.31</x:v>
      </x:c>
      <x:c r="AL173" s="1">
        <x:v>5400</x:v>
      </x:c>
      <x:c r="AM173" s="1"/>
      <x:c r="AN173" s="1"/>
      <x:c r="AO173" s="1"/>
      <x:c r="AP173" s="1"/>
      <x:c r="AQ173" s="1"/>
      <x:c r="AR173" s="1"/>
    </x:row>
    <x:row r="174">
      <x:c r="A174" s="1"/>
      <x:c r="B174" s="1"/>
      <x:c r="C174" s="1"/>
      <x:c r="D174" s="1"/>
      <x:c r="E174" s="1"/>
      <x:c r="F174" s="1"/>
      <x:c r="G174" s="1"/>
      <x:c r="H174" s="1"/>
      <x:c r="I174" s="1"/>
      <x:c r="J174" s="1"/>
      <x:c r="K174" s="1"/>
      <x:c r="L174" s="1"/>
      <x:c r="M174" s="1"/>
      <x:c r="N174" s="1"/>
      <x:c r="O174" s="1"/>
      <x:c r="P174" s="1"/>
      <x:c r="Q174" s="1"/>
      <x:c r="R174" s="1"/>
      <x:c r="S174" s="1"/>
      <x:c r="T174" s="1"/>
      <x:c r="U174" s="1"/>
      <x:c r="V174" s="1"/>
      <x:c r="W174" s="1"/>
      <x:c r="X174" s="1"/>
      <x:c r="Y174" s="1"/>
      <x:c r="Z174" s="1"/>
      <x:c r="AA174" s="1"/>
      <x:c r="AB174" s="1"/>
      <x:c r="AC174" s="1"/>
      <x:c r="AD174" s="1" t="s">
        <x:v>330</x:v>
      </x:c>
      <x:c r="AE174" s="1" t="s">
        <x:v>97</x:v>
      </x:c>
      <x:c r="AF174" s="1">
        <x:v>7.0759999999999996</x:v>
      </x:c>
      <x:c r="AG174" s="1">
        <x:v>9520</x:v>
      </x:c>
      <x:c r="AH174" s="1"/>
      <x:c r="AI174" s="1" t="s">
        <x:v>331</x:v>
      </x:c>
      <x:c r="AJ174" s="1" t="s">
        <x:v>71</x:v>
      </x:c>
      <x:c r="AK174" s="1">
        <x:v>5.2720000000000002</x:v>
      </x:c>
      <x:c r="AL174" s="1">
        <x:v>623870</x:v>
      </x:c>
      <x:c r="AM174" s="1"/>
      <x:c r="AN174" s="1"/>
      <x:c r="AO174" s="1"/>
      <x:c r="AP174" s="1"/>
      <x:c r="AQ174" s="1"/>
      <x:c r="AR174" s="1"/>
    </x:row>
    <x:row r="175">
      <x:c r="A175" s="1"/>
      <x:c r="B175" s="1"/>
      <x:c r="C175" s="1"/>
      <x:c r="D175" s="1"/>
      <x:c r="E175" s="1"/>
      <x:c r="F175" s="1"/>
      <x:c r="G175" s="1"/>
      <x:c r="H175" s="1"/>
      <x:c r="I175" s="1"/>
      <x:c r="J175" s="1"/>
      <x:c r="K175" s="1"/>
      <x:c r="L175" s="1"/>
      <x:c r="M175" s="1"/>
      <x:c r="N175" s="1"/>
      <x:c r="O175" s="1"/>
      <x:c r="P175" s="1"/>
      <x:c r="Q175" s="1"/>
      <x:c r="R175" s="1"/>
      <x:c r="S175" s="1"/>
      <x:c r="T175" s="1"/>
      <x:c r="U175" s="1"/>
      <x:c r="V175" s="1"/>
      <x:c r="W175" s="1"/>
      <x:c r="X175" s="1"/>
      <x:c r="Y175" s="1"/>
      <x:c r="Z175" s="1"/>
      <x:c r="AA175" s="1"/>
      <x:c r="AB175" s="1"/>
      <x:c r="AC175" s="1"/>
      <x:c r="AD175" s="1" t="s">
        <x:v>332</x:v>
      </x:c>
      <x:c r="AE175" s="1" t="s">
        <x:v>38</x:v>
      </x:c>
      <x:c r="AF175" s="1">
        <x:v>6.9429999999999996</x:v>
      </x:c>
      <x:c r="AG175" s="1">
        <x:v>32790</x:v>
      </x:c>
      <x:c r="AH175" s="1"/>
      <x:c r="AI175" s="1" t="s">
        <x:v>333</x:v>
      </x:c>
      <x:c r="AJ175" s="1" t="s">
        <x:v>79</x:v>
      </x:c>
      <x:c r="AK175" s="1">
        <x:v>4.8639999999999999</x:v>
      </x:c>
      <x:c r="AL175" s="1">
        <x:v>180310</x:v>
      </x:c>
      <x:c r="AM175" s="1"/>
      <x:c r="AN175" s="1"/>
      <x:c r="AO175" s="1"/>
      <x:c r="AP175" s="1"/>
      <x:c r="AQ175" s="1"/>
      <x:c r="AR175" s="1"/>
    </x:row>
    <x:row r="176">
      <x:c r="A176" s="1"/>
      <x:c r="B176" s="1"/>
      <x:c r="C176" s="1"/>
      <x:c r="D176" s="1"/>
      <x:c r="E176" s="1"/>
      <x:c r="F176" s="1"/>
      <x:c r="G176" s="1"/>
      <x:c r="H176" s="1"/>
      <x:c r="I176" s="1"/>
      <x:c r="J176" s="1"/>
      <x:c r="K176" s="1"/>
      <x:c r="L176" s="1"/>
      <x:c r="M176" s="1"/>
      <x:c r="N176" s="1"/>
      <x:c r="O176" s="1"/>
      <x:c r="P176" s="1"/>
      <x:c r="Q176" s="1"/>
      <x:c r="R176" s="1"/>
      <x:c r="S176" s="1"/>
      <x:c r="T176" s="1"/>
      <x:c r="U176" s="1"/>
      <x:c r="V176" s="1"/>
      <x:c r="W176" s="1"/>
      <x:c r="X176" s="1"/>
      <x:c r="Y176" s="1"/>
      <x:c r="Z176" s="1"/>
      <x:c r="AA176" s="1"/>
      <x:c r="AB176" s="1"/>
      <x:c r="AC176" s="1"/>
      <x:c r="AD176" s="1" t="s">
        <x:v>334</x:v>
      </x:c>
      <x:c r="AE176" s="1" t="s">
        <x:v>182</x:v>
      </x:c>
      <x:c r="AF176" s="1">
        <x:v>6.8390000000000004</x:v>
      </x:c>
      <x:c r="AG176" s="1">
        <x:v>5840</x:v>
      </x:c>
      <x:c r="AH176" s="1"/>
      <x:c r="AI176" s="1" t="s">
        <x:v>335</x:v>
      </x:c>
      <x:c r="AJ176" s="1" t="s">
        <x:v>83</x:v>
      </x:c>
      <x:c r="AK176" s="1">
        <x:v>4.2510000000000003</x:v>
      </x:c>
      <x:c r="AL176" s="1">
        <x:v>138500</x:v>
      </x:c>
      <x:c r="AM176" s="1"/>
      <x:c r="AN176" s="1"/>
      <x:c r="AO176" s="1"/>
      <x:c r="AP176" s="1"/>
      <x:c r="AQ176" s="1"/>
      <x:c r="AR176" s="1"/>
    </x:row>
    <x:row r="177">
      <x:c r="A177" s="1"/>
      <x:c r="B177" s="1"/>
      <x:c r="C177" s="1"/>
      <x:c r="D177" s="1"/>
      <x:c r="E177" s="1"/>
      <x:c r="F177" s="1"/>
      <x:c r="G177" s="1"/>
      <x:c r="H177" s="1"/>
      <x:c r="I177" s="1"/>
      <x:c r="J177" s="1"/>
      <x:c r="K177" s="1"/>
      <x:c r="L177" s="1"/>
      <x:c r="M177" s="1"/>
      <x:c r="N177" s="1"/>
      <x:c r="O177" s="1"/>
      <x:c r="P177" s="1"/>
      <x:c r="Q177" s="1"/>
      <x:c r="R177" s="1"/>
      <x:c r="S177" s="1"/>
      <x:c r="T177" s="1"/>
      <x:c r="U177" s="1"/>
      <x:c r="V177" s="1"/>
      <x:c r="W177" s="1"/>
      <x:c r="X177" s="1"/>
      <x:c r="Y177" s="1"/>
      <x:c r="Z177" s="1"/>
      <x:c r="AA177" s="1"/>
      <x:c r="AB177" s="1"/>
      <x:c r="AC177" s="1"/>
      <x:c r="AD177" s="1" t="s">
        <x:v>336</x:v>
      </x:c>
      <x:c r="AE177" s="1" t="s">
        <x:v>10</x:v>
      </x:c>
      <x:c r="AF177" s="1">
        <x:v>11.183999999999999</x:v>
      </x:c>
      <x:c r="AG177" s="1">
        <x:v>43990</x:v>
      </x:c>
      <x:c r="AH177" s="1"/>
      <x:c r="AI177" s="1" t="s">
        <x:v>216</x:v>
      </x:c>
      <x:c r="AJ177" s="1" t="s">
        <x:v>10</x:v>
      </x:c>
      <x:c r="AK177" s="1">
        <x:v>10.115</x:v>
      </x:c>
      <x:c r="AL177" s="1">
        <x:v>17100</x:v>
      </x:c>
      <x:c r="AM177" s="1"/>
      <x:c r="AN177" s="1"/>
      <x:c r="AO177" s="1"/>
      <x:c r="AP177" s="1"/>
      <x:c r="AQ177" s="1"/>
      <x:c r="AR177" s="1"/>
    </x:row>
    <x:row r="178">
      <x:c r="A178" s="1"/>
      <x:c r="B178" s="1"/>
      <x:c r="C178" s="1"/>
      <x:c r="D178" s="1"/>
      <x:c r="E178" s="1"/>
      <x:c r="F178" s="1"/>
      <x:c r="G178" s="1"/>
      <x:c r="H178" s="1"/>
      <x:c r="I178" s="1"/>
      <x:c r="J178" s="1"/>
      <x:c r="K178" s="1"/>
      <x:c r="L178" s="1"/>
      <x:c r="M178" s="1"/>
      <x:c r="N178" s="1"/>
      <x:c r="O178" s="1"/>
      <x:c r="P178" s="1"/>
      <x:c r="Q178" s="1"/>
      <x:c r="R178" s="1"/>
      <x:c r="S178" s="1"/>
      <x:c r="T178" s="1"/>
      <x:c r="U178" s="1"/>
      <x:c r="V178" s="1"/>
      <x:c r="W178" s="1"/>
      <x:c r="X178" s="1"/>
      <x:c r="Y178" s="1"/>
      <x:c r="Z178" s="1"/>
      <x:c r="AA178" s="1"/>
      <x:c r="AB178" s="1"/>
      <x:c r="AC178" s="1"/>
      <x:c r="AD178" s="1" t="s">
        <x:v>337</x:v>
      </x:c>
      <x:c r="AE178" s="1" t="s">
        <x:v>14</x:v>
      </x:c>
      <x:c r="AF178" s="1">
        <x:v>10.394</x:v>
      </x:c>
      <x:c r="AG178" s="1">
        <x:v>38340</x:v>
      </x:c>
      <x:c r="AH178" s="1"/>
      <x:c r="AI178" s="1" t="s">
        <x:v>218</x:v>
      </x:c>
      <x:c r="AJ178" s="1" t="s">
        <x:v>14</x:v>
      </x:c>
      <x:c r="AK178" s="1">
        <x:v>9.5890000000000004</x:v>
      </x:c>
      <x:c r="AL178" s="1">
        <x:v>15160</x:v>
      </x:c>
      <x:c r="AM178" s="1"/>
      <x:c r="AN178" s="1"/>
      <x:c r="AO178" s="1"/>
      <x:c r="AP178" s="1"/>
      <x:c r="AQ178" s="1"/>
      <x:c r="AR178" s="1"/>
    </x:row>
    <x:row r="179">
      <x:c r="A179" s="1"/>
      <x:c r="B179" s="1"/>
      <x:c r="C179" s="1"/>
      <x:c r="D179" s="1"/>
      <x:c r="E179" s="1"/>
      <x:c r="F179" s="1"/>
      <x:c r="G179" s="1"/>
      <x:c r="H179" s="1"/>
      <x:c r="I179" s="1"/>
      <x:c r="J179" s="1"/>
      <x:c r="K179" s="1"/>
      <x:c r="L179" s="1"/>
      <x:c r="M179" s="1"/>
      <x:c r="N179" s="1"/>
      <x:c r="O179" s="1"/>
      <x:c r="P179" s="1"/>
      <x:c r="Q179" s="1"/>
      <x:c r="R179" s="1"/>
      <x:c r="S179" s="1"/>
      <x:c r="T179" s="1"/>
      <x:c r="U179" s="1"/>
      <x:c r="V179" s="1"/>
      <x:c r="W179" s="1"/>
      <x:c r="X179" s="1"/>
      <x:c r="Y179" s="1"/>
      <x:c r="Z179" s="1"/>
      <x:c r="AA179" s="1"/>
      <x:c r="AB179" s="1"/>
      <x:c r="AC179" s="1"/>
      <x:c r="AD179" s="1" t="s">
        <x:v>338</x:v>
      </x:c>
      <x:c r="AE179" s="1" t="s">
        <x:v>19</x:v>
      </x:c>
      <x:c r="AF179" s="1">
        <x:v>9.1560000000000006</x:v>
      </x:c>
      <x:c r="AG179" s="1">
        <x:v>18270</x:v>
      </x:c>
      <x:c r="AH179" s="1"/>
      <x:c r="AI179" s="1" t="s">
        <x:v>220</x:v>
      </x:c>
      <x:c r="AJ179" s="1" t="s">
        <x:v>20</x:v>
      </x:c>
      <x:c r="AK179" s="1">
        <x:v>7.9960000000000004</x:v>
      </x:c>
      <x:c r="AL179" s="1">
        <x:v>33930</x:v>
      </x:c>
      <x:c r="AM179" s="1"/>
      <x:c r="AN179" s="1"/>
      <x:c r="AO179" s="1"/>
      <x:c r="AP179" s="1"/>
      <x:c r="AQ179" s="1"/>
      <x:c r="AR179" s="1"/>
    </x:row>
    <x:row r="180">
      <x:c r="A180" s="1"/>
      <x:c r="B180" s="1"/>
      <x:c r="C180" s="1"/>
      <x:c r="D180" s="1"/>
      <x:c r="E180" s="1"/>
      <x:c r="F180" s="1"/>
      <x:c r="G180" s="1"/>
      <x:c r="H180" s="1"/>
      <x:c r="I180" s="1"/>
      <x:c r="J180" s="1"/>
      <x:c r="K180" s="1"/>
      <x:c r="L180" s="1"/>
      <x:c r="M180" s="1"/>
      <x:c r="N180" s="1"/>
      <x:c r="O180" s="1"/>
      <x:c r="P180" s="1"/>
      <x:c r="Q180" s="1"/>
      <x:c r="R180" s="1"/>
      <x:c r="S180" s="1"/>
      <x:c r="T180" s="1"/>
      <x:c r="U180" s="1"/>
      <x:c r="V180" s="1"/>
      <x:c r="W180" s="1"/>
      <x:c r="X180" s="1"/>
      <x:c r="Y180" s="1"/>
      <x:c r="Z180" s="1"/>
      <x:c r="AA180" s="1"/>
      <x:c r="AB180" s="1"/>
      <x:c r="AC180" s="1"/>
      <x:c r="AD180" s="1" t="s">
        <x:v>339</x:v>
      </x:c>
      <x:c r="AE180" s="1" t="s">
        <x:v>20</x:v>
      </x:c>
      <x:c r="AF180" s="1">
        <x:v>8.7759999999999998</x:v>
      </x:c>
      <x:c r="AG180" s="1">
        <x:v>82710</x:v>
      </x:c>
      <x:c r="AH180" s="1"/>
      <x:c r="AI180" s="1" t="s">
        <x:v>222</x:v>
      </x:c>
      <x:c r="AJ180" s="1" t="s">
        <x:v>27</x:v>
      </x:c>
      <x:c r="AK180" s="1">
        <x:v>7.7910000000000004</x:v>
      </x:c>
      <x:c r="AL180" s="1">
        <x:v>194090</x:v>
      </x:c>
      <x:c r="AM180" s="1"/>
      <x:c r="AN180" s="1"/>
      <x:c r="AO180" s="1"/>
      <x:c r="AP180" s="1"/>
      <x:c r="AQ180" s="1"/>
      <x:c r="AR180" s="1"/>
    </x:row>
    <x:row r="181">
      <x:c r="A181" s="1"/>
      <x:c r="B181" s="1"/>
      <x:c r="C181" s="1"/>
      <x:c r="D181" s="1"/>
      <x:c r="E181" s="1"/>
      <x:c r="F181" s="1"/>
      <x:c r="G181" s="1"/>
      <x:c r="H181" s="1"/>
      <x:c r="I181" s="1"/>
      <x:c r="J181" s="1"/>
      <x:c r="K181" s="1"/>
      <x:c r="L181" s="1"/>
      <x:c r="M181" s="1"/>
      <x:c r="N181" s="1"/>
      <x:c r="O181" s="1"/>
      <x:c r="P181" s="1"/>
      <x:c r="Q181" s="1"/>
      <x:c r="R181" s="1"/>
      <x:c r="S181" s="1"/>
      <x:c r="T181" s="1"/>
      <x:c r="U181" s="1"/>
      <x:c r="V181" s="1"/>
      <x:c r="W181" s="1"/>
      <x:c r="X181" s="1"/>
      <x:c r="Y181" s="1"/>
      <x:c r="Z181" s="1"/>
      <x:c r="AA181" s="1"/>
      <x:c r="AB181" s="1"/>
      <x:c r="AC181" s="1"/>
      <x:c r="AD181" s="1" t="s">
        <x:v>340</x:v>
      </x:c>
      <x:c r="AE181" s="1" t="s">
        <x:v>30</x:v>
      </x:c>
      <x:c r="AF181" s="1">
        <x:v>8.6189999999999998</x:v>
      </x:c>
      <x:c r="AG181" s="1">
        <x:v>9570</x:v>
      </x:c>
      <x:c r="AH181" s="1"/>
      <x:c r="AI181" s="1" t="s">
        <x:v>224</x:v>
      </x:c>
      <x:c r="AJ181" s="1" t="s">
        <x:v>39</x:v>
      </x:c>
      <x:c r="AK181" s="1">
        <x:v>7.524</x:v>
      </x:c>
      <x:c r="AL181" s="1">
        <x:v>89920</x:v>
      </x:c>
      <x:c r="AM181" s="1"/>
      <x:c r="AN181" s="1"/>
      <x:c r="AO181" s="1"/>
      <x:c r="AP181" s="1"/>
      <x:c r="AQ181" s="1"/>
      <x:c r="AR181" s="1"/>
    </x:row>
    <x:row r="182">
      <x:c r="A182" s="1"/>
      <x:c r="B182" s="1"/>
      <x:c r="C182" s="1"/>
      <x:c r="D182" s="1"/>
      <x:c r="E182" s="1"/>
      <x:c r="F182" s="1"/>
      <x:c r="G182" s="1"/>
      <x:c r="H182" s="1"/>
      <x:c r="I182" s="1"/>
      <x:c r="J182" s="1"/>
      <x:c r="K182" s="1"/>
      <x:c r="L182" s="1"/>
      <x:c r="M182" s="1"/>
      <x:c r="N182" s="1"/>
      <x:c r="O182" s="1"/>
      <x:c r="P182" s="1"/>
      <x:c r="Q182" s="1"/>
      <x:c r="R182" s="1"/>
      <x:c r="S182" s="1"/>
      <x:c r="T182" s="1"/>
      <x:c r="U182" s="1"/>
      <x:c r="V182" s="1"/>
      <x:c r="W182" s="1"/>
      <x:c r="X182" s="1"/>
      <x:c r="Y182" s="1"/>
      <x:c r="Z182" s="1"/>
      <x:c r="AA182" s="1"/>
      <x:c r="AB182" s="1"/>
      <x:c r="AC182" s="1"/>
      <x:c r="AD182" s="1" t="s">
        <x:v>341</x:v>
      </x:c>
      <x:c r="AE182" s="1" t="s">
        <x:v>34</x:v>
      </x:c>
      <x:c r="AF182" s="1">
        <x:v>8.1379999999999999</x:v>
      </x:c>
      <x:c r="AG182" s="1">
        <x:v>17450</x:v>
      </x:c>
      <x:c r="AH182" s="1"/>
      <x:c r="AI182" s="1" t="s">
        <x:v>226</x:v>
      </x:c>
      <x:c r="AJ182" s="1" t="s">
        <x:v>43</x:v>
      </x:c>
      <x:c r="AK182" s="1">
        <x:v>7.516</x:v>
      </x:c>
      <x:c r="AL182" s="1">
        <x:v>10440</x:v>
      </x:c>
      <x:c r="AM182" s="1"/>
      <x:c r="AN182" s="1"/>
      <x:c r="AO182" s="1"/>
      <x:c r="AP182" s="1"/>
      <x:c r="AQ182" s="1"/>
      <x:c r="AR182" s="1"/>
    </x:row>
    <x:row r="183">
      <x:c r="A183" s="1"/>
      <x:c r="B183" s="1"/>
      <x:c r="C183" s="1"/>
      <x:c r="D183" s="1"/>
      <x:c r="E183" s="1"/>
      <x:c r="F183" s="1"/>
      <x:c r="G183" s="1"/>
      <x:c r="H183" s="1"/>
      <x:c r="I183" s="1"/>
      <x:c r="J183" s="1"/>
      <x:c r="K183" s="1"/>
      <x:c r="L183" s="1"/>
      <x:c r="M183" s="1"/>
      <x:c r="N183" s="1"/>
      <x:c r="O183" s="1"/>
      <x:c r="P183" s="1"/>
      <x:c r="Q183" s="1"/>
      <x:c r="R183" s="1"/>
      <x:c r="S183" s="1"/>
      <x:c r="T183" s="1"/>
      <x:c r="U183" s="1"/>
      <x:c r="V183" s="1"/>
      <x:c r="W183" s="1"/>
      <x:c r="X183" s="1"/>
      <x:c r="Y183" s="1"/>
      <x:c r="Z183" s="1"/>
      <x:c r="AA183" s="1"/>
      <x:c r="AB183" s="1"/>
      <x:c r="AC183" s="1"/>
      <x:c r="AD183" s="1" t="s">
        <x:v>342</x:v>
      </x:c>
      <x:c r="AE183" s="1" t="s">
        <x:v>46</x:v>
      </x:c>
      <x:c r="AF183" s="1">
        <x:v>7.9329999999999998</x:v>
      </x:c>
      <x:c r="AG183" s="1">
        <x:v>26480</x:v>
      </x:c>
      <x:c r="AH183" s="1"/>
      <x:c r="AI183" s="1" t="s">
        <x:v>228</x:v>
      </x:c>
      <x:c r="AJ183" s="1" t="s">
        <x:v>35</x:v>
      </x:c>
      <x:c r="AK183" s="1">
        <x:v>7.5</x:v>
      </x:c>
      <x:c r="AL183" s="1">
        <x:v>97550</x:v>
      </x:c>
      <x:c r="AM183" s="1"/>
      <x:c r="AN183" s="1"/>
      <x:c r="AO183" s="1"/>
      <x:c r="AP183" s="1"/>
      <x:c r="AQ183" s="1"/>
      <x:c r="AR183" s="1"/>
    </x:row>
    <x:row r="184">
      <x:c r="A184" s="1"/>
      <x:c r="B184" s="1"/>
      <x:c r="C184" s="1"/>
      <x:c r="D184" s="1"/>
      <x:c r="E184" s="1"/>
      <x:c r="F184" s="1"/>
      <x:c r="G184" s="1"/>
      <x:c r="H184" s="1"/>
      <x:c r="I184" s="1"/>
      <x:c r="J184" s="1"/>
      <x:c r="K184" s="1"/>
      <x:c r="L184" s="1"/>
      <x:c r="M184" s="1"/>
      <x:c r="N184" s="1"/>
      <x:c r="O184" s="1"/>
      <x:c r="P184" s="1"/>
      <x:c r="Q184" s="1"/>
      <x:c r="R184" s="1"/>
      <x:c r="S184" s="1"/>
      <x:c r="T184" s="1"/>
      <x:c r="U184" s="1"/>
      <x:c r="V184" s="1"/>
      <x:c r="W184" s="1"/>
      <x:c r="X184" s="1"/>
      <x:c r="Y184" s="1"/>
      <x:c r="Z184" s="1"/>
      <x:c r="AA184" s="1"/>
      <x:c r="AB184" s="1"/>
      <x:c r="AC184" s="1"/>
      <x:c r="AD184" s="1" t="s">
        <x:v>343</x:v>
      </x:c>
      <x:c r="AE184" s="1" t="s">
        <x:v>50</x:v>
      </x:c>
      <x:c r="AF184" s="1">
        <x:v>7.8710000000000004</x:v>
      </x:c>
      <x:c r="AG184" s="1">
        <x:v>41390</x:v>
      </x:c>
      <x:c r="AH184" s="1"/>
      <x:c r="AI184" s="1" t="s">
        <x:v>230</x:v>
      </x:c>
      <x:c r="AJ184" s="1" t="s">
        <x:v>31</x:v>
      </x:c>
      <x:c r="AK184" s="1">
        <x:v>7.4320000000000004</x:v>
      </x:c>
      <x:c r="AL184" s="1">
        <x:v>206960</x:v>
      </x:c>
      <x:c r="AM184" s="1"/>
      <x:c r="AN184" s="1"/>
      <x:c r="AO184" s="1"/>
      <x:c r="AP184" s="1"/>
      <x:c r="AQ184" s="1"/>
      <x:c r="AR184" s="1"/>
    </x:row>
    <x:row r="185">
      <x:c r="A185" s="1"/>
      <x:c r="B185" s="1"/>
      <x:c r="C185" s="1"/>
      <x:c r="D185" s="1"/>
      <x:c r="E185" s="1"/>
      <x:c r="F185" s="1"/>
      <x:c r="G185" s="1"/>
      <x:c r="H185" s="1"/>
      <x:c r="I185" s="1"/>
      <x:c r="J185" s="1"/>
      <x:c r="K185" s="1"/>
      <x:c r="L185" s="1"/>
      <x:c r="M185" s="1"/>
      <x:c r="N185" s="1"/>
      <x:c r="O185" s="1"/>
      <x:c r="P185" s="1"/>
      <x:c r="Q185" s="1"/>
      <x:c r="R185" s="1"/>
      <x:c r="S185" s="1"/>
      <x:c r="T185" s="1"/>
      <x:c r="U185" s="1"/>
      <x:c r="V185" s="1"/>
      <x:c r="W185" s="1"/>
      <x:c r="X185" s="1"/>
      <x:c r="Y185" s="1"/>
      <x:c r="Z185" s="1"/>
      <x:c r="AA185" s="1"/>
      <x:c r="AB185" s="1"/>
      <x:c r="AC185" s="1"/>
      <x:c r="AD185" s="1" t="s">
        <x:v>344</x:v>
      </x:c>
      <x:c r="AE185" s="1" t="s">
        <x:v>38</x:v>
      </x:c>
      <x:c r="AF185" s="1">
        <x:v>7.8460000000000001</x:v>
      </x:c>
      <x:c r="AG185" s="1">
        <x:v>72450</x:v>
      </x:c>
      <x:c r="AH185" s="1"/>
      <x:c r="AI185" s="1" t="s">
        <x:v>232</x:v>
      </x:c>
      <x:c r="AJ185" s="1" t="s">
        <x:v>47</x:v>
      </x:c>
      <x:c r="AK185" s="1">
        <x:v>7.06</x:v>
      </x:c>
      <x:c r="AL185" s="1">
        <x:v>171820</x:v>
      </x:c>
      <x:c r="AM185" s="1"/>
      <x:c r="AN185" s="1"/>
      <x:c r="AO185" s="1"/>
      <x:c r="AP185" s="1"/>
      <x:c r="AQ185" s="1"/>
      <x:c r="AR185" s="1"/>
    </x:row>
    <x:row r="186">
      <x:c r="A186" s="1"/>
      <x:c r="B186" s="1"/>
      <x:c r="C186" s="1"/>
      <x:c r="D186" s="1"/>
      <x:c r="E186" s="1"/>
      <x:c r="F186" s="1"/>
      <x:c r="G186" s="1"/>
      <x:c r="H186" s="1"/>
      <x:c r="I186" s="1"/>
      <x:c r="J186" s="1"/>
      <x:c r="K186" s="1"/>
      <x:c r="L186" s="1"/>
      <x:c r="M186" s="1"/>
      <x:c r="N186" s="1"/>
      <x:c r="O186" s="1"/>
      <x:c r="P186" s="1"/>
      <x:c r="Q186" s="1"/>
      <x:c r="R186" s="1"/>
      <x:c r="S186" s="1"/>
      <x:c r="T186" s="1"/>
      <x:c r="U186" s="1"/>
      <x:c r="V186" s="1"/>
      <x:c r="W186" s="1"/>
      <x:c r="X186" s="1"/>
      <x:c r="Y186" s="1"/>
      <x:c r="Z186" s="1"/>
      <x:c r="AA186" s="1"/>
      <x:c r="AB186" s="1"/>
      <x:c r="AC186" s="1"/>
      <x:c r="AD186" s="1" t="s">
        <x:v>345</x:v>
      </x:c>
      <x:c r="AE186" s="1" t="s">
        <x:v>97</x:v>
      </x:c>
      <x:c r="AF186" s="1">
        <x:v>7.8230000000000004</x:v>
      </x:c>
      <x:c r="AG186" s="1">
        <x:v>20750</x:v>
      </x:c>
      <x:c r="AH186" s="1"/>
      <x:c r="AI186" s="1" t="s">
        <x:v>233</x:v>
      </x:c>
      <x:c r="AJ186" s="1" t="s">
        <x:v>51</x:v>
      </x:c>
      <x:c r="AK186" s="1">
        <x:v>6.9279999999999999</x:v>
      </x:c>
      <x:c r="AL186" s="1">
        <x:v>193130</x:v>
      </x:c>
      <x:c r="AM186" s="1"/>
      <x:c r="AN186" s="1"/>
      <x:c r="AO186" s="1"/>
      <x:c r="AP186" s="1"/>
      <x:c r="AQ186" s="1"/>
      <x:c r="AR186" s="1"/>
    </x:row>
    <x:row r="187">
      <x:c r="A187" s="1"/>
      <x:c r="B187" s="1"/>
      <x:c r="C187" s="1"/>
      <x:c r="D187" s="1"/>
      <x:c r="E187" s="1"/>
      <x:c r="F187" s="1"/>
      <x:c r="G187" s="1"/>
      <x:c r="H187" s="1"/>
      <x:c r="I187" s="1"/>
      <x:c r="J187" s="1"/>
      <x:c r="K187" s="1"/>
      <x:c r="L187" s="1"/>
      <x:c r="M187" s="1"/>
      <x:c r="N187" s="1"/>
      <x:c r="O187" s="1"/>
      <x:c r="P187" s="1"/>
      <x:c r="Q187" s="1"/>
      <x:c r="R187" s="1"/>
      <x:c r="S187" s="1"/>
      <x:c r="T187" s="1"/>
      <x:c r="U187" s="1"/>
      <x:c r="V187" s="1"/>
      <x:c r="W187" s="1"/>
      <x:c r="X187" s="1"/>
      <x:c r="Y187" s="1"/>
      <x:c r="Z187" s="1"/>
      <x:c r="AA187" s="1"/>
      <x:c r="AB187" s="1"/>
      <x:c r="AC187" s="1"/>
      <x:c r="AD187" s="1" t="s">
        <x:v>346</x:v>
      </x:c>
      <x:c r="AE187" s="1" t="s">
        <x:v>10</x:v>
      </x:c>
      <x:c r="AF187" s="1">
        <x:v>10.403</x:v>
      </x:c>
      <x:c r="AG187" s="1">
        <x:v>18670</x:v>
      </x:c>
      <x:c r="AH187" s="1"/>
      <x:c r="AI187" s="1" t="s">
        <x:v>347</x:v>
      </x:c>
      <x:c r="AJ187" s="1" t="s">
        <x:v>55</x:v>
      </x:c>
      <x:c r="AK187" s="1">
        <x:v>6.8609999999999998</x:v>
      </x:c>
      <x:c r="AL187" s="1">
        <x:v>105710</x:v>
      </x:c>
      <x:c r="AM187" s="1"/>
      <x:c r="AN187" s="1"/>
      <x:c r="AO187" s="1"/>
      <x:c r="AP187" s="1"/>
      <x:c r="AQ187" s="1"/>
      <x:c r="AR187" s="1"/>
    </x:row>
    <x:row r="188">
      <x:c r="A188" s="1"/>
      <x:c r="B188" s="1"/>
      <x:c r="C188" s="1"/>
      <x:c r="D188" s="1"/>
      <x:c r="E188" s="1"/>
      <x:c r="F188" s="1"/>
      <x:c r="G188" s="1"/>
      <x:c r="H188" s="1"/>
      <x:c r="I188" s="1"/>
      <x:c r="J188" s="1"/>
      <x:c r="K188" s="1"/>
      <x:c r="L188" s="1"/>
      <x:c r="M188" s="1"/>
      <x:c r="N188" s="1"/>
      <x:c r="O188" s="1"/>
      <x:c r="P188" s="1"/>
      <x:c r="Q188" s="1"/>
      <x:c r="R188" s="1"/>
      <x:c r="S188" s="1"/>
      <x:c r="T188" s="1"/>
      <x:c r="U188" s="1"/>
      <x:c r="V188" s="1"/>
      <x:c r="W188" s="1"/>
      <x:c r="X188" s="1"/>
      <x:c r="Y188" s="1"/>
      <x:c r="Z188" s="1"/>
      <x:c r="AA188" s="1"/>
      <x:c r="AB188" s="1"/>
      <x:c r="AC188" s="1"/>
      <x:c r="AD188" s="1" t="s">
        <x:v>348</x:v>
      </x:c>
      <x:c r="AE188" s="1" t="s">
        <x:v>19</x:v>
      </x:c>
      <x:c r="AF188" s="1">
        <x:v>10.403</x:v>
      </x:c>
      <x:c r="AG188" s="1">
        <x:v>9990</x:v>
      </x:c>
      <x:c r="AH188" s="1"/>
      <x:c r="AI188" s="1" t="s">
        <x:v>349</x:v>
      </x:c>
      <x:c r="AJ188" s="1" t="s">
        <x:v>59</x:v>
      </x:c>
      <x:c r="AK188" s="1">
        <x:v>6.7030000000000003</x:v>
      </x:c>
      <x:c r="AL188" s="1">
        <x:v>185410</x:v>
      </x:c>
      <x:c r="AM188" s="1"/>
      <x:c r="AN188" s="1"/>
      <x:c r="AO188" s="1"/>
      <x:c r="AP188" s="1"/>
      <x:c r="AQ188" s="1"/>
      <x:c r="AR188" s="1"/>
    </x:row>
    <x:row r="189">
      <x:c r="A189" s="1"/>
      <x:c r="B189" s="1"/>
      <x:c r="C189" s="1"/>
      <x:c r="D189" s="1"/>
      <x:c r="E189" s="1"/>
      <x:c r="F189" s="1"/>
      <x:c r="G189" s="1"/>
      <x:c r="H189" s="1"/>
      <x:c r="I189" s="1"/>
      <x:c r="J189" s="1"/>
      <x:c r="K189" s="1"/>
      <x:c r="L189" s="1"/>
      <x:c r="M189" s="1"/>
      <x:c r="N189" s="1"/>
      <x:c r="O189" s="1"/>
      <x:c r="P189" s="1"/>
      <x:c r="Q189" s="1"/>
      <x:c r="R189" s="1"/>
      <x:c r="S189" s="1"/>
      <x:c r="T189" s="1"/>
      <x:c r="U189" s="1"/>
      <x:c r="V189" s="1"/>
      <x:c r="W189" s="1"/>
      <x:c r="X189" s="1"/>
      <x:c r="Y189" s="1"/>
      <x:c r="Z189" s="1"/>
      <x:c r="AA189" s="1"/>
      <x:c r="AB189" s="1"/>
      <x:c r="AC189" s="1"/>
      <x:c r="AD189" s="1" t="s">
        <x:v>350</x:v>
      </x:c>
      <x:c r="AE189" s="1" t="s">
        <x:v>14</x:v>
      </x:c>
      <x:c r="AF189" s="1">
        <x:v>9.8439999999999994</x:v>
      </x:c>
      <x:c r="AG189" s="1">
        <x:v>16500</x:v>
      </x:c>
      <x:c r="AH189" s="1"/>
      <x:c r="AI189" s="1" t="s">
        <x:v>351</x:v>
      </x:c>
      <x:c r="AJ189" s="1" t="s">
        <x:v>63</x:v>
      </x:c>
      <x:c r="AK189" s="1">
        <x:v>6.3029999999999999</x:v>
      </x:c>
      <x:c r="AL189" s="1">
        <x:v>235430</x:v>
      </x:c>
      <x:c r="AM189" s="1"/>
      <x:c r="AN189" s="1"/>
      <x:c r="AO189" s="1"/>
      <x:c r="AP189" s="1"/>
      <x:c r="AQ189" s="1"/>
      <x:c r="AR189" s="1"/>
    </x:row>
    <x:row r="190">
      <x:c r="A190" s="1"/>
      <x:c r="B190" s="1"/>
      <x:c r="C190" s="1"/>
      <x:c r="D190" s="1"/>
      <x:c r="E190" s="1"/>
      <x:c r="F190" s="1"/>
      <x:c r="G190" s="1"/>
      <x:c r="H190" s="1"/>
      <x:c r="I190" s="1"/>
      <x:c r="J190" s="1"/>
      <x:c r="K190" s="1"/>
      <x:c r="L190" s="1"/>
      <x:c r="M190" s="1"/>
      <x:c r="N190" s="1"/>
      <x:c r="O190" s="1"/>
      <x:c r="P190" s="1"/>
      <x:c r="Q190" s="1"/>
      <x:c r="R190" s="1"/>
      <x:c r="S190" s="1"/>
      <x:c r="T190" s="1"/>
      <x:c r="U190" s="1"/>
      <x:c r="V190" s="1"/>
      <x:c r="W190" s="1"/>
      <x:c r="X190" s="1"/>
      <x:c r="Y190" s="1"/>
      <x:c r="Z190" s="1"/>
      <x:c r="AA190" s="1"/>
      <x:c r="AB190" s="1"/>
      <x:c r="AC190" s="1"/>
      <x:c r="AD190" s="1" t="s">
        <x:v>352</x:v>
      </x:c>
      <x:c r="AE190" s="1" t="s">
        <x:v>30</x:v>
      </x:c>
      <x:c r="AF190" s="1">
        <x:v>9.8179999999999996</x:v>
      </x:c>
      <x:c r="AG190" s="1">
        <x:v>5290</x:v>
      </x:c>
      <x:c r="AH190" s="1"/>
      <x:c r="AI190" s="1" t="s">
        <x:v>353</x:v>
      </x:c>
      <x:c r="AJ190" s="1" t="s">
        <x:v>71</x:v>
      </x:c>
      <x:c r="AK190" s="1">
        <x:v>6.1749999999999998</x:v>
      </x:c>
      <x:c r="AL190" s="1">
        <x:v>347110</x:v>
      </x:c>
      <x:c r="AM190" s="1"/>
      <x:c r="AN190" s="1"/>
      <x:c r="AO190" s="1"/>
      <x:c r="AP190" s="1"/>
      <x:c r="AQ190" s="1"/>
      <x:c r="AR190" s="1"/>
    </x:row>
    <x:row r="191">
      <x:c r="A191" s="1"/>
      <x:c r="B191" s="1"/>
      <x:c r="C191" s="1"/>
      <x:c r="D191" s="1"/>
      <x:c r="E191" s="1"/>
      <x:c r="F191" s="1"/>
      <x:c r="G191" s="1"/>
      <x:c r="H191" s="1"/>
      <x:c r="I191" s="1"/>
      <x:c r="J191" s="1"/>
      <x:c r="K191" s="1"/>
      <x:c r="L191" s="1"/>
      <x:c r="M191" s="1"/>
      <x:c r="N191" s="1"/>
      <x:c r="O191" s="1"/>
      <x:c r="P191" s="1"/>
      <x:c r="Q191" s="1"/>
      <x:c r="R191" s="1"/>
      <x:c r="S191" s="1"/>
      <x:c r="T191" s="1"/>
      <x:c r="U191" s="1"/>
      <x:c r="V191" s="1"/>
      <x:c r="W191" s="1"/>
      <x:c r="X191" s="1"/>
      <x:c r="Y191" s="1"/>
      <x:c r="Z191" s="1"/>
      <x:c r="AA191" s="1"/>
      <x:c r="AB191" s="1"/>
      <x:c r="AC191" s="1"/>
      <x:c r="AD191" s="1" t="s">
        <x:v>354</x:v>
      </x:c>
      <x:c r="AE191" s="1" t="s">
        <x:v>34</x:v>
      </x:c>
      <x:c r="AF191" s="1">
        <x:v>9.2509999999999994</x:v>
      </x:c>
      <x:c r="AG191" s="1">
        <x:v>9570</x:v>
      </x:c>
      <x:c r="AH191" s="1"/>
      <x:c r="AI191" s="1" t="s">
        <x:v>355</x:v>
      </x:c>
      <x:c r="AJ191" s="1" t="s">
        <x:v>79</x:v>
      </x:c>
      <x:c r="AK191" s="1">
        <x:v>5.7270000000000003</x:v>
      </x:c>
      <x:c r="AL191" s="1">
        <x:v>102170</x:v>
      </x:c>
      <x:c r="AM191" s="1"/>
      <x:c r="AN191" s="1"/>
      <x:c r="AO191" s="1"/>
      <x:c r="AP191" s="1"/>
      <x:c r="AQ191" s="1"/>
      <x:c r="AR191" s="1"/>
    </x:row>
    <x:row r="192">
      <x:c r="A192" s="1"/>
      <x:c r="B192" s="1"/>
      <x:c r="C192" s="1"/>
      <x:c r="D192" s="1"/>
      <x:c r="E192" s="1"/>
      <x:c r="F192" s="1"/>
      <x:c r="G192" s="1"/>
      <x:c r="H192" s="1"/>
      <x:c r="I192" s="1"/>
      <x:c r="J192" s="1"/>
      <x:c r="K192" s="1"/>
      <x:c r="L192" s="1"/>
      <x:c r="M192" s="1"/>
      <x:c r="N192" s="1"/>
      <x:c r="O192" s="1"/>
      <x:c r="P192" s="1"/>
      <x:c r="Q192" s="1"/>
      <x:c r="R192" s="1"/>
      <x:c r="S192" s="1"/>
      <x:c r="T192" s="1"/>
      <x:c r="U192" s="1"/>
      <x:c r="V192" s="1"/>
      <x:c r="W192" s="1"/>
      <x:c r="X192" s="1"/>
      <x:c r="Y192" s="1"/>
      <x:c r="Z192" s="1"/>
      <x:c r="AA192" s="1"/>
      <x:c r="AB192" s="1"/>
      <x:c r="AC192" s="1"/>
      <x:c r="AD192" s="1" t="s">
        <x:v>356</x:v>
      </x:c>
      <x:c r="AE192" s="1" t="s">
        <x:v>46</x:v>
      </x:c>
      <x:c r="AF192" s="1">
        <x:v>9.1820000000000004</x:v>
      </x:c>
      <x:c r="AG192" s="1">
        <x:v>14730</x:v>
      </x:c>
      <x:c r="AH192" s="1"/>
      <x:c r="AI192" s="1" t="s">
        <x:v>357</x:v>
      </x:c>
      <x:c r="AJ192" s="1" t="s">
        <x:v>75</x:v>
      </x:c>
      <x:c r="AK192" s="1">
        <x:v>5.3090000000000002</x:v>
      </x:c>
      <x:c r="AL192" s="1">
        <x:v>2410</x:v>
      </x:c>
      <x:c r="AM192" s="1"/>
      <x:c r="AN192" s="1"/>
      <x:c r="AO192" s="1"/>
      <x:c r="AP192" s="1"/>
      <x:c r="AQ192" s="1"/>
      <x:c r="AR192" s="1"/>
    </x:row>
    <x:row r="193">
      <x:c r="A193" s="1"/>
      <x:c r="B193" s="1"/>
      <x:c r="C193" s="1"/>
      <x:c r="D193" s="1"/>
      <x:c r="E193" s="1"/>
      <x:c r="F193" s="1"/>
      <x:c r="G193" s="1"/>
      <x:c r="H193" s="1"/>
      <x:c r="I193" s="1"/>
      <x:c r="J193" s="1"/>
      <x:c r="K193" s="1"/>
      <x:c r="L193" s="1"/>
      <x:c r="M193" s="1"/>
      <x:c r="N193" s="1"/>
      <x:c r="O193" s="1"/>
      <x:c r="P193" s="1"/>
      <x:c r="Q193" s="1"/>
      <x:c r="R193" s="1"/>
      <x:c r="S193" s="1"/>
      <x:c r="T193" s="1"/>
      <x:c r="U193" s="1"/>
      <x:c r="V193" s="1"/>
      <x:c r="W193" s="1"/>
      <x:c r="X193" s="1"/>
      <x:c r="Y193" s="1"/>
      <x:c r="Z193" s="1"/>
      <x:c r="AA193" s="1"/>
      <x:c r="AB193" s="1"/>
      <x:c r="AC193" s="1"/>
      <x:c r="AD193" s="1" t="s">
        <x:v>358</x:v>
      </x:c>
      <x:c r="AE193" s="1" t="s">
        <x:v>38</x:v>
      </x:c>
      <x:c r="AF193" s="1">
        <x:v>8.7910000000000004</x:v>
      </x:c>
      <x:c r="AG193" s="1">
        <x:v>39090</x:v>
      </x:c>
      <x:c r="AH193" s="1"/>
      <x:c r="AI193" s="1" t="s">
        <x:v>359</x:v>
      </x:c>
      <x:c r="AJ193" s="1" t="s">
        <x:v>67</x:v>
      </x:c>
      <x:c r="AK193" s="1">
        <x:v>5.298</x:v>
      </x:c>
      <x:c r="AL193" s="1">
        <x:v>4710</x:v>
      </x:c>
      <x:c r="AM193" s="1"/>
      <x:c r="AN193" s="1"/>
      <x:c r="AO193" s="1"/>
      <x:c r="AP193" s="1"/>
      <x:c r="AQ193" s="1"/>
      <x:c r="AR193" s="1"/>
    </x:row>
    <x:row r="194">
      <x:c r="A194" s="1"/>
      <x:c r="B194" s="1"/>
      <x:c r="C194" s="1"/>
      <x:c r="D194" s="1"/>
      <x:c r="E194" s="1"/>
      <x:c r="F194" s="1"/>
      <x:c r="G194" s="1"/>
      <x:c r="H194" s="1"/>
      <x:c r="I194" s="1"/>
      <x:c r="J194" s="1"/>
      <x:c r="K194" s="1"/>
      <x:c r="L194" s="1"/>
      <x:c r="M194" s="1"/>
      <x:c r="N194" s="1"/>
      <x:c r="O194" s="1"/>
      <x:c r="P194" s="1"/>
      <x:c r="Q194" s="1"/>
      <x:c r="R194" s="1"/>
      <x:c r="S194" s="1"/>
      <x:c r="T194" s="1"/>
      <x:c r="U194" s="1"/>
      <x:c r="V194" s="1"/>
      <x:c r="W194" s="1"/>
      <x:c r="X194" s="1"/>
      <x:c r="Y194" s="1"/>
      <x:c r="Z194" s="1"/>
      <x:c r="AA194" s="1"/>
      <x:c r="AB194" s="1"/>
      <x:c r="AC194" s="1"/>
      <x:c r="AD194" s="1" t="s">
        <x:v>360</x:v>
      </x:c>
      <x:c r="AE194" s="1" t="s">
        <x:v>86</x:v>
      </x:c>
      <x:c r="AF194" s="1">
        <x:v>8.7270000000000003</x:v>
      </x:c>
      <x:c r="AG194" s="1">
        <x:v>12670</x:v>
      </x:c>
      <x:c r="AH194" s="1"/>
      <x:c r="AI194" s="1" t="s">
        <x:v>361</x:v>
      </x:c>
      <x:c r="AJ194" s="1" t="s">
        <x:v>83</x:v>
      </x:c>
      <x:c r="AK194" s="1">
        <x:v>5.0389999999999997</x:v>
      </x:c>
      <x:c r="AL194" s="1">
        <x:v>78740</x:v>
      </x:c>
      <x:c r="AM194" s="1"/>
      <x:c r="AN194" s="1"/>
      <x:c r="AO194" s="1"/>
      <x:c r="AP194" s="1"/>
      <x:c r="AQ194" s="1"/>
      <x:c r="AR194" s="1"/>
    </x:row>
    <x:row r="195">
      <x:c r="A195" s="1"/>
      <x:c r="B195" s="1"/>
      <x:c r="C195" s="1"/>
      <x:c r="D195" s="1"/>
      <x:c r="E195" s="1"/>
      <x:c r="F195" s="1"/>
      <x:c r="G195" s="1"/>
      <x:c r="H195" s="1"/>
      <x:c r="I195" s="1"/>
      <x:c r="J195" s="1"/>
      <x:c r="K195" s="1"/>
      <x:c r="L195" s="1"/>
      <x:c r="M195" s="1"/>
      <x:c r="N195" s="1"/>
      <x:c r="O195" s="1"/>
      <x:c r="P195" s="1"/>
      <x:c r="Q195" s="1"/>
      <x:c r="R195" s="1"/>
      <x:c r="S195" s="1"/>
      <x:c r="T195" s="1"/>
      <x:c r="U195" s="1"/>
      <x:c r="V195" s="1"/>
      <x:c r="W195" s="1"/>
      <x:c r="X195" s="1"/>
      <x:c r="Y195" s="1"/>
      <x:c r="Z195" s="1"/>
      <x:c r="AA195" s="1"/>
      <x:c r="AB195" s="1"/>
      <x:c r="AC195" s="1"/>
      <x:c r="AD195" s="1" t="s">
        <x:v>362</x:v>
      </x:c>
      <x:c r="AE195" s="1" t="s">
        <x:v>42</x:v>
      </x:c>
      <x:c r="AF195" s="1">
        <x:v>8.7170000000000005</x:v>
      </x:c>
      <x:c r="AG195" s="1">
        <x:v>14120</x:v>
      </x:c>
      <x:c r="AH195" s="1"/>
      <x:c r="AI195" s="1" t="s">
        <x:v>234</x:v>
      </x:c>
      <x:c r="AJ195" s="1" t="s">
        <x:v>10</x:v>
      </x:c>
      <x:c r="AK195" s="1">
        <x:v>11.212999999999999</x:v>
      </x:c>
      <x:c r="AL195" s="1">
        <x:v>23570</x:v>
      </x:c>
      <x:c r="AM195" s="1"/>
      <x:c r="AN195" s="1"/>
      <x:c r="AO195" s="1"/>
      <x:c r="AP195" s="1"/>
      <x:c r="AQ195" s="1"/>
      <x:c r="AR195" s="1"/>
    </x:row>
    <x:row r="196">
      <x:c r="A196" s="1"/>
      <x:c r="B196" s="1"/>
      <x:c r="C196" s="1"/>
      <x:c r="D196" s="1"/>
      <x:c r="E196" s="1"/>
      <x:c r="F196" s="1"/>
      <x:c r="G196" s="1"/>
      <x:c r="H196" s="1"/>
      <x:c r="I196" s="1"/>
      <x:c r="J196" s="1"/>
      <x:c r="K196" s="1"/>
      <x:c r="L196" s="1"/>
      <x:c r="M196" s="1"/>
      <x:c r="N196" s="1"/>
      <x:c r="O196" s="1"/>
      <x:c r="P196" s="1"/>
      <x:c r="Q196" s="1"/>
      <x:c r="R196" s="1"/>
      <x:c r="S196" s="1"/>
      <x:c r="T196" s="1"/>
      <x:c r="U196" s="1"/>
      <x:c r="V196" s="1"/>
      <x:c r="W196" s="1"/>
      <x:c r="X196" s="1"/>
      <x:c r="Y196" s="1"/>
      <x:c r="Z196" s="1"/>
      <x:c r="AA196" s="1"/>
      <x:c r="AB196" s="1"/>
      <x:c r="AC196" s="1"/>
      <x:c r="AD196" s="1" t="s">
        <x:v>363</x:v>
      </x:c>
      <x:c r="AE196" s="1" t="s">
        <x:v>182</x:v>
      </x:c>
      <x:c r="AF196" s="1">
        <x:v>8.6590000000000007</x:v>
      </x:c>
      <x:c r="AG196" s="1">
        <x:v>7130</x:v>
      </x:c>
      <x:c r="AH196" s="1"/>
      <x:c r="AI196" s="1" t="s">
        <x:v>235</x:v>
      </x:c>
      <x:c r="AJ196" s="1" t="s">
        <x:v>14</x:v>
      </x:c>
      <x:c r="AK196" s="1">
        <x:v>10.236000000000001</x:v>
      </x:c>
      <x:c r="AL196" s="1">
        <x:v>20350</x:v>
      </x:c>
      <x:c r="AM196" s="1"/>
      <x:c r="AN196" s="1"/>
      <x:c r="AO196" s="1"/>
      <x:c r="AP196" s="1"/>
      <x:c r="AQ196" s="1"/>
      <x:c r="AR196" s="1"/>
    </x:row>
    <x:row r="197">
      <x:c r="A197" s="1"/>
      <x:c r="B197" s="1"/>
      <x:c r="C197" s="1"/>
      <x:c r="D197" s="1"/>
      <x:c r="E197" s="1"/>
      <x:c r="F197" s="1"/>
      <x:c r="G197" s="1"/>
      <x:c r="H197" s="1"/>
      <x:c r="I197" s="1"/>
      <x:c r="J197" s="1"/>
      <x:c r="K197" s="1"/>
      <x:c r="L197" s="1"/>
      <x:c r="M197" s="1"/>
      <x:c r="N197" s="1"/>
      <x:c r="O197" s="1"/>
      <x:c r="P197" s="1"/>
      <x:c r="Q197" s="1"/>
      <x:c r="R197" s="1"/>
      <x:c r="S197" s="1"/>
      <x:c r="T197" s="1"/>
      <x:c r="U197" s="1"/>
      <x:c r="V197" s="1"/>
      <x:c r="W197" s="1"/>
      <x:c r="X197" s="1"/>
      <x:c r="Y197" s="1"/>
      <x:c r="Z197" s="1"/>
      <x:c r="AA197" s="1"/>
      <x:c r="AB197" s="1"/>
      <x:c r="AC197" s="1"/>
      <x:c r="AD197" s="1" t="s">
        <x:v>364</x:v>
      </x:c>
      <x:c r="AE197" s="1" t="s">
        <x:v>10</x:v>
      </x:c>
      <x:c r="AF197" s="1">
        <x:v>11.839</x:v>
      </x:c>
      <x:c r="AG197" s="1">
        <x:v>25320</x:v>
      </x:c>
      <x:c r="AH197" s="1"/>
      <x:c r="AI197" s="1" t="s">
        <x:v>236</x:v>
      </x:c>
      <x:c r="AJ197" s="1" t="s">
        <x:v>20</x:v>
      </x:c>
      <x:c r="AK197" s="1">
        <x:v>8.6969999999999992</x:v>
      </x:c>
      <x:c r="AL197" s="1">
        <x:v>40530</x:v>
      </x:c>
      <x:c r="AM197" s="1"/>
      <x:c r="AN197" s="1"/>
      <x:c r="AO197" s="1"/>
      <x:c r="AP197" s="1"/>
      <x:c r="AQ197" s="1"/>
      <x:c r="AR197" s="1"/>
    </x:row>
    <x:row r="198">
      <x:c r="A198" s="1"/>
      <x:c r="B198" s="1"/>
      <x:c r="C198" s="1"/>
      <x:c r="D198" s="1"/>
      <x:c r="E198" s="1"/>
      <x:c r="F198" s="1"/>
      <x:c r="G198" s="1"/>
      <x:c r="H198" s="1"/>
      <x:c r="I198" s="1"/>
      <x:c r="J198" s="1"/>
      <x:c r="K198" s="1"/>
      <x:c r="L198" s="1"/>
      <x:c r="M198" s="1"/>
      <x:c r="N198" s="1"/>
      <x:c r="O198" s="1"/>
      <x:c r="P198" s="1"/>
      <x:c r="Q198" s="1"/>
      <x:c r="R198" s="1"/>
      <x:c r="S198" s="1"/>
      <x:c r="T198" s="1"/>
      <x:c r="U198" s="1"/>
      <x:c r="V198" s="1"/>
      <x:c r="W198" s="1"/>
      <x:c r="X198" s="1"/>
      <x:c r="Y198" s="1"/>
      <x:c r="Z198" s="1"/>
      <x:c r="AA198" s="1"/>
      <x:c r="AB198" s="1"/>
      <x:c r="AC198" s="1"/>
      <x:c r="AD198" s="1" t="s">
        <x:v>365</x:v>
      </x:c>
      <x:c r="AE198" s="1" t="s">
        <x:v>14</x:v>
      </x:c>
      <x:c r="AF198" s="1">
        <x:v>10.852</x:v>
      </x:c>
      <x:c r="AG198" s="1">
        <x:v>21840</x:v>
      </x:c>
      <x:c r="AH198" s="1"/>
      <x:c r="AI198" s="1" t="s">
        <x:v>237</x:v>
      </x:c>
      <x:c r="AJ198" s="1" t="s">
        <x:v>31</x:v>
      </x:c>
      <x:c r="AK198" s="1">
        <x:v>6.0810000000000004</x:v>
      </x:c>
      <x:c r="AL198" s="1">
        <x:v>183710</x:v>
      </x:c>
      <x:c r="AM198" s="1"/>
      <x:c r="AN198" s="1"/>
      <x:c r="AO198" s="1"/>
      <x:c r="AP198" s="1"/>
      <x:c r="AQ198" s="1"/>
      <x:c r="AR198" s="1"/>
    </x:row>
    <x:row r="199">
      <x:c r="A199" s="1"/>
      <x:c r="B199" s="1"/>
      <x:c r="C199" s="1"/>
      <x:c r="D199" s="1"/>
      <x:c r="E199" s="1"/>
      <x:c r="F199" s="1"/>
      <x:c r="G199" s="1"/>
      <x:c r="H199" s="1"/>
      <x:c r="I199" s="1"/>
      <x:c r="J199" s="1"/>
      <x:c r="K199" s="1"/>
      <x:c r="L199" s="1"/>
      <x:c r="M199" s="1"/>
      <x:c r="N199" s="1"/>
      <x:c r="O199" s="1"/>
      <x:c r="P199" s="1"/>
      <x:c r="Q199" s="1"/>
      <x:c r="R199" s="1"/>
      <x:c r="S199" s="1"/>
      <x:c r="T199" s="1"/>
      <x:c r="U199" s="1"/>
      <x:c r="V199" s="1"/>
      <x:c r="W199" s="1"/>
      <x:c r="X199" s="1"/>
      <x:c r="Y199" s="1"/>
      <x:c r="Z199" s="1"/>
      <x:c r="AA199" s="1"/>
      <x:c r="AB199" s="1"/>
      <x:c r="AC199" s="1"/>
      <x:c r="AD199" s="1" t="s">
        <x:v>366</x:v>
      </x:c>
      <x:c r="AE199" s="1" t="s">
        <x:v>20</x:v>
      </x:c>
      <x:c r="AF199" s="1">
        <x:v>9.1929999999999996</x:v>
      </x:c>
      <x:c r="AG199" s="1">
        <x:v>44680</x:v>
      </x:c>
      <x:c r="AH199" s="1"/>
      <x:c r="AI199" s="1" t="s">
        <x:v>238</x:v>
      </x:c>
      <x:c r="AJ199" s="1" t="s">
        <x:v>27</x:v>
      </x:c>
      <x:c r="AK199" s="1">
        <x:v>6.0730000000000004</x:v>
      </x:c>
      <x:c r="AL199" s="1">
        <x:v>164430</x:v>
      </x:c>
      <x:c r="AM199" s="1"/>
      <x:c r="AN199" s="1"/>
      <x:c r="AO199" s="1"/>
      <x:c r="AP199" s="1"/>
      <x:c r="AQ199" s="1"/>
      <x:c r="AR199" s="1"/>
    </x:row>
    <x:row r="200">
      <x:c r="A200" s="1"/>
      <x:c r="B200" s="1"/>
      <x:c r="C200" s="1"/>
      <x:c r="D200" s="1"/>
      <x:c r="E200" s="1"/>
      <x:c r="F200" s="1"/>
      <x:c r="G200" s="1"/>
      <x:c r="H200" s="1"/>
      <x:c r="I200" s="1"/>
      <x:c r="J200" s="1"/>
      <x:c r="K200" s="1"/>
      <x:c r="L200" s="1"/>
      <x:c r="M200" s="1"/>
      <x:c r="N200" s="1"/>
      <x:c r="O200" s="1"/>
      <x:c r="P200" s="1"/>
      <x:c r="Q200" s="1"/>
      <x:c r="R200" s="1"/>
      <x:c r="S200" s="1"/>
      <x:c r="T200" s="1"/>
      <x:c r="U200" s="1"/>
      <x:c r="V200" s="1"/>
      <x:c r="W200" s="1"/>
      <x:c r="X200" s="1"/>
      <x:c r="Y200" s="1"/>
      <x:c r="Z200" s="1"/>
      <x:c r="AA200" s="1"/>
      <x:c r="AB200" s="1"/>
      <x:c r="AC200" s="1"/>
      <x:c r="AD200" s="1" t="s">
        <x:v>367</x:v>
      </x:c>
      <x:c r="AE200" s="1" t="s">
        <x:v>19</x:v>
      </x:c>
      <x:c r="AF200" s="1">
        <x:v>7.9989999999999997</x:v>
      </x:c>
      <x:c r="AG200" s="1">
        <x:v>8280</x:v>
      </x:c>
      <x:c r="AH200" s="1"/>
      <x:c r="AI200" s="1" t="s">
        <x:v>239</x:v>
      </x:c>
      <x:c r="AJ200" s="1" t="s">
        <x:v>35</x:v>
      </x:c>
      <x:c r="AK200" s="1">
        <x:v>5.6989999999999998</x:v>
      </x:c>
      <x:c r="AL200" s="1">
        <x:v>80180</x:v>
      </x:c>
      <x:c r="AM200" s="1"/>
      <x:c r="AN200" s="1"/>
      <x:c r="AO200" s="1"/>
      <x:c r="AP200" s="1"/>
      <x:c r="AQ200" s="1"/>
      <x:c r="AR200" s="1"/>
    </x:row>
    <x:row r="201">
      <x:c r="A201" s="1"/>
      <x:c r="B201" s="1"/>
      <x:c r="C201" s="1"/>
      <x:c r="D201" s="1"/>
      <x:c r="E201" s="1"/>
      <x:c r="F201" s="1"/>
      <x:c r="G201" s="1"/>
      <x:c r="H201" s="1"/>
      <x:c r="I201" s="1"/>
      <x:c r="J201" s="1"/>
      <x:c r="K201" s="1"/>
      <x:c r="L201" s="1"/>
      <x:c r="M201" s="1"/>
      <x:c r="N201" s="1"/>
      <x:c r="O201" s="1"/>
      <x:c r="P201" s="1"/>
      <x:c r="Q201" s="1"/>
      <x:c r="R201" s="1"/>
      <x:c r="S201" s="1"/>
      <x:c r="T201" s="1"/>
      <x:c r="U201" s="1"/>
      <x:c r="V201" s="1"/>
      <x:c r="W201" s="1"/>
      <x:c r="X201" s="1"/>
      <x:c r="Y201" s="1"/>
      <x:c r="Z201" s="1"/>
      <x:c r="AA201" s="1"/>
      <x:c r="AB201" s="1"/>
      <x:c r="AC201" s="1"/>
      <x:c r="AD201" s="1" t="s">
        <x:v>368</x:v>
      </x:c>
      <x:c r="AE201" s="1" t="s">
        <x:v>30</x:v>
      </x:c>
      <x:c r="AF201" s="1">
        <x:v>7.49</x:v>
      </x:c>
      <x:c r="AG201" s="1">
        <x:v>4290</x:v>
      </x:c>
      <x:c r="AH201" s="1"/>
      <x:c r="AI201" s="1" t="s">
        <x:v>240</x:v>
      </x:c>
      <x:c r="AJ201" s="1" t="s">
        <x:v>67</x:v>
      </x:c>
      <x:c r="AK201" s="1">
        <x:v>5.6660000000000004</x:v>
      </x:c>
      <x:c r="AL201" s="1">
        <x:v>5990</x:v>
      </x:c>
      <x:c r="AM201" s="1"/>
      <x:c r="AN201" s="1"/>
      <x:c r="AO201" s="1"/>
      <x:c r="AP201" s="1"/>
      <x:c r="AQ201" s="1"/>
      <x:c r="AR201" s="1"/>
    </x:row>
    <x:row r="202">
      <x:c r="A202" s="1"/>
      <x:c r="B202" s="1"/>
      <x:c r="C202" s="1"/>
      <x:c r="D202" s="1"/>
      <x:c r="E202" s="1"/>
      <x:c r="F202" s="1"/>
      <x:c r="G202" s="1"/>
      <x:c r="H202" s="1"/>
      <x:c r="I202" s="1"/>
      <x:c r="J202" s="1"/>
      <x:c r="K202" s="1"/>
      <x:c r="L202" s="1"/>
      <x:c r="M202" s="1"/>
      <x:c r="N202" s="1"/>
      <x:c r="O202" s="1"/>
      <x:c r="P202" s="1"/>
      <x:c r="Q202" s="1"/>
      <x:c r="R202" s="1"/>
      <x:c r="S202" s="1"/>
      <x:c r="T202" s="1"/>
      <x:c r="U202" s="1"/>
      <x:c r="V202" s="1"/>
      <x:c r="W202" s="1"/>
      <x:c r="X202" s="1"/>
      <x:c r="Y202" s="1"/>
      <x:c r="Z202" s="1"/>
      <x:c r="AA202" s="1"/>
      <x:c r="AB202" s="1"/>
      <x:c r="AC202" s="1"/>
      <x:c r="AD202" s="1" t="s">
        <x:v>369</x:v>
      </x:c>
      <x:c r="AE202" s="1" t="s">
        <x:v>97</x:v>
      </x:c>
      <x:c r="AF202" s="1">
        <x:v>7.1959999999999997</x:v>
      </x:c>
      <x:c r="AG202" s="1">
        <x:v>9760</x:v>
      </x:c>
      <x:c r="AH202" s="1"/>
      <x:c r="AI202" s="1" t="s">
        <x:v>241</x:v>
      </x:c>
      <x:c r="AJ202" s="1" t="s">
        <x:v>39</x:v>
      </x:c>
      <x:c r="AK202" s="1">
        <x:v>5.5730000000000004</x:v>
      </x:c>
      <x:c r="AL202" s="1">
        <x:v>72810</x:v>
      </x:c>
      <x:c r="AM202" s="1"/>
      <x:c r="AN202" s="1"/>
      <x:c r="AO202" s="1"/>
      <x:c r="AP202" s="1"/>
      <x:c r="AQ202" s="1"/>
      <x:c r="AR202" s="1"/>
    </x:row>
    <x:row r="203">
      <x:c r="A203" s="1"/>
      <x:c r="B203" s="1"/>
      <x:c r="C203" s="1"/>
      <x:c r="D203" s="1"/>
      <x:c r="E203" s="1"/>
      <x:c r="F203" s="1"/>
      <x:c r="G203" s="1"/>
      <x:c r="H203" s="1"/>
      <x:c r="I203" s="1"/>
      <x:c r="J203" s="1"/>
      <x:c r="K203" s="1"/>
      <x:c r="L203" s="1"/>
      <x:c r="M203" s="1"/>
      <x:c r="N203" s="1"/>
      <x:c r="O203" s="1"/>
      <x:c r="P203" s="1"/>
      <x:c r="Q203" s="1"/>
      <x:c r="R203" s="1"/>
      <x:c r="S203" s="1"/>
      <x:c r="T203" s="1"/>
      <x:c r="U203" s="1"/>
      <x:c r="V203" s="1"/>
      <x:c r="W203" s="1"/>
      <x:c r="X203" s="1"/>
      <x:c r="Y203" s="1"/>
      <x:c r="Z203" s="1"/>
      <x:c r="AA203" s="1"/>
      <x:c r="AB203" s="1"/>
      <x:c r="AC203" s="1"/>
      <x:c r="AD203" s="1" t="s">
        <x:v>370</x:v>
      </x:c>
      <x:c r="AE203" s="1" t="s">
        <x:v>50</x:v>
      </x:c>
      <x:c r="AF203" s="1">
        <x:v>7.13</x:v>
      </x:c>
      <x:c r="AG203" s="1">
        <x:v>19180</x:v>
      </x:c>
      <x:c r="AH203" s="1"/>
      <x:c r="AI203" s="1" t="s">
        <x:v>242</x:v>
      </x:c>
      <x:c r="AJ203" s="1" t="s">
        <x:v>43</x:v>
      </x:c>
      <x:c r="AK203" s="1">
        <x:v>5.3250000000000002</x:v>
      </x:c>
      <x:c r="AL203" s="1">
        <x:v>8060</x:v>
      </x:c>
      <x:c r="AM203" s="1"/>
      <x:c r="AN203" s="1"/>
      <x:c r="AO203" s="1"/>
      <x:c r="AP203" s="1"/>
      <x:c r="AQ203" s="1"/>
      <x:c r="AR203" s="1"/>
    </x:row>
    <x:row r="204">
      <x:c r="A204" s="1"/>
      <x:c r="B204" s="1"/>
      <x:c r="C204" s="1"/>
      <x:c r="D204" s="1"/>
      <x:c r="E204" s="1"/>
      <x:c r="F204" s="1"/>
      <x:c r="G204" s="1"/>
      <x:c r="H204" s="1"/>
      <x:c r="I204" s="1"/>
      <x:c r="J204" s="1"/>
      <x:c r="K204" s="1"/>
      <x:c r="L204" s="1"/>
      <x:c r="M204" s="1"/>
      <x:c r="N204" s="1"/>
      <x:c r="O204" s="1"/>
      <x:c r="P204" s="1"/>
      <x:c r="Q204" s="1"/>
      <x:c r="R204" s="1"/>
      <x:c r="S204" s="1"/>
      <x:c r="T204" s="1"/>
      <x:c r="U204" s="1"/>
      <x:c r="V204" s="1"/>
      <x:c r="W204" s="1"/>
      <x:c r="X204" s="1"/>
      <x:c r="Y204" s="1"/>
      <x:c r="Z204" s="1"/>
      <x:c r="AA204" s="1"/>
      <x:c r="AB204" s="1"/>
      <x:c r="AC204" s="1"/>
      <x:c r="AD204" s="1" t="s">
        <x:v>371</x:v>
      </x:c>
      <x:c r="AE204" s="1" t="s">
        <x:v>34</x:v>
      </x:c>
      <x:c r="AF204" s="1">
        <x:v>7.0990000000000002</x:v>
      </x:c>
      <x:c r="AG204" s="1">
        <x:v>7880</x:v>
      </x:c>
      <x:c r="AH204" s="1"/>
      <x:c r="AI204" s="1" t="s">
        <x:v>244</x:v>
      </x:c>
      <x:c r="AJ204" s="1" t="s">
        <x:v>75</x:v>
      </x:c>
      <x:c r="AK204" s="1">
        <x:v>5.3120000000000003</x:v>
      </x:c>
      <x:c r="AL204" s="1">
        <x:v>2980</x:v>
      </x:c>
      <x:c r="AM204" s="1"/>
      <x:c r="AN204" s="1"/>
      <x:c r="AO204" s="1"/>
      <x:c r="AP204" s="1"/>
      <x:c r="AQ204" s="1"/>
      <x:c r="AR204" s="1"/>
    </x:row>
    <x:row r="205">
      <x:c r="A205" s="1"/>
      <x:c r="B205" s="1"/>
      <x:c r="C205" s="1"/>
      <x:c r="D205" s="1"/>
      <x:c r="E205" s="1"/>
      <x:c r="F205" s="1"/>
      <x:c r="G205" s="1"/>
      <x:c r="H205" s="1"/>
      <x:c r="I205" s="1"/>
      <x:c r="J205" s="1"/>
      <x:c r="K205" s="1"/>
      <x:c r="L205" s="1"/>
      <x:c r="M205" s="1"/>
      <x:c r="N205" s="1"/>
      <x:c r="O205" s="1"/>
      <x:c r="P205" s="1"/>
      <x:c r="Q205" s="1"/>
      <x:c r="R205" s="1"/>
      <x:c r="S205" s="1"/>
      <x:c r="T205" s="1"/>
      <x:c r="U205" s="1"/>
      <x:c r="V205" s="1"/>
      <x:c r="W205" s="1"/>
      <x:c r="X205" s="1"/>
      <x:c r="Y205" s="1"/>
      <x:c r="Z205" s="1"/>
      <x:c r="AA205" s="1"/>
      <x:c r="AB205" s="1"/>
      <x:c r="AC205" s="1"/>
      <x:c r="AD205" s="1" t="s">
        <x:v>372</x:v>
      </x:c>
      <x:c r="AE205" s="1" t="s">
        <x:v>38</x:v>
      </x:c>
      <x:c r="AF205" s="1">
        <x:v>6.9690000000000003</x:v>
      </x:c>
      <x:c r="AG205" s="1">
        <x:v>33360</x:v>
      </x:c>
      <x:c r="AH205" s="1"/>
      <x:c r="AI205" s="1" t="s">
        <x:v>373</x:v>
      </x:c>
      <x:c r="AJ205" s="1" t="s">
        <x:v>55</x:v>
      </x:c>
      <x:c r="AK205" s="1">
        <x:v>5.077</x:v>
      </x:c>
      <x:c r="AL205" s="1">
        <x:v>85590</x:v>
      </x:c>
      <x:c r="AM205" s="1"/>
      <x:c r="AN205" s="1"/>
      <x:c r="AO205" s="1"/>
      <x:c r="AP205" s="1"/>
      <x:c r="AQ205" s="1"/>
      <x:c r="AR205" s="1"/>
    </x:row>
    <x:row r="206">
      <x:c r="A206" s="1"/>
      <x:c r="B206" s="1"/>
      <x:c r="C206" s="1"/>
      <x:c r="D206" s="1"/>
      <x:c r="E206" s="1"/>
      <x:c r="F206" s="1"/>
      <x:c r="G206" s="1"/>
      <x:c r="H206" s="1"/>
      <x:c r="I206" s="1"/>
      <x:c r="J206" s="1"/>
      <x:c r="K206" s="1"/>
      <x:c r="L206" s="1"/>
      <x:c r="M206" s="1"/>
      <x:c r="N206" s="1"/>
      <x:c r="O206" s="1"/>
      <x:c r="P206" s="1"/>
      <x:c r="Q206" s="1"/>
      <x:c r="R206" s="1"/>
      <x:c r="S206" s="1"/>
      <x:c r="T206" s="1"/>
      <x:c r="U206" s="1"/>
      <x:c r="V206" s="1"/>
      <x:c r="W206" s="1"/>
      <x:c r="X206" s="1"/>
      <x:c r="Y206" s="1"/>
      <x:c r="Z206" s="1"/>
      <x:c r="AA206" s="1"/>
      <x:c r="AB206" s="1"/>
      <x:c r="AC206" s="1"/>
      <x:c r="AD206" s="1" t="s">
        <x:v>374</x:v>
      </x:c>
      <x:c r="AE206" s="1" t="s">
        <x:v>182</x:v>
      </x:c>
      <x:c r="AF206" s="1">
        <x:v>6.8689999999999998</x:v>
      </x:c>
      <x:c r="AG206" s="1">
        <x:v>5910</x:v>
      </x:c>
      <x:c r="AH206" s="1"/>
      <x:c r="AI206" s="1" t="s">
        <x:v>375</x:v>
      </x:c>
      <x:c r="AJ206" s="1" t="s">
        <x:v>47</x:v>
      </x:c>
      <x:c r="AK206" s="1">
        <x:v>5.0279999999999996</x:v>
      </x:c>
      <x:c r="AL206" s="1">
        <x:v>135190</x:v>
      </x:c>
      <x:c r="AM206" s="1"/>
      <x:c r="AN206" s="1"/>
      <x:c r="AO206" s="1"/>
      <x:c r="AP206" s="1"/>
      <x:c r="AQ206" s="1"/>
      <x:c r="AR206" s="1"/>
    </x:row>
    <x:row r="207">
      <x:c r="A207" s="1"/>
      <x:c r="B207" s="1"/>
      <x:c r="C207" s="1"/>
      <x:c r="D207" s="1"/>
      <x:c r="E207" s="1"/>
      <x:c r="F207" s="1"/>
      <x:c r="G207" s="1"/>
      <x:c r="H207" s="1"/>
      <x:c r="I207" s="1"/>
      <x:c r="J207" s="1"/>
      <x:c r="K207" s="1"/>
      <x:c r="L207" s="1"/>
      <x:c r="M207" s="1"/>
      <x:c r="N207" s="1"/>
      <x:c r="O207" s="1"/>
      <x:c r="P207" s="1"/>
      <x:c r="Q207" s="1"/>
      <x:c r="R207" s="1"/>
      <x:c r="S207" s="1"/>
      <x:c r="T207" s="1"/>
      <x:c r="U207" s="1"/>
      <x:c r="V207" s="1"/>
      <x:c r="W207" s="1"/>
      <x:c r="X207" s="1"/>
      <x:c r="Y207" s="1"/>
      <x:c r="Z207" s="1"/>
      <x:c r="AA207" s="1"/>
      <x:c r="AB207" s="1"/>
      <x:c r="AC207" s="1"/>
      <x:c r="AD207" s="1" t="s">
        <x:v>376</x:v>
      </x:c>
      <x:c r="AE207" s="1" t="s">
        <x:v>10</x:v>
      </x:c>
      <x:c r="AF207" s="1">
        <x:v>11.125</x:v>
      </x:c>
      <x:c r="AG207" s="1">
        <x:v>44560</x:v>
      </x:c>
      <x:c r="AH207" s="1"/>
      <x:c r="AI207" s="1" t="s">
        <x:v>377</x:v>
      </x:c>
      <x:c r="AJ207" s="1" t="s">
        <x:v>51</x:v>
      </x:c>
      <x:c r="AK207" s="1">
        <x:v>4.9009999999999998</x:v>
      </x:c>
      <x:c r="AL207" s="1">
        <x:v>150030</x:v>
      </x:c>
      <x:c r="AM207" s="1"/>
      <x:c r="AN207" s="1"/>
      <x:c r="AO207" s="1"/>
      <x:c r="AP207" s="1"/>
      <x:c r="AQ207" s="1"/>
      <x:c r="AR207" s="1"/>
    </x:row>
    <x:row r="208">
      <x:c r="A208" s="1"/>
      <x:c r="B208" s="1"/>
      <x:c r="C208" s="1"/>
      <x:c r="D208" s="1"/>
      <x:c r="E208" s="1"/>
      <x:c r="F208" s="1"/>
      <x:c r="G208" s="1"/>
      <x:c r="H208" s="1"/>
      <x:c r="I208" s="1"/>
      <x:c r="J208" s="1"/>
      <x:c r="K208" s="1"/>
      <x:c r="L208" s="1"/>
      <x:c r="M208" s="1"/>
      <x:c r="N208" s="1"/>
      <x:c r="O208" s="1"/>
      <x:c r="P208" s="1"/>
      <x:c r="Q208" s="1"/>
      <x:c r="R208" s="1"/>
      <x:c r="S208" s="1"/>
      <x:c r="T208" s="1"/>
      <x:c r="U208" s="1"/>
      <x:c r="V208" s="1"/>
      <x:c r="W208" s="1"/>
      <x:c r="X208" s="1"/>
      <x:c r="Y208" s="1"/>
      <x:c r="Z208" s="1"/>
      <x:c r="AA208" s="1"/>
      <x:c r="AB208" s="1"/>
      <x:c r="AC208" s="1"/>
      <x:c r="AD208" s="1" t="s">
        <x:v>378</x:v>
      </x:c>
      <x:c r="AE208" s="1" t="s">
        <x:v>14</x:v>
      </x:c>
      <x:c r="AF208" s="1">
        <x:v>10.395</x:v>
      </x:c>
      <x:c r="AG208" s="1">
        <x:v>38950</x:v>
      </x:c>
      <x:c r="AH208" s="1"/>
      <x:c r="AI208" s="1" t="s">
        <x:v>379</x:v>
      </x:c>
      <x:c r="AJ208" s="1" t="s">
        <x:v>59</x:v>
      </x:c>
      <x:c r="AK208" s="1">
        <x:v>4.7530000000000001</x:v>
      </x:c>
      <x:c r="AL208" s="1">
        <x:v>143380</x:v>
      </x:c>
      <x:c r="AM208" s="1"/>
      <x:c r="AN208" s="1"/>
      <x:c r="AO208" s="1"/>
      <x:c r="AP208" s="1"/>
      <x:c r="AQ208" s="1"/>
      <x:c r="AR208" s="1"/>
    </x:row>
    <x:row r="209">
      <x:c r="A209" s="1"/>
      <x:c r="B209" s="1"/>
      <x:c r="C209" s="1"/>
      <x:c r="D209" s="1"/>
      <x:c r="E209" s="1"/>
      <x:c r="F209" s="1"/>
      <x:c r="G209" s="1"/>
      <x:c r="H209" s="1"/>
      <x:c r="I209" s="1"/>
      <x:c r="J209" s="1"/>
      <x:c r="K209" s="1"/>
      <x:c r="L209" s="1"/>
      <x:c r="M209" s="1"/>
      <x:c r="N209" s="1"/>
      <x:c r="O209" s="1"/>
      <x:c r="P209" s="1"/>
      <x:c r="Q209" s="1"/>
      <x:c r="R209" s="1"/>
      <x:c r="S209" s="1"/>
      <x:c r="T209" s="1"/>
      <x:c r="U209" s="1"/>
      <x:c r="V209" s="1"/>
      <x:c r="W209" s="1"/>
      <x:c r="X209" s="1"/>
      <x:c r="Y209" s="1"/>
      <x:c r="Z209" s="1"/>
      <x:c r="AA209" s="1"/>
      <x:c r="AB209" s="1"/>
      <x:c r="AC209" s="1"/>
      <x:c r="AD209" s="1" t="s">
        <x:v>380</x:v>
      </x:c>
      <x:c r="AE209" s="1" t="s">
        <x:v>19</x:v>
      </x:c>
      <x:c r="AF209" s="1">
        <x:v>9.3190000000000008</x:v>
      </x:c>
      <x:c r="AG209" s="1">
        <x:v>18530</x:v>
      </x:c>
      <x:c r="AH209" s="1"/>
      <x:c r="AI209" s="1" t="s">
        <x:v>381</x:v>
      </x:c>
      <x:c r="AJ209" s="1" t="s">
        <x:v>63</x:v>
      </x:c>
      <x:c r="AK209" s="1">
        <x:v>4.6779999999999999</x:v>
      </x:c>
      <x:c r="AL209" s="1">
        <x:v>189290</x:v>
      </x:c>
      <x:c r="AM209" s="1"/>
      <x:c r="AN209" s="1"/>
      <x:c r="AO209" s="1"/>
      <x:c r="AP209" s="1"/>
      <x:c r="AQ209" s="1"/>
      <x:c r="AR209" s="1"/>
    </x:row>
    <x:row r="210">
      <x:c r="A210" s="1"/>
      <x:c r="B210" s="1"/>
      <x:c r="C210" s="1"/>
      <x:c r="D210" s="1"/>
      <x:c r="E210" s="1"/>
      <x:c r="F210" s="1"/>
      <x:c r="G210" s="1"/>
      <x:c r="H210" s="1"/>
      <x:c r="I210" s="1"/>
      <x:c r="J210" s="1"/>
      <x:c r="K210" s="1"/>
      <x:c r="L210" s="1"/>
      <x:c r="M210" s="1"/>
      <x:c r="N210" s="1"/>
      <x:c r="O210" s="1"/>
      <x:c r="P210" s="1"/>
      <x:c r="Q210" s="1"/>
      <x:c r="R210" s="1"/>
      <x:c r="S210" s="1"/>
      <x:c r="T210" s="1"/>
      <x:c r="U210" s="1"/>
      <x:c r="V210" s="1"/>
      <x:c r="W210" s="1"/>
      <x:c r="X210" s="1"/>
      <x:c r="Y210" s="1"/>
      <x:c r="Z210" s="1"/>
      <x:c r="AA210" s="1"/>
      <x:c r="AB210" s="1"/>
      <x:c r="AC210" s="1"/>
      <x:c r="AD210" s="1" t="s">
        <x:v>382</x:v>
      </x:c>
      <x:c r="AE210" s="1" t="s">
        <x:v>20</x:v>
      </x:c>
      <x:c r="AF210" s="1">
        <x:v>8.92</x:v>
      </x:c>
      <x:c r="AG210" s="1">
        <x:v>85000</x:v>
      </x:c>
      <x:c r="AH210" s="1"/>
      <x:c r="AI210" s="1" t="s">
        <x:v>383</x:v>
      </x:c>
      <x:c r="AJ210" s="1" t="s">
        <x:v>71</x:v>
      </x:c>
      <x:c r="AK210" s="1">
        <x:v>4.4539999999999997</x:v>
      </x:c>
      <x:c r="AL210" s="1">
        <x:v>276760</x:v>
      </x:c>
      <x:c r="AM210" s="1"/>
      <x:c r="AN210" s="1"/>
      <x:c r="AO210" s="1"/>
      <x:c r="AP210" s="1"/>
      <x:c r="AQ210" s="1"/>
      <x:c r="AR210" s="1"/>
    </x:row>
    <x:row r="211">
      <x:c r="A211" s="1"/>
      <x:c r="B211" s="1"/>
      <x:c r="C211" s="1"/>
      <x:c r="D211" s="1"/>
      <x:c r="E211" s="1"/>
      <x:c r="F211" s="1"/>
      <x:c r="G211" s="1"/>
      <x:c r="H211" s="1"/>
      <x:c r="I211" s="1"/>
      <x:c r="J211" s="1"/>
      <x:c r="K211" s="1"/>
      <x:c r="L211" s="1"/>
      <x:c r="M211" s="1"/>
      <x:c r="N211" s="1"/>
      <x:c r="O211" s="1"/>
      <x:c r="P211" s="1"/>
      <x:c r="Q211" s="1"/>
      <x:c r="R211" s="1"/>
      <x:c r="S211" s="1"/>
      <x:c r="T211" s="1"/>
      <x:c r="U211" s="1"/>
      <x:c r="V211" s="1"/>
      <x:c r="W211" s="1"/>
      <x:c r="X211" s="1"/>
      <x:c r="Y211" s="1"/>
      <x:c r="Z211" s="1"/>
      <x:c r="AA211" s="1"/>
      <x:c r="AB211" s="1"/>
      <x:c r="AC211" s="1"/>
      <x:c r="AD211" s="1" t="s">
        <x:v>384</x:v>
      </x:c>
      <x:c r="AE211" s="1" t="s">
        <x:v>30</x:v>
      </x:c>
      <x:c r="AF211" s="1">
        <x:v>8.6929999999999996</x:v>
      </x:c>
      <x:c r="AG211" s="1">
        <x:v>9730</x:v>
      </x:c>
      <x:c r="AH211" s="1"/>
      <x:c r="AI211" s="1" t="s">
        <x:v>385</x:v>
      </x:c>
      <x:c r="AJ211" s="1" t="s">
        <x:v>79</x:v>
      </x:c>
      <x:c r="AK211" s="1">
        <x:v>4.0640000000000001</x:v>
      </x:c>
      <x:c r="AL211" s="1">
        <x:v>78140</x:v>
      </x:c>
      <x:c r="AM211" s="1"/>
      <x:c r="AN211" s="1"/>
      <x:c r="AO211" s="1"/>
      <x:c r="AP211" s="1"/>
      <x:c r="AQ211" s="1"/>
      <x:c r="AR211" s="1"/>
    </x:row>
    <x:row r="212">
      <x:c r="A212" s="1"/>
      <x:c r="B212" s="1"/>
      <x:c r="C212" s="1"/>
      <x:c r="D212" s="1"/>
      <x:c r="E212" s="1"/>
      <x:c r="F212" s="1"/>
      <x:c r="G212" s="1"/>
      <x:c r="H212" s="1"/>
      <x:c r="I212" s="1"/>
      <x:c r="J212" s="1"/>
      <x:c r="K212" s="1"/>
      <x:c r="L212" s="1"/>
      <x:c r="M212" s="1"/>
      <x:c r="N212" s="1"/>
      <x:c r="O212" s="1"/>
      <x:c r="P212" s="1"/>
      <x:c r="Q212" s="1"/>
      <x:c r="R212" s="1"/>
      <x:c r="S212" s="1"/>
      <x:c r="T212" s="1"/>
      <x:c r="U212" s="1"/>
      <x:c r="V212" s="1"/>
      <x:c r="W212" s="1"/>
      <x:c r="X212" s="1"/>
      <x:c r="Y212" s="1"/>
      <x:c r="Z212" s="1"/>
      <x:c r="AA212" s="1"/>
      <x:c r="AB212" s="1"/>
      <x:c r="AC212" s="1"/>
      <x:c r="AD212" s="1" t="s">
        <x:v>386</x:v>
      </x:c>
      <x:c r="AE212" s="1" t="s">
        <x:v>34</x:v>
      </x:c>
      <x:c r="AF212" s="1">
        <x:v>8.2460000000000004</x:v>
      </x:c>
      <x:c r="AG212" s="1">
        <x:v>17730</x:v>
      </x:c>
      <x:c r="AH212" s="1"/>
      <x:c r="AI212" s="1" t="s">
        <x:v>387</x:v>
      </x:c>
      <x:c r="AJ212" s="1" t="s">
        <x:v>83</x:v>
      </x:c>
      <x:c r="AK212" s="1">
        <x:v>3.524</x:v>
      </x:c>
      <x:c r="AL212" s="1">
        <x:v>59760</x:v>
      </x:c>
      <x:c r="AM212" s="1"/>
      <x:c r="AN212" s="1"/>
      <x:c r="AO212" s="1"/>
      <x:c r="AP212" s="1"/>
      <x:c r="AQ212" s="1"/>
      <x:c r="AR212" s="1"/>
    </x:row>
    <x:row r="213">
      <x:c r="A213" s="1"/>
      <x:c r="B213" s="1"/>
      <x:c r="C213" s="1"/>
      <x:c r="D213" s="1"/>
      <x:c r="E213" s="1"/>
      <x:c r="F213" s="1"/>
      <x:c r="G213" s="1"/>
      <x:c r="H213" s="1"/>
      <x:c r="I213" s="1"/>
      <x:c r="J213" s="1"/>
      <x:c r="K213" s="1"/>
      <x:c r="L213" s="1"/>
      <x:c r="M213" s="1"/>
      <x:c r="N213" s="1"/>
      <x:c r="O213" s="1"/>
      <x:c r="P213" s="1"/>
      <x:c r="Q213" s="1"/>
      <x:c r="R213" s="1"/>
      <x:c r="S213" s="1"/>
      <x:c r="T213" s="1"/>
      <x:c r="U213" s="1"/>
      <x:c r="V213" s="1"/>
      <x:c r="W213" s="1"/>
      <x:c r="X213" s="1"/>
      <x:c r="Y213" s="1"/>
      <x:c r="Z213" s="1"/>
      <x:c r="AA213" s="1"/>
      <x:c r="AB213" s="1"/>
      <x:c r="AC213" s="1"/>
      <x:c r="AD213" s="1" t="s">
        <x:v>388</x:v>
      </x:c>
      <x:c r="AE213" s="1" t="s">
        <x:v>46</x:v>
      </x:c>
      <x:c r="AF213" s="1">
        <x:v>8.0860000000000003</x:v>
      </x:c>
      <x:c r="AG213" s="1">
        <x:v>27070</x:v>
      </x:c>
      <x:c r="AH213" s="1"/>
      <x:c r="AI213" s="1" t="s">
        <x:v>246</x:v>
      </x:c>
      <x:c r="AJ213" s="1" t="s">
        <x:v>10</x:v>
      </x:c>
      <x:c r="AK213" s="1">
        <x:v>10.97</x:v>
      </x:c>
      <x:c r="AL213" s="1">
        <x:v>41750</x:v>
      </x:c>
      <x:c r="AM213" s="1"/>
      <x:c r="AN213" s="1"/>
      <x:c r="AO213" s="1"/>
      <x:c r="AP213" s="1"/>
      <x:c r="AQ213" s="1"/>
      <x:c r="AR213" s="1"/>
    </x:row>
    <x:row r="214">
      <x:c r="A214" s="1"/>
      <x:c r="B214" s="1"/>
      <x:c r="C214" s="1"/>
      <x:c r="D214" s="1"/>
      <x:c r="E214" s="1"/>
      <x:c r="F214" s="1"/>
      <x:c r="G214" s="1"/>
      <x:c r="H214" s="1"/>
      <x:c r="I214" s="1"/>
      <x:c r="J214" s="1"/>
      <x:c r="K214" s="1"/>
      <x:c r="L214" s="1"/>
      <x:c r="M214" s="1"/>
      <x:c r="N214" s="1"/>
      <x:c r="O214" s="1"/>
      <x:c r="P214" s="1"/>
      <x:c r="Q214" s="1"/>
      <x:c r="R214" s="1"/>
      <x:c r="S214" s="1"/>
      <x:c r="T214" s="1"/>
      <x:c r="U214" s="1"/>
      <x:c r="V214" s="1"/>
      <x:c r="W214" s="1"/>
      <x:c r="X214" s="1"/>
      <x:c r="Y214" s="1"/>
      <x:c r="Z214" s="1"/>
      <x:c r="AA214" s="1"/>
      <x:c r="AB214" s="1"/>
      <x:c r="AC214" s="1"/>
      <x:c r="AD214" s="1" t="s">
        <x:v>389</x:v>
      </x:c>
      <x:c r="AE214" s="1" t="s">
        <x:v>50</x:v>
      </x:c>
      <x:c r="AF214" s="1">
        <x:v>8.0310000000000006</x:v>
      </x:c>
      <x:c r="AG214" s="1">
        <x:v>42320</x:v>
      </x:c>
      <x:c r="AH214" s="1"/>
      <x:c r="AI214" s="1" t="s">
        <x:v>248</x:v>
      </x:c>
      <x:c r="AJ214" s="1" t="s">
        <x:v>14</x:v>
      </x:c>
      <x:c r="AK214" s="1">
        <x:v>10.182</x:v>
      </x:c>
      <x:c r="AL214" s="1">
        <x:v>36390</x:v>
      </x:c>
      <x:c r="AM214" s="1"/>
      <x:c r="AN214" s="1"/>
      <x:c r="AO214" s="1"/>
      <x:c r="AP214" s="1"/>
      <x:c r="AQ214" s="1"/>
      <x:c r="AR214" s="1"/>
    </x:row>
    <x:row r="215">
      <x:c r="A215" s="1"/>
      <x:c r="B215" s="1"/>
      <x:c r="C215" s="1"/>
      <x:c r="D215" s="1"/>
      <x:c r="E215" s="1"/>
      <x:c r="F215" s="1"/>
      <x:c r="G215" s="1"/>
      <x:c r="H215" s="1"/>
      <x:c r="I215" s="1"/>
      <x:c r="J215" s="1"/>
      <x:c r="K215" s="1"/>
      <x:c r="L215" s="1"/>
      <x:c r="M215" s="1"/>
      <x:c r="N215" s="1"/>
      <x:c r="O215" s="1"/>
      <x:c r="P215" s="1"/>
      <x:c r="Q215" s="1"/>
      <x:c r="R215" s="1"/>
      <x:c r="S215" s="1"/>
      <x:c r="T215" s="1"/>
      <x:c r="U215" s="1"/>
      <x:c r="V215" s="1"/>
      <x:c r="W215" s="1"/>
      <x:c r="X215" s="1"/>
      <x:c r="Y215" s="1"/>
      <x:c r="Z215" s="1"/>
      <x:c r="AA215" s="1"/>
      <x:c r="AB215" s="1"/>
      <x:c r="AC215" s="1"/>
      <x:c r="AD215" s="1" t="s">
        <x:v>390</x:v>
      </x:c>
      <x:c r="AE215" s="1" t="s">
        <x:v>38</x:v>
      </x:c>
      <x:c r="AF215" s="1">
        <x:v>8.0210000000000008</x:v>
      </x:c>
      <x:c r="AG215" s="1">
        <x:v>73790</x:v>
      </x:c>
      <x:c r="AH215" s="1"/>
      <x:c r="AI215" s="1" t="s">
        <x:v>250</x:v>
      </x:c>
      <x:c r="AJ215" s="1" t="s">
        <x:v>20</x:v>
      </x:c>
      <x:c r="AK215" s="1">
        <x:v>8.5289999999999999</x:v>
      </x:c>
      <x:c r="AL215" s="1">
        <x:v>76850</x:v>
      </x:c>
      <x:c r="AM215" s="1"/>
      <x:c r="AN215" s="1"/>
      <x:c r="AO215" s="1"/>
      <x:c r="AP215" s="1"/>
      <x:c r="AQ215" s="1"/>
      <x:c r="AR215" s="1"/>
    </x:row>
    <x:row r="216">
      <x:c r="A216" s="1"/>
      <x:c r="B216" s="1"/>
      <x:c r="C216" s="1"/>
      <x:c r="D216" s="1"/>
      <x:c r="E216" s="1"/>
      <x:c r="F216" s="1"/>
      <x:c r="G216" s="1"/>
      <x:c r="H216" s="1"/>
      <x:c r="I216" s="1"/>
      <x:c r="J216" s="1"/>
      <x:c r="K216" s="1"/>
      <x:c r="L216" s="1"/>
      <x:c r="M216" s="1"/>
      <x:c r="N216" s="1"/>
      <x:c r="O216" s="1"/>
      <x:c r="P216" s="1"/>
      <x:c r="Q216" s="1"/>
      <x:c r="R216" s="1"/>
      <x:c r="S216" s="1"/>
      <x:c r="T216" s="1"/>
      <x:c r="U216" s="1"/>
      <x:c r="V216" s="1"/>
      <x:c r="W216" s="1"/>
      <x:c r="X216" s="1"/>
      <x:c r="Y216" s="1"/>
      <x:c r="Z216" s="1"/>
      <x:c r="AA216" s="1"/>
      <x:c r="AB216" s="1"/>
      <x:c r="AC216" s="1"/>
      <x:c r="AD216" s="1" t="s">
        <x:v>391</x:v>
      </x:c>
      <x:c r="AE216" s="1" t="s">
        <x:v>97</x:v>
      </x:c>
      <x:c r="AF216" s="1">
        <x:v>7.9729999999999999</x:v>
      </x:c>
      <x:c r="AG216" s="1">
        <x:v>21100</x:v>
      </x:c>
      <x:c r="AH216" s="1"/>
      <x:c r="AI216" s="1" t="s">
        <x:v>252</x:v>
      </x:c>
      <x:c r="AJ216" s="1" t="s">
        <x:v>27</x:v>
      </x:c>
      <x:c r="AK216" s="1">
        <x:v>7.0309999999999997</x:v>
      </x:c>
      <x:c r="AL216" s="1">
        <x:v>365970</x:v>
      </x:c>
      <x:c r="AM216" s="1"/>
      <x:c r="AN216" s="1"/>
      <x:c r="AO216" s="1"/>
      <x:c r="AP216" s="1"/>
      <x:c r="AQ216" s="1"/>
      <x:c r="AR216" s="1"/>
    </x:row>
    <x:row r="217">
      <x:c r="A217" s="1"/>
      <x:c r="B217" s="1"/>
      <x:c r="C217" s="1"/>
      <x:c r="D217" s="1"/>
      <x:c r="E217" s="1"/>
      <x:c r="F217" s="1"/>
      <x:c r="G217" s="1"/>
      <x:c r="H217" s="1"/>
      <x:c r="I217" s="1"/>
      <x:c r="J217" s="1"/>
      <x:c r="K217" s="1"/>
      <x:c r="L217" s="1"/>
      <x:c r="M217" s="1"/>
      <x:c r="N217" s="1"/>
      <x:c r="O217" s="1"/>
      <x:c r="P217" s="1"/>
      <x:c r="Q217" s="1"/>
      <x:c r="R217" s="1"/>
      <x:c r="S217" s="1"/>
      <x:c r="T217" s="1"/>
      <x:c r="U217" s="1"/>
      <x:c r="V217" s="1"/>
      <x:c r="W217" s="1"/>
      <x:c r="X217" s="1"/>
      <x:c r="Y217" s="1"/>
      <x:c r="Z217" s="1"/>
      <x:c r="AA217" s="1"/>
      <x:c r="AB217" s="1"/>
      <x:c r="AC217" s="1"/>
      <x:c r="AD217" s="1" t="s">
        <x:v>392</x:v>
      </x:c>
      <x:c r="AE217" s="1" t="s">
        <x:v>19</x:v>
      </x:c>
      <x:c r="AF217" s="1">
        <x:v>10.61</x:v>
      </x:c>
      <x:c r="AG217" s="1">
        <x:v>10150</x:v>
      </x:c>
      <x:c r="AH217" s="1"/>
      <x:c r="AI217" s="1" t="s">
        <x:v>254</x:v>
      </x:c>
      <x:c r="AJ217" s="1" t="s">
        <x:v>31</x:v>
      </x:c>
      <x:c r="AK217" s="1">
        <x:v>6.8760000000000003</x:v>
      </x:c>
      <x:c r="AL217" s="1">
        <x:v>400360</x:v>
      </x:c>
      <x:c r="AM217" s="1"/>
      <x:c r="AN217" s="1"/>
      <x:c r="AO217" s="1"/>
      <x:c r="AP217" s="1"/>
      <x:c r="AQ217" s="1"/>
      <x:c r="AR217" s="1"/>
    </x:row>
    <x:row r="218">
      <x:c r="A218" s="1"/>
      <x:c r="B218" s="1"/>
      <x:c r="C218" s="1"/>
      <x:c r="D218" s="1"/>
      <x:c r="E218" s="1"/>
      <x:c r="F218" s="1"/>
      <x:c r="G218" s="1"/>
      <x:c r="H218" s="1"/>
      <x:c r="I218" s="1"/>
      <x:c r="J218" s="1"/>
      <x:c r="K218" s="1"/>
      <x:c r="L218" s="1"/>
      <x:c r="M218" s="1"/>
      <x:c r="N218" s="1"/>
      <x:c r="O218" s="1"/>
      <x:c r="P218" s="1"/>
      <x:c r="Q218" s="1"/>
      <x:c r="R218" s="1"/>
      <x:c r="S218" s="1"/>
      <x:c r="T218" s="1"/>
      <x:c r="U218" s="1"/>
      <x:c r="V218" s="1"/>
      <x:c r="W218" s="1"/>
      <x:c r="X218" s="1"/>
      <x:c r="Y218" s="1"/>
      <x:c r="Z218" s="1"/>
      <x:c r="AA218" s="1"/>
      <x:c r="AB218" s="1"/>
      <x:c r="AC218" s="1"/>
      <x:c r="AD218" s="1" t="s">
        <x:v>393</x:v>
      </x:c>
      <x:c r="AE218" s="1" t="s">
        <x:v>10</x:v>
      </x:c>
      <x:c r="AF218" s="1">
        <x:v>10.313000000000001</x:v>
      </x:c>
      <x:c r="AG218" s="1">
        <x:v>18910</x:v>
      </x:c>
      <x:c r="AH218" s="1"/>
      <x:c r="AI218" s="1" t="s">
        <x:v>256</x:v>
      </x:c>
      <x:c r="AJ218" s="1" t="s">
        <x:v>35</x:v>
      </x:c>
      <x:c r="AK218" s="1">
        <x:v>6.6970000000000001</x:v>
      </x:c>
      <x:c r="AL218" s="1">
        <x:v>181960</x:v>
      </x:c>
      <x:c r="AM218" s="1"/>
      <x:c r="AN218" s="1"/>
      <x:c r="AO218" s="1"/>
      <x:c r="AP218" s="1"/>
      <x:c r="AQ218" s="1"/>
      <x:c r="AR218" s="1"/>
    </x:row>
    <x:row r="219">
      <x:c r="A219" s="1"/>
      <x:c r="B219" s="1"/>
      <x:c r="C219" s="1"/>
      <x:c r="D219" s="1"/>
      <x:c r="E219" s="1"/>
      <x:c r="F219" s="1"/>
      <x:c r="G219" s="1"/>
      <x:c r="H219" s="1"/>
      <x:c r="I219" s="1"/>
      <x:c r="J219" s="1"/>
      <x:c r="K219" s="1"/>
      <x:c r="L219" s="1"/>
      <x:c r="M219" s="1"/>
      <x:c r="N219" s="1"/>
      <x:c r="O219" s="1"/>
      <x:c r="P219" s="1"/>
      <x:c r="Q219" s="1"/>
      <x:c r="R219" s="1"/>
      <x:c r="S219" s="1"/>
      <x:c r="T219" s="1"/>
      <x:c r="U219" s="1"/>
      <x:c r="V219" s="1"/>
      <x:c r="W219" s="1"/>
      <x:c r="X219" s="1"/>
      <x:c r="Y219" s="1"/>
      <x:c r="Z219" s="1"/>
      <x:c r="AA219" s="1"/>
      <x:c r="AB219" s="1"/>
      <x:c r="AC219" s="1"/>
      <x:c r="AD219" s="1" t="s">
        <x:v>394</x:v>
      </x:c>
      <x:c r="AE219" s="1" t="s">
        <x:v>30</x:v>
      </x:c>
      <x:c r="AF219" s="1">
        <x:v>9.8919999999999995</x:v>
      </x:c>
      <x:c r="AG219" s="1">
        <x:v>5370</x:v>
      </x:c>
      <x:c r="AH219" s="1"/>
      <x:c r="AI219" s="1" t="s">
        <x:v>258</x:v>
      </x:c>
      <x:c r="AJ219" s="1" t="s">
        <x:v>39</x:v>
      </x:c>
      <x:c r="AK219" s="1">
        <x:v>6.6340000000000003</x:v>
      </x:c>
      <x:c r="AL219" s="1">
        <x:v>166660</x:v>
      </x:c>
      <x:c r="AM219" s="1"/>
      <x:c r="AN219" s="1"/>
      <x:c r="AO219" s="1"/>
      <x:c r="AP219" s="1"/>
      <x:c r="AQ219" s="1"/>
      <x:c r="AR219" s="1"/>
    </x:row>
    <x:row r="220">
      <x:c r="A220" s="1"/>
      <x:c r="B220" s="1"/>
      <x:c r="C220" s="1"/>
      <x:c r="D220" s="1"/>
      <x:c r="E220" s="1"/>
      <x:c r="F220" s="1"/>
      <x:c r="G220" s="1"/>
      <x:c r="H220" s="1"/>
      <x:c r="I220" s="1"/>
      <x:c r="J220" s="1"/>
      <x:c r="K220" s="1"/>
      <x:c r="L220" s="1"/>
      <x:c r="M220" s="1"/>
      <x:c r="N220" s="1"/>
      <x:c r="O220" s="1"/>
      <x:c r="P220" s="1"/>
      <x:c r="Q220" s="1"/>
      <x:c r="R220" s="1"/>
      <x:c r="S220" s="1"/>
      <x:c r="T220" s="1"/>
      <x:c r="U220" s="1"/>
      <x:c r="V220" s="1"/>
      <x:c r="W220" s="1"/>
      <x:c r="X220" s="1"/>
      <x:c r="Y220" s="1"/>
      <x:c r="Z220" s="1"/>
      <x:c r="AA220" s="1"/>
      <x:c r="AB220" s="1"/>
      <x:c r="AC220" s="1"/>
      <x:c r="AD220" s="1" t="s">
        <x:v>395</x:v>
      </x:c>
      <x:c r="AE220" s="1" t="s">
        <x:v>14</x:v>
      </x:c>
      <x:c r="AF220" s="1">
        <x:v>9.8019999999999996</x:v>
      </x:c>
      <x:c r="AG220" s="1">
        <x:v>16800</x:v>
      </x:c>
      <x:c r="AH220" s="1"/>
      <x:c r="AI220" s="1" t="s">
        <x:v>259</x:v>
      </x:c>
      <x:c r="AJ220" s="1" t="s">
        <x:v>43</x:v>
      </x:c>
      <x:c r="AK220" s="1">
        <x:v>6.476</x:v>
      </x:c>
      <x:c r="AL220" s="1">
        <x:v>19010</x:v>
      </x:c>
      <x:c r="AM220" s="1"/>
      <x:c r="AN220" s="1"/>
      <x:c r="AO220" s="1"/>
      <x:c r="AP220" s="1"/>
      <x:c r="AQ220" s="1"/>
      <x:c r="AR220" s="1"/>
    </x:row>
    <x:row r="221">
      <x:c r="A221" s="1"/>
      <x:c r="B221" s="1"/>
      <x:c r="C221" s="1"/>
      <x:c r="D221" s="1"/>
      <x:c r="E221" s="1"/>
      <x:c r="F221" s="1"/>
      <x:c r="G221" s="1"/>
      <x:c r="H221" s="1"/>
      <x:c r="I221" s="1"/>
      <x:c r="J221" s="1"/>
      <x:c r="K221" s="1"/>
      <x:c r="L221" s="1"/>
      <x:c r="M221" s="1"/>
      <x:c r="N221" s="1"/>
      <x:c r="O221" s="1"/>
      <x:c r="P221" s="1"/>
      <x:c r="Q221" s="1"/>
      <x:c r="R221" s="1"/>
      <x:c r="S221" s="1"/>
      <x:c r="T221" s="1"/>
      <x:c r="U221" s="1"/>
      <x:c r="V221" s="1"/>
      <x:c r="W221" s="1"/>
      <x:c r="X221" s="1"/>
      <x:c r="Y221" s="1"/>
      <x:c r="Z221" s="1"/>
      <x:c r="AA221" s="1"/>
      <x:c r="AB221" s="1"/>
      <x:c r="AC221" s="1"/>
      <x:c r="AD221" s="1" t="s">
        <x:v>396</x:v>
      </x:c>
      <x:c r="AE221" s="1" t="s">
        <x:v>46</x:v>
      </x:c>
      <x:c r="AF221" s="1">
        <x:v>9.3800000000000008</x:v>
      </x:c>
      <x:c r="AG221" s="1">
        <x:v>15090</x:v>
      </x:c>
      <x:c r="AH221" s="1"/>
      <x:c r="AI221" s="1" t="s">
        <x:v>260</x:v>
      </x:c>
      <x:c r="AJ221" s="1" t="s">
        <x:v>55</x:v>
      </x:c>
      <x:c r="AK221" s="1">
        <x:v>6.07</x:v>
      </x:c>
      <x:c r="AL221" s="1">
        <x:v>196680</x:v>
      </x:c>
      <x:c r="AM221" s="1"/>
      <x:c r="AN221" s="1"/>
      <x:c r="AO221" s="1"/>
      <x:c r="AP221" s="1"/>
      <x:c r="AQ221" s="1"/>
      <x:c r="AR221" s="1"/>
    </x:row>
    <x:row r="222">
      <x:c r="A222" s="1"/>
      <x:c r="B222" s="1"/>
      <x:c r="C222" s="1"/>
      <x:c r="D222" s="1"/>
      <x:c r="E222" s="1"/>
      <x:c r="F222" s="1"/>
      <x:c r="G222" s="1"/>
      <x:c r="H222" s="1"/>
      <x:c r="I222" s="1"/>
      <x:c r="J222" s="1"/>
      <x:c r="K222" s="1"/>
      <x:c r="L222" s="1"/>
      <x:c r="M222" s="1"/>
      <x:c r="N222" s="1"/>
      <x:c r="O222" s="1"/>
      <x:c r="P222" s="1"/>
      <x:c r="Q222" s="1"/>
      <x:c r="R222" s="1"/>
      <x:c r="S222" s="1"/>
      <x:c r="T222" s="1"/>
      <x:c r="U222" s="1"/>
      <x:c r="V222" s="1"/>
      <x:c r="W222" s="1"/>
      <x:c r="X222" s="1"/>
      <x:c r="Y222" s="1"/>
      <x:c r="Z222" s="1"/>
      <x:c r="AA222" s="1"/>
      <x:c r="AB222" s="1"/>
      <x:c r="AC222" s="1"/>
      <x:c r="AD222" s="1" t="s">
        <x:v>397</x:v>
      </x:c>
      <x:c r="AE222" s="1" t="s">
        <x:v>34</x:v>
      </x:c>
      <x:c r="AF222" s="1">
        <x:v>9.3710000000000004</x:v>
      </x:c>
      <x:c r="AG222" s="1">
        <x:v>9720</x:v>
      </x:c>
      <x:c r="AH222" s="1"/>
      <x:c r="AI222" s="1" t="s">
        <x:v>261</x:v>
      </x:c>
      <x:c r="AJ222" s="1" t="s">
        <x:v>47</x:v>
      </x:c>
      <x:c r="AK222" s="1">
        <x:v>6.0540000000000003</x:v>
      </x:c>
      <x:c r="AL222" s="1">
        <x:v>313430</x:v>
      </x:c>
      <x:c r="AM222" s="1"/>
      <x:c r="AN222" s="1"/>
      <x:c r="AO222" s="1"/>
      <x:c r="AP222" s="1"/>
      <x:c r="AQ222" s="1"/>
      <x:c r="AR222" s="1"/>
    </x:row>
    <x:row r="223">
      <x:c r="A223" s="1"/>
      <x:c r="B223" s="1"/>
      <x:c r="C223" s="1"/>
      <x:c r="D223" s="1"/>
      <x:c r="E223" s="1"/>
      <x:c r="F223" s="1"/>
      <x:c r="G223" s="1"/>
      <x:c r="H223" s="1"/>
      <x:c r="I223" s="1"/>
      <x:c r="J223" s="1"/>
      <x:c r="K223" s="1"/>
      <x:c r="L223" s="1"/>
      <x:c r="M223" s="1"/>
      <x:c r="N223" s="1"/>
      <x:c r="O223" s="1"/>
      <x:c r="P223" s="1"/>
      <x:c r="Q223" s="1"/>
      <x:c r="R223" s="1"/>
      <x:c r="S223" s="1"/>
      <x:c r="T223" s="1"/>
      <x:c r="U223" s="1"/>
      <x:c r="V223" s="1"/>
      <x:c r="W223" s="1"/>
      <x:c r="X223" s="1"/>
      <x:c r="Y223" s="1"/>
      <x:c r="Z223" s="1"/>
      <x:c r="AA223" s="1"/>
      <x:c r="AB223" s="1"/>
      <x:c r="AC223" s="1"/>
      <x:c r="AD223" s="1" t="s">
        <x:v>398</x:v>
      </x:c>
      <x:c r="AE223" s="1" t="s">
        <x:v>38</x:v>
      </x:c>
      <x:c r="AF223" s="1">
        <x:v>9.016</x:v>
      </x:c>
      <x:c r="AG223" s="1">
        <x:v>39860</x:v>
      </x:c>
      <x:c r="AH223" s="1"/>
      <x:c r="AI223" s="1" t="s">
        <x:v>399</x:v>
      </x:c>
      <x:c r="AJ223" s="1" t="s">
        <x:v>51</x:v>
      </x:c>
      <x:c r="AK223" s="1">
        <x:v>5.9589999999999996</x:v>
      </x:c>
      <x:c r="AL223" s="1">
        <x:v>352390</x:v>
      </x:c>
      <x:c r="AM223" s="1"/>
      <x:c r="AN223" s="1"/>
      <x:c r="AO223" s="1"/>
      <x:c r="AP223" s="1"/>
      <x:c r="AQ223" s="1"/>
      <x:c r="AR223" s="1"/>
    </x:row>
    <x:row r="224">
      <x:c r="A224" s="1"/>
      <x:c r="B224" s="1"/>
      <x:c r="C224" s="1"/>
      <x:c r="D224" s="1"/>
      <x:c r="E224" s="1"/>
      <x:c r="F224" s="1"/>
      <x:c r="G224" s="1"/>
      <x:c r="H224" s="1"/>
      <x:c r="I224" s="1"/>
      <x:c r="J224" s="1"/>
      <x:c r="K224" s="1"/>
      <x:c r="L224" s="1"/>
      <x:c r="M224" s="1"/>
      <x:c r="N224" s="1"/>
      <x:c r="O224" s="1"/>
      <x:c r="P224" s="1"/>
      <x:c r="Q224" s="1"/>
      <x:c r="R224" s="1"/>
      <x:c r="S224" s="1"/>
      <x:c r="T224" s="1"/>
      <x:c r="U224" s="1"/>
      <x:c r="V224" s="1"/>
      <x:c r="W224" s="1"/>
      <x:c r="X224" s="1"/>
      <x:c r="Y224" s="1"/>
      <x:c r="Z224" s="1"/>
      <x:c r="AA224" s="1"/>
      <x:c r="AB224" s="1"/>
      <x:c r="AC224" s="1"/>
      <x:c r="AD224" s="1" t="s">
        <x:v>400</x:v>
      </x:c>
      <x:c r="AE224" s="1" t="s">
        <x:v>42</x:v>
      </x:c>
      <x:c r="AF224" s="1">
        <x:v>8.952</x:v>
      </x:c>
      <x:c r="AG224" s="1">
        <x:v>14530</x:v>
      </x:c>
      <x:c r="AH224" s="1"/>
      <x:c r="AI224" s="1" t="s">
        <x:v>401</x:v>
      </x:c>
      <x:c r="AJ224" s="1" t="s">
        <x:v>59</x:v>
      </x:c>
      <x:c r="AK224" s="1">
        <x:v>5.7590000000000003</x:v>
      </x:c>
      <x:c r="AL224" s="1">
        <x:v>337320</x:v>
      </x:c>
      <x:c r="AM224" s="1"/>
      <x:c r="AN224" s="1"/>
      <x:c r="AO224" s="1"/>
      <x:c r="AP224" s="1"/>
      <x:c r="AQ224" s="1"/>
      <x:c r="AR224" s="1"/>
    </x:row>
    <x:row r="225">
      <x:c r="A225" s="1"/>
      <x:c r="B225" s="1"/>
      <x:c r="C225" s="1"/>
      <x:c r="D225" s="1"/>
      <x:c r="E225" s="1"/>
      <x:c r="F225" s="1"/>
      <x:c r="G225" s="1"/>
      <x:c r="H225" s="1"/>
      <x:c r="I225" s="1"/>
      <x:c r="J225" s="1"/>
      <x:c r="K225" s="1"/>
      <x:c r="L225" s="1"/>
      <x:c r="M225" s="1"/>
      <x:c r="N225" s="1"/>
      <x:c r="O225" s="1"/>
      <x:c r="P225" s="1"/>
      <x:c r="Q225" s="1"/>
      <x:c r="R225" s="1"/>
      <x:c r="S225" s="1"/>
      <x:c r="T225" s="1"/>
      <x:c r="U225" s="1"/>
      <x:c r="V225" s="1"/>
      <x:c r="W225" s="1"/>
      <x:c r="X225" s="1"/>
      <x:c r="Y225" s="1"/>
      <x:c r="Z225" s="1"/>
      <x:c r="AA225" s="1"/>
      <x:c r="AB225" s="1"/>
      <x:c r="AC225" s="1"/>
      <x:c r="AD225" s="1" t="s">
        <x:v>402</x:v>
      </x:c>
      <x:c r="AE225" s="1" t="s">
        <x:v>86</x:v>
      </x:c>
      <x:c r="AF225" s="1">
        <x:v>8.9139999999999997</x:v>
      </x:c>
      <x:c r="AG225" s="1">
        <x:v>12980</x:v>
      </x:c>
      <x:c r="AH225" s="1"/>
      <x:c r="AI225" s="1" t="s">
        <x:v>403</x:v>
      </x:c>
      <x:c r="AJ225" s="1" t="s">
        <x:v>67</x:v>
      </x:c>
      <x:c r="AK225" s="1">
        <x:v>5.7050000000000001</x:v>
      </x:c>
      <x:c r="AL225" s="1">
        <x:v>11230</x:v>
      </x:c>
      <x:c r="AM225" s="1"/>
      <x:c r="AN225" s="1"/>
      <x:c r="AO225" s="1"/>
      <x:c r="AP225" s="1"/>
      <x:c r="AQ225" s="1"/>
      <x:c r="AR225" s="1"/>
    </x:row>
    <x:row r="226">
      <x:c r="A226" s="1"/>
      <x:c r="B226" s="1"/>
      <x:c r="C226" s="1"/>
      <x:c r="D226" s="1"/>
      <x:c r="E226" s="1"/>
      <x:c r="F226" s="1"/>
      <x:c r="G226" s="1"/>
      <x:c r="H226" s="1"/>
      <x:c r="I226" s="1"/>
      <x:c r="J226" s="1"/>
      <x:c r="K226" s="1"/>
      <x:c r="L226" s="1"/>
      <x:c r="M226" s="1"/>
      <x:c r="N226" s="1"/>
      <x:c r="O226" s="1"/>
      <x:c r="P226" s="1"/>
      <x:c r="Q226" s="1"/>
      <x:c r="R226" s="1"/>
      <x:c r="S226" s="1"/>
      <x:c r="T226" s="1"/>
      <x:c r="U226" s="1"/>
      <x:c r="V226" s="1"/>
      <x:c r="W226" s="1"/>
      <x:c r="X226" s="1"/>
      <x:c r="Y226" s="1"/>
      <x:c r="Z226" s="1"/>
      <x:c r="AA226" s="1"/>
      <x:c r="AB226" s="1"/>
      <x:c r="AC226" s="1"/>
      <x:c r="AD226" s="1" t="s">
        <x:v>404</x:v>
      </x:c>
      <x:c r="AE226" s="1" t="s">
        <x:v>50</x:v>
      </x:c>
      <x:c r="AF226" s="1">
        <x:v>8.8290000000000006</x:v>
      </x:c>
      <x:c r="AG226" s="1">
        <x:v>22730</x:v>
      </x:c>
      <x:c r="AH226" s="1"/>
      <x:c r="AI226" s="1" t="s">
        <x:v>405</x:v>
      </x:c>
      <x:c r="AJ226" s="1" t="s">
        <x:v>63</x:v>
      </x:c>
      <x:c r="AK226" s="1">
        <x:v>5.5469999999999997</x:v>
      </x:c>
      <x:c r="AL226" s="1">
        <x:v>436150</x:v>
      </x:c>
      <x:c r="AM226" s="1"/>
      <x:c r="AN226" s="1"/>
      <x:c r="AO226" s="1"/>
      <x:c r="AP226" s="1"/>
      <x:c r="AQ226" s="1"/>
      <x:c r="AR226" s="1"/>
    </x:row>
    <x:row r="227">
      <x:c r="A227" s="1"/>
      <x:c r="B227" s="1"/>
      <x:c r="C227" s="1"/>
      <x:c r="D227" s="1"/>
      <x:c r="E227" s="1"/>
      <x:c r="F227" s="1"/>
      <x:c r="G227" s="1"/>
      <x:c r="H227" s="1"/>
      <x:c r="I227" s="1"/>
      <x:c r="J227" s="1"/>
      <x:c r="K227" s="1"/>
      <x:c r="L227" s="1"/>
      <x:c r="M227" s="1"/>
      <x:c r="N227" s="1"/>
      <x:c r="O227" s="1"/>
      <x:c r="P227" s="1"/>
      <x:c r="Q227" s="1"/>
      <x:c r="R227" s="1"/>
      <x:c r="S227" s="1"/>
      <x:c r="T227" s="1"/>
      <x:c r="U227" s="1"/>
      <x:c r="V227" s="1"/>
      <x:c r="W227" s="1"/>
      <x:c r="X227" s="1"/>
      <x:c r="Y227" s="1"/>
      <x:c r="Z227" s="1"/>
      <x:c r="AA227" s="1"/>
      <x:c r="AB227" s="1"/>
      <x:c r="AC227" s="1"/>
      <x:c r="AD227" s="1" t="s">
        <x:v>406</x:v>
      </x:c>
      <x:c r="AE227" s="1" t="s">
        <x:v>10</x:v>
      </x:c>
      <x:c r="AF227" s="1">
        <x:v>11.81</x:v>
      </x:c>
      <x:c r="AG227" s="1">
        <x:v>25650</x:v>
      </x:c>
      <x:c r="AH227" s="1"/>
      <x:c r="AI227" s="1" t="s">
        <x:v>407</x:v>
      </x:c>
      <x:c r="AJ227" s="1" t="s">
        <x:v>71</x:v>
      </x:c>
      <x:c r="AK227" s="1">
        <x:v>5.3410000000000002</x:v>
      </x:c>
      <x:c r="AL227" s="1">
        <x:v>639400</x:v>
      </x:c>
      <x:c r="AM227" s="1"/>
      <x:c r="AN227" s="1"/>
      <x:c r="AO227" s="1"/>
      <x:c r="AP227" s="1"/>
      <x:c r="AQ227" s="1"/>
      <x:c r="AR227" s="1"/>
    </x:row>
    <x:row r="228">
      <x:c r="A228" s="1"/>
      <x:c r="B228" s="1"/>
      <x:c r="C228" s="1"/>
      <x:c r="D228" s="1"/>
      <x:c r="E228" s="1"/>
      <x:c r="F228" s="1"/>
      <x:c r="G228" s="1"/>
      <x:c r="H228" s="1"/>
      <x:c r="I228" s="1"/>
      <x:c r="J228" s="1"/>
      <x:c r="K228" s="1"/>
      <x:c r="L228" s="1"/>
      <x:c r="M228" s="1"/>
      <x:c r="N228" s="1"/>
      <x:c r="O228" s="1"/>
      <x:c r="P228" s="1"/>
      <x:c r="Q228" s="1"/>
      <x:c r="R228" s="1"/>
      <x:c r="S228" s="1"/>
      <x:c r="T228" s="1"/>
      <x:c r="U228" s="1"/>
      <x:c r="V228" s="1"/>
      <x:c r="W228" s="1"/>
      <x:c r="X228" s="1"/>
      <x:c r="Y228" s="1"/>
      <x:c r="Z228" s="1"/>
      <x:c r="AA228" s="1"/>
      <x:c r="AB228" s="1"/>
      <x:c r="AC228" s="1"/>
      <x:c r="AD228" s="1" t="s">
        <x:v>408</x:v>
      </x:c>
      <x:c r="AE228" s="1" t="s">
        <x:v>14</x:v>
      </x:c>
      <x:c r="AF228" s="1">
        <x:v>10.895</x:v>
      </x:c>
      <x:c r="AG228" s="1">
        <x:v>22150</x:v>
      </x:c>
      <x:c r="AH228" s="1"/>
      <x:c r="AI228" s="1" t="s">
        <x:v>409</x:v>
      </x:c>
      <x:c r="AJ228" s="1" t="s">
        <x:v>75</x:v>
      </x:c>
      <x:c r="AK228" s="1">
        <x:v>5.048</x:v>
      </x:c>
      <x:c r="AL228" s="1">
        <x:v>5680</x:v>
      </x:c>
      <x:c r="AM228" s="1"/>
      <x:c r="AN228" s="1"/>
      <x:c r="AO228" s="1"/>
      <x:c r="AP228" s="1"/>
      <x:c r="AQ228" s="1"/>
      <x:c r="AR228" s="1"/>
    </x:row>
    <x:row r="229">
      <x:c r="A229" s="1"/>
      <x:c r="B229" s="1"/>
      <x:c r="C229" s="1"/>
      <x:c r="D229" s="1"/>
      <x:c r="E229" s="1"/>
      <x:c r="F229" s="1"/>
      <x:c r="G229" s="1"/>
      <x:c r="H229" s="1"/>
      <x:c r="I229" s="1"/>
      <x:c r="J229" s="1"/>
      <x:c r="K229" s="1"/>
      <x:c r="L229" s="1"/>
      <x:c r="M229" s="1"/>
      <x:c r="N229" s="1"/>
      <x:c r="O229" s="1"/>
      <x:c r="P229" s="1"/>
      <x:c r="Q229" s="1"/>
      <x:c r="R229" s="1"/>
      <x:c r="S229" s="1"/>
      <x:c r="T229" s="1"/>
      <x:c r="U229" s="1"/>
      <x:c r="V229" s="1"/>
      <x:c r="W229" s="1"/>
      <x:c r="X229" s="1"/>
      <x:c r="Y229" s="1"/>
      <x:c r="Z229" s="1"/>
      <x:c r="AA229" s="1"/>
      <x:c r="AB229" s="1"/>
      <x:c r="AC229" s="1"/>
      <x:c r="AD229" s="1" t="s">
        <x:v>410</x:v>
      </x:c>
      <x:c r="AE229" s="1" t="s">
        <x:v>20</x:v>
      </x:c>
      <x:c r="AF229" s="1">
        <x:v>9.3149999999999995</x:v>
      </x:c>
      <x:c r="AG229" s="1">
        <x:v>45780</x:v>
      </x:c>
      <x:c r="AH229" s="1"/>
      <x:c r="AI229" s="1" t="s">
        <x:v>411</x:v>
      </x:c>
      <x:c r="AJ229" s="1" t="s">
        <x:v>79</x:v>
      </x:c>
      <x:c r="AK229" s="1">
        <x:v>4.9530000000000003</x:v>
      </x:c>
      <x:c r="AL229" s="1">
        <x:v>186080</x:v>
      </x:c>
      <x:c r="AM229" s="1"/>
      <x:c r="AN229" s="1"/>
      <x:c r="AO229" s="1"/>
      <x:c r="AP229" s="1"/>
      <x:c r="AQ229" s="1"/>
      <x:c r="AR229" s="1"/>
    </x:row>
    <x:row r="230">
      <x:c r="A230" s="1"/>
      <x:c r="B230" s="1"/>
      <x:c r="C230" s="1"/>
      <x:c r="D230" s="1"/>
      <x:c r="E230" s="1"/>
      <x:c r="F230" s="1"/>
      <x:c r="G230" s="1"/>
      <x:c r="H230" s="1"/>
      <x:c r="I230" s="1"/>
      <x:c r="J230" s="1"/>
      <x:c r="K230" s="1"/>
      <x:c r="L230" s="1"/>
      <x:c r="M230" s="1"/>
      <x:c r="N230" s="1"/>
      <x:c r="O230" s="1"/>
      <x:c r="P230" s="1"/>
      <x:c r="Q230" s="1"/>
      <x:c r="R230" s="1"/>
      <x:c r="S230" s="1"/>
      <x:c r="T230" s="1"/>
      <x:c r="U230" s="1"/>
      <x:c r="V230" s="1"/>
      <x:c r="W230" s="1"/>
      <x:c r="X230" s="1"/>
      <x:c r="Y230" s="1"/>
      <x:c r="Z230" s="1"/>
      <x:c r="AA230" s="1"/>
      <x:c r="AB230" s="1"/>
      <x:c r="AC230" s="1"/>
      <x:c r="AD230" s="1" t="s">
        <x:v>412</x:v>
      </x:c>
      <x:c r="AE230" s="1" t="s">
        <x:v>19</x:v>
      </x:c>
      <x:c r="AF230" s="1">
        <x:v>8.1229999999999993</x:v>
      </x:c>
      <x:c r="AG230" s="1">
        <x:v>8380</x:v>
      </x:c>
      <x:c r="AH230" s="1"/>
      <x:c r="AI230" s="1" t="s">
        <x:v>413</x:v>
      </x:c>
      <x:c r="AJ230" s="1" t="s">
        <x:v>83</x:v>
      </x:c>
      <x:c r="AK230" s="1">
        <x:v>4.3410000000000002</x:v>
      </x:c>
      <x:c r="AL230" s="1">
        <x:v>143220</x:v>
      </x:c>
      <x:c r="AM230" s="1"/>
      <x:c r="AN230" s="1"/>
      <x:c r="AO230" s="1"/>
      <x:c r="AP230" s="1"/>
      <x:c r="AQ230" s="1"/>
      <x:c r="AR230" s="1"/>
    </x:row>
    <x:row r="231">
      <x:c r="A231" s="1"/>
      <x:c r="B231" s="1"/>
      <x:c r="C231" s="1"/>
      <x:c r="D231" s="1"/>
      <x:c r="E231" s="1"/>
      <x:c r="F231" s="1"/>
      <x:c r="G231" s="1"/>
      <x:c r="H231" s="1"/>
      <x:c r="I231" s="1"/>
      <x:c r="J231" s="1"/>
      <x:c r="K231" s="1"/>
      <x:c r="L231" s="1"/>
      <x:c r="M231" s="1"/>
      <x:c r="N231" s="1"/>
      <x:c r="O231" s="1"/>
      <x:c r="P231" s="1"/>
      <x:c r="Q231" s="1"/>
      <x:c r="R231" s="1"/>
      <x:c r="S231" s="1"/>
      <x:c r="T231" s="1"/>
      <x:c r="U231" s="1"/>
      <x:c r="V231" s="1"/>
      <x:c r="W231" s="1"/>
      <x:c r="X231" s="1"/>
      <x:c r="Y231" s="1"/>
      <x:c r="Z231" s="1"/>
      <x:c r="AA231" s="1"/>
      <x:c r="AB231" s="1"/>
      <x:c r="AC231" s="1"/>
      <x:c r="AD231" s="1" t="s">
        <x:v>414</x:v>
      </x:c>
      <x:c r="AE231" s="1" t="s">
        <x:v>30</x:v>
      </x:c>
      <x:c r="AF231" s="1">
        <x:v>7.5629999999999997</x:v>
      </x:c>
      <x:c r="AG231" s="1">
        <x:v>4360</x:v>
      </x:c>
      <x:c r="AH231" s="1"/>
      <x:c r="AI231" s="1" t="s">
        <x:v>262</x:v>
      </x:c>
      <x:c r="AJ231" s="1" t="s">
        <x:v>10</x:v>
      </x:c>
      <x:c r="AK231" s="1">
        <x:v>10.34</x:v>
      </x:c>
      <x:c r="AL231" s="1">
        <x:v>17580</x:v>
      </x:c>
      <x:c r="AM231" s="1"/>
      <x:c r="AN231" s="1"/>
      <x:c r="AO231" s="1"/>
      <x:c r="AP231" s="1"/>
      <x:c r="AQ231" s="1"/>
      <x:c r="AR231" s="1"/>
    </x:row>
    <x:row r="232">
      <x:c r="A232" s="1"/>
      <x:c r="B232" s="1"/>
      <x:c r="C232" s="1"/>
      <x:c r="D232" s="1"/>
      <x:c r="E232" s="1"/>
      <x:c r="F232" s="1"/>
      <x:c r="G232" s="1"/>
      <x:c r="H232" s="1"/>
      <x:c r="I232" s="1"/>
      <x:c r="J232" s="1"/>
      <x:c r="K232" s="1"/>
      <x:c r="L232" s="1"/>
      <x:c r="M232" s="1"/>
      <x:c r="N232" s="1"/>
      <x:c r="O232" s="1"/>
      <x:c r="P232" s="1"/>
      <x:c r="Q232" s="1"/>
      <x:c r="R232" s="1"/>
      <x:c r="S232" s="1"/>
      <x:c r="T232" s="1"/>
      <x:c r="U232" s="1"/>
      <x:c r="V232" s="1"/>
      <x:c r="W232" s="1"/>
      <x:c r="X232" s="1"/>
      <x:c r="Y232" s="1"/>
      <x:c r="Z232" s="1"/>
      <x:c r="AA232" s="1"/>
      <x:c r="AB232" s="1"/>
      <x:c r="AC232" s="1"/>
      <x:c r="AD232" s="1" t="s">
        <x:v>415</x:v>
      </x:c>
      <x:c r="AE232" s="1" t="s">
        <x:v>97</x:v>
      </x:c>
      <x:c r="AF232" s="1">
        <x:v>7.3330000000000002</x:v>
      </x:c>
      <x:c r="AG232" s="1">
        <x:v>9920</x:v>
      </x:c>
      <x:c r="AH232" s="1"/>
      <x:c r="AI232" s="1" t="s">
        <x:v>263</x:v>
      </x:c>
      <x:c r="AJ232" s="1" t="s">
        <x:v>14</x:v>
      </x:c>
      <x:c r="AK232" s="1">
        <x:v>9.8140000000000001</x:v>
      </x:c>
      <x:c r="AL232" s="1">
        <x:v>15560</x:v>
      </x:c>
      <x:c r="AM232" s="1"/>
      <x:c r="AN232" s="1"/>
      <x:c r="AO232" s="1"/>
      <x:c r="AP232" s="1"/>
      <x:c r="AQ232" s="1"/>
      <x:c r="AR232" s="1"/>
    </x:row>
    <x:row r="233">
      <x:c r="A233" s="1"/>
      <x:c r="B233" s="1"/>
      <x:c r="C233" s="1"/>
      <x:c r="D233" s="1"/>
      <x:c r="E233" s="1"/>
      <x:c r="F233" s="1"/>
      <x:c r="G233" s="1"/>
      <x:c r="H233" s="1"/>
      <x:c r="I233" s="1"/>
      <x:c r="J233" s="1"/>
      <x:c r="K233" s="1"/>
      <x:c r="L233" s="1"/>
      <x:c r="M233" s="1"/>
      <x:c r="N233" s="1"/>
      <x:c r="O233" s="1"/>
      <x:c r="P233" s="1"/>
      <x:c r="Q233" s="1"/>
      <x:c r="R233" s="1"/>
      <x:c r="S233" s="1"/>
      <x:c r="T233" s="1"/>
      <x:c r="U233" s="1"/>
      <x:c r="V233" s="1"/>
      <x:c r="W233" s="1"/>
      <x:c r="X233" s="1"/>
      <x:c r="Y233" s="1"/>
      <x:c r="Z233" s="1"/>
      <x:c r="AA233" s="1"/>
      <x:c r="AB233" s="1"/>
      <x:c r="AC233" s="1"/>
      <x:c r="AD233" s="1" t="s">
        <x:v>416</x:v>
      </x:c>
      <x:c r="AE233" s="1" t="s">
        <x:v>50</x:v>
      </x:c>
      <x:c r="AF233" s="1">
        <x:v>7.2690000000000001</x:v>
      </x:c>
      <x:c r="AG233" s="1">
        <x:v>19590</x:v>
      </x:c>
      <x:c r="AH233" s="1"/>
      <x:c r="AI233" s="1" t="s">
        <x:v>264</x:v>
      </x:c>
      <x:c r="AJ233" s="1" t="s">
        <x:v>20</x:v>
      </x:c>
      <x:c r="AK233" s="1">
        <x:v>8.1829999999999998</x:v>
      </x:c>
      <x:c r="AL233" s="1">
        <x:v>35220</x:v>
      </x:c>
      <x:c r="AM233" s="1"/>
      <x:c r="AN233" s="1"/>
      <x:c r="AO233" s="1"/>
      <x:c r="AP233" s="1"/>
      <x:c r="AQ233" s="1"/>
      <x:c r="AR233" s="1"/>
    </x:row>
    <x:row r="234">
      <x:c r="A234" s="1"/>
      <x:c r="B234" s="1"/>
      <x:c r="C234" s="1"/>
      <x:c r="D234" s="1"/>
      <x:c r="E234" s="1"/>
      <x:c r="F234" s="1"/>
      <x:c r="G234" s="1"/>
      <x:c r="H234" s="1"/>
      <x:c r="I234" s="1"/>
      <x:c r="J234" s="1"/>
      <x:c r="K234" s="1"/>
      <x:c r="L234" s="1"/>
      <x:c r="M234" s="1"/>
      <x:c r="N234" s="1"/>
      <x:c r="O234" s="1"/>
      <x:c r="P234" s="1"/>
      <x:c r="Q234" s="1"/>
      <x:c r="R234" s="1"/>
      <x:c r="S234" s="1"/>
      <x:c r="T234" s="1"/>
      <x:c r="U234" s="1"/>
      <x:c r="V234" s="1"/>
      <x:c r="W234" s="1"/>
      <x:c r="X234" s="1"/>
      <x:c r="Y234" s="1"/>
      <x:c r="Z234" s="1"/>
      <x:c r="AA234" s="1"/>
      <x:c r="AB234" s="1"/>
      <x:c r="AC234" s="1"/>
      <x:c r="AD234" s="1" t="s">
        <x:v>417</x:v>
      </x:c>
      <x:c r="AE234" s="1" t="s">
        <x:v>34</x:v>
      </x:c>
      <x:c r="AF234" s="1">
        <x:v>7.1980000000000004</x:v>
      </x:c>
      <x:c r="AG234" s="1">
        <x:v>8010</x:v>
      </x:c>
      <x:c r="AH234" s="1"/>
      <x:c r="AI234" s="1" t="s">
        <x:v>265</x:v>
      </x:c>
      <x:c r="AJ234" s="1" t="s">
        <x:v>27</x:v>
      </x:c>
      <x:c r="AK234" s="1">
        <x:v>7.9560000000000004</x:v>
      </x:c>
      <x:c r="AL234" s="1">
        <x:v>198580</x:v>
      </x:c>
      <x:c r="AM234" s="1"/>
      <x:c r="AN234" s="1"/>
      <x:c r="AO234" s="1"/>
      <x:c r="AP234" s="1"/>
      <x:c r="AQ234" s="1"/>
      <x:c r="AR234" s="1"/>
    </x:row>
    <x:row r="235">
      <x:c r="A235" s="1"/>
      <x:c r="B235" s="1"/>
      <x:c r="C235" s="1"/>
      <x:c r="D235" s="1"/>
      <x:c r="E235" s="1"/>
      <x:c r="F235" s="1"/>
      <x:c r="G235" s="1"/>
      <x:c r="H235" s="1"/>
      <x:c r="I235" s="1"/>
      <x:c r="J235" s="1"/>
      <x:c r="K235" s="1"/>
      <x:c r="L235" s="1"/>
      <x:c r="M235" s="1"/>
      <x:c r="N235" s="1"/>
      <x:c r="O235" s="1"/>
      <x:c r="P235" s="1"/>
      <x:c r="Q235" s="1"/>
      <x:c r="R235" s="1"/>
      <x:c r="S235" s="1"/>
      <x:c r="T235" s="1"/>
      <x:c r="U235" s="1"/>
      <x:c r="V235" s="1"/>
      <x:c r="W235" s="1"/>
      <x:c r="X235" s="1"/>
      <x:c r="Y235" s="1"/>
      <x:c r="Z235" s="1"/>
      <x:c r="AA235" s="1"/>
      <x:c r="AB235" s="1"/>
      <x:c r="AC235" s="1"/>
      <x:c r="AD235" s="1" t="s">
        <x:v>418</x:v>
      </x:c>
      <x:c r="AE235" s="1" t="s">
        <x:v>38</x:v>
      </x:c>
      <x:c r="AF235" s="1">
        <x:v>7.101</x:v>
      </x:c>
      <x:c r="AG235" s="1">
        <x:v>33930</x:v>
      </x:c>
      <x:c r="AH235" s="1"/>
      <x:c r="AI235" s="1" t="s">
        <x:v>266</x:v>
      </x:c>
      <x:c r="AJ235" s="1" t="s">
        <x:v>39</x:v>
      </x:c>
      <x:c r="AK235" s="1">
        <x:v>7.681</x:v>
      </x:c>
      <x:c r="AL235" s="1">
        <x:v>92210</x:v>
      </x:c>
      <x:c r="AM235" s="1"/>
      <x:c r="AN235" s="1"/>
      <x:c r="AO235" s="1"/>
      <x:c r="AP235" s="1"/>
      <x:c r="AQ235" s="1"/>
      <x:c r="AR235" s="1"/>
    </x:row>
    <x:row r="236">
      <x:c r="A236" s="1"/>
      <x:c r="B236" s="1"/>
      <x:c r="C236" s="1"/>
      <x:c r="D236" s="1"/>
      <x:c r="E236" s="1"/>
      <x:c r="F236" s="1"/>
      <x:c r="G236" s="1"/>
      <x:c r="H236" s="1"/>
      <x:c r="I236" s="1"/>
      <x:c r="J236" s="1"/>
      <x:c r="K236" s="1"/>
      <x:c r="L236" s="1"/>
      <x:c r="M236" s="1"/>
      <x:c r="N236" s="1"/>
      <x:c r="O236" s="1"/>
      <x:c r="P236" s="1"/>
      <x:c r="Q236" s="1"/>
      <x:c r="R236" s="1"/>
      <x:c r="S236" s="1"/>
      <x:c r="T236" s="1"/>
      <x:c r="U236" s="1"/>
      <x:c r="V236" s="1"/>
      <x:c r="W236" s="1"/>
      <x:c r="X236" s="1"/>
      <x:c r="Y236" s="1"/>
      <x:c r="Z236" s="1"/>
      <x:c r="AA236" s="1"/>
      <x:c r="AB236" s="1"/>
      <x:c r="AC236" s="1"/>
      <x:c r="AD236" s="1" t="s">
        <x:v>419</x:v>
      </x:c>
      <x:c r="AE236" s="1" t="s">
        <x:v>182</x:v>
      </x:c>
      <x:c r="AF236" s="1">
        <x:v>6.9989999999999997</x:v>
      </x:c>
      <x:c r="AG236" s="1">
        <x:v>6030</x:v>
      </x:c>
      <x:c r="AH236" s="1"/>
      <x:c r="AI236" s="1" t="s">
        <x:v>267</x:v>
      </x:c>
      <x:c r="AJ236" s="1" t="s">
        <x:v>35</x:v>
      </x:c>
      <x:c r="AK236" s="1">
        <x:v>7.6680000000000001</x:v>
      </x:c>
      <x:c r="AL236" s="1">
        <x:v>100130</x:v>
      </x:c>
      <x:c r="AM236" s="1"/>
      <x:c r="AN236" s="1"/>
      <x:c r="AO236" s="1"/>
      <x:c r="AP236" s="1"/>
      <x:c r="AQ236" s="1"/>
      <x:c r="AR236" s="1"/>
    </x:row>
    <x:row r="237">
      <x:c r="A237" s="1"/>
      <x:c r="B237" s="1"/>
      <x:c r="C237" s="1"/>
      <x:c r="D237" s="1"/>
      <x:c r="E237" s="1"/>
      <x:c r="F237" s="1"/>
      <x:c r="G237" s="1"/>
      <x:c r="H237" s="1"/>
      <x:c r="I237" s="1"/>
      <x:c r="J237" s="1"/>
      <x:c r="K237" s="1"/>
      <x:c r="L237" s="1"/>
      <x:c r="M237" s="1"/>
      <x:c r="N237" s="1"/>
      <x:c r="O237" s="1"/>
      <x:c r="P237" s="1"/>
      <x:c r="Q237" s="1"/>
      <x:c r="R237" s="1"/>
      <x:c r="S237" s="1"/>
      <x:c r="T237" s="1"/>
      <x:c r="U237" s="1"/>
      <x:c r="V237" s="1"/>
      <x:c r="W237" s="1"/>
      <x:c r="X237" s="1"/>
      <x:c r="Y237" s="1"/>
      <x:c r="Z237" s="1"/>
      <x:c r="AA237" s="1"/>
      <x:c r="AB237" s="1"/>
      <x:c r="AC237" s="1"/>
      <x:c r="AD237" s="1" t="s">
        <x:v>420</x:v>
      </x:c>
      <x:c r="AE237" s="1" t="s">
        <x:v>10</x:v>
      </x:c>
      <x:c r="AF237" s="1">
        <x:v>11.654999999999999</x:v>
      </x:c>
      <x:c r="AG237" s="1">
        <x:v>45110</x:v>
      </x:c>
      <x:c r="AH237" s="1"/>
      <x:c r="AI237" s="1" t="s">
        <x:v>268</x:v>
      </x:c>
      <x:c r="AJ237" s="1" t="s">
        <x:v>43</x:v>
      </x:c>
      <x:c r="AK237" s="1">
        <x:v>7.6470000000000002</x:v>
      </x:c>
      <x:c r="AL237" s="1">
        <x:v>10730</x:v>
      </x:c>
      <x:c r="AM237" s="1"/>
      <x:c r="AN237" s="1"/>
      <x:c r="AO237" s="1"/>
      <x:c r="AP237" s="1"/>
      <x:c r="AQ237" s="1"/>
      <x:c r="AR237" s="1"/>
    </x:row>
    <x:row r="238">
      <x:c r="A238" s="1"/>
      <x:c r="B238" s="1"/>
      <x:c r="C238" s="1"/>
      <x:c r="D238" s="1"/>
      <x:c r="E238" s="1"/>
      <x:c r="F238" s="1"/>
      <x:c r="G238" s="1"/>
      <x:c r="H238" s="1"/>
      <x:c r="I238" s="1"/>
      <x:c r="J238" s="1"/>
      <x:c r="K238" s="1"/>
      <x:c r="L238" s="1"/>
      <x:c r="M238" s="1"/>
      <x:c r="N238" s="1"/>
      <x:c r="O238" s="1"/>
      <x:c r="P238" s="1"/>
      <x:c r="Q238" s="1"/>
      <x:c r="R238" s="1"/>
      <x:c r="S238" s="1"/>
      <x:c r="T238" s="1"/>
      <x:c r="U238" s="1"/>
      <x:c r="V238" s="1"/>
      <x:c r="W238" s="1"/>
      <x:c r="X238" s="1"/>
      <x:c r="Y238" s="1"/>
      <x:c r="Z238" s="1"/>
      <x:c r="AA238" s="1"/>
      <x:c r="AB238" s="1"/>
      <x:c r="AC238" s="1"/>
      <x:c r="AD238" s="1" t="s">
        <x:v>421</x:v>
      </x:c>
      <x:c r="AE238" s="1" t="s">
        <x:v>14</x:v>
      </x:c>
      <x:c r="AF238" s="1">
        <x:v>10.954000000000001</x:v>
      </x:c>
      <x:c r="AG238" s="1">
        <x:v>39440</x:v>
      </x:c>
      <x:c r="AH238" s="1"/>
      <x:c r="AI238" s="1" t="s">
        <x:v>270</x:v>
      </x:c>
      <x:c r="AJ238" s="1" t="s">
        <x:v>31</x:v>
      </x:c>
      <x:c r="AK238" s="1">
        <x:v>7.6139999999999999</x:v>
      </x:c>
      <x:c r="AL238" s="1">
        <x:v>212760</x:v>
      </x:c>
      <x:c r="AM238" s="1"/>
      <x:c r="AN238" s="1"/>
      <x:c r="AO238" s="1"/>
      <x:c r="AP238" s="1"/>
      <x:c r="AQ238" s="1"/>
      <x:c r="AR238" s="1"/>
    </x:row>
    <x:row r="239">
      <x:c r="A239" s="1"/>
      <x:c r="B239" s="1"/>
      <x:c r="C239" s="1"/>
      <x:c r="D239" s="1"/>
      <x:c r="E239" s="1"/>
      <x:c r="F239" s="1"/>
      <x:c r="G239" s="1"/>
      <x:c r="H239" s="1"/>
      <x:c r="I239" s="1"/>
      <x:c r="J239" s="1"/>
      <x:c r="K239" s="1"/>
      <x:c r="L239" s="1"/>
      <x:c r="M239" s="1"/>
      <x:c r="N239" s="1"/>
      <x:c r="O239" s="1"/>
      <x:c r="P239" s="1"/>
      <x:c r="Q239" s="1"/>
      <x:c r="R239" s="1"/>
      <x:c r="S239" s="1"/>
      <x:c r="T239" s="1"/>
      <x:c r="U239" s="1"/>
      <x:c r="V239" s="1"/>
      <x:c r="W239" s="1"/>
      <x:c r="X239" s="1"/>
      <x:c r="Y239" s="1"/>
      <x:c r="Z239" s="1"/>
      <x:c r="AA239" s="1"/>
      <x:c r="AB239" s="1"/>
      <x:c r="AC239" s="1"/>
      <x:c r="AD239" s="1" t="s">
        <x:v>422</x:v>
      </x:c>
      <x:c r="AE239" s="1" t="s">
        <x:v>19</x:v>
      </x:c>
      <x:c r="AF239" s="1">
        <x:v>9.7439999999999998</x:v>
      </x:c>
      <x:c r="AG239" s="1">
        <x:v>18800</x:v>
      </x:c>
      <x:c r="AH239" s="1"/>
      <x:c r="AI239" s="1" t="s">
        <x:v>272</x:v>
      </x:c>
      <x:c r="AJ239" s="1" t="s">
        <x:v>47</x:v>
      </x:c>
      <x:c r="AK239" s="1">
        <x:v>7.1379999999999999</x:v>
      </x:c>
      <x:c r="AL239" s="1">
        <x:v>175610</x:v>
      </x:c>
      <x:c r="AM239" s="1"/>
      <x:c r="AN239" s="1"/>
      <x:c r="AO239" s="1"/>
      <x:c r="AP239" s="1"/>
      <x:c r="AQ239" s="1"/>
      <x:c r="AR239" s="1"/>
    </x:row>
    <x:row r="240">
      <x:c r="A240" s="1"/>
      <x:c r="B240" s="1"/>
      <x:c r="C240" s="1"/>
      <x:c r="D240" s="1"/>
      <x:c r="E240" s="1"/>
      <x:c r="F240" s="1"/>
      <x:c r="G240" s="1"/>
      <x:c r="H240" s="1"/>
      <x:c r="I240" s="1"/>
      <x:c r="J240" s="1"/>
      <x:c r="K240" s="1"/>
      <x:c r="L240" s="1"/>
      <x:c r="M240" s="1"/>
      <x:c r="N240" s="1"/>
      <x:c r="O240" s="1"/>
      <x:c r="P240" s="1"/>
      <x:c r="Q240" s="1"/>
      <x:c r="R240" s="1"/>
      <x:c r="S240" s="1"/>
      <x:c r="T240" s="1"/>
      <x:c r="U240" s="1"/>
      <x:c r="V240" s="1"/>
      <x:c r="W240" s="1"/>
      <x:c r="X240" s="1"/>
      <x:c r="Y240" s="1"/>
      <x:c r="Z240" s="1"/>
      <x:c r="AA240" s="1"/>
      <x:c r="AB240" s="1"/>
      <x:c r="AC240" s="1"/>
      <x:c r="AD240" s="1" t="s">
        <x:v>423</x:v>
      </x:c>
      <x:c r="AE240" s="1" t="s">
        <x:v>20</x:v>
      </x:c>
      <x:c r="AF240" s="1">
        <x:v>9.2959999999999994</x:v>
      </x:c>
      <x:c r="AG240" s="1">
        <x:v>87090</x:v>
      </x:c>
      <x:c r="AH240" s="1"/>
      <x:c r="AI240" s="1" t="s">
        <x:v>274</x:v>
      </x:c>
      <x:c r="AJ240" s="1" t="s">
        <x:v>51</x:v>
      </x:c>
      <x:c r="AK240" s="1">
        <x:v>7.0419999999999998</x:v>
      </x:c>
      <x:c r="AL240" s="1">
        <x:v>198740</x:v>
      </x:c>
      <x:c r="AM240" s="1"/>
      <x:c r="AN240" s="1"/>
      <x:c r="AO240" s="1"/>
      <x:c r="AP240" s="1"/>
      <x:c r="AQ240" s="1"/>
      <x:c r="AR240" s="1"/>
    </x:row>
    <x:row r="241">
      <x:c r="A241" s="1"/>
      <x:c r="B241" s="1"/>
      <x:c r="C241" s="1"/>
      <x:c r="D241" s="1"/>
      <x:c r="E241" s="1"/>
      <x:c r="F241" s="1"/>
      <x:c r="G241" s="1"/>
      <x:c r="H241" s="1"/>
      <x:c r="I241" s="1"/>
      <x:c r="J241" s="1"/>
      <x:c r="K241" s="1"/>
      <x:c r="L241" s="1"/>
      <x:c r="M241" s="1"/>
      <x:c r="N241" s="1"/>
      <x:c r="O241" s="1"/>
      <x:c r="P241" s="1"/>
      <x:c r="Q241" s="1"/>
      <x:c r="R241" s="1"/>
      <x:c r="S241" s="1"/>
      <x:c r="T241" s="1"/>
      <x:c r="U241" s="1"/>
      <x:c r="V241" s="1"/>
      <x:c r="W241" s="1"/>
      <x:c r="X241" s="1"/>
      <x:c r="Y241" s="1"/>
      <x:c r="Z241" s="1"/>
      <x:c r="AA241" s="1"/>
      <x:c r="AB241" s="1"/>
      <x:c r="AC241" s="1"/>
      <x:c r="AD241" s="1" t="s">
        <x:v>424</x:v>
      </x:c>
      <x:c r="AE241" s="1" t="s">
        <x:v>30</x:v>
      </x:c>
      <x:c r="AF241" s="1">
        <x:v>9.1129999999999995</x:v>
      </x:c>
      <x:c r="AG241" s="1">
        <x:v>9930</x:v>
      </x:c>
      <x:c r="AH241" s="1"/>
      <x:c r="AI241" s="1" t="s">
        <x:v>425</x:v>
      </x:c>
      <x:c r="AJ241" s="1" t="s">
        <x:v>55</x:v>
      </x:c>
      <x:c r="AK241" s="1">
        <x:v>7.0339999999999998</x:v>
      </x:c>
      <x:c r="AL241" s="1">
        <x:v>108850</x:v>
      </x:c>
      <x:c r="AM241" s="1"/>
      <x:c r="AN241" s="1"/>
      <x:c r="AO241" s="1"/>
      <x:c r="AP241" s="1"/>
      <x:c r="AQ241" s="1"/>
      <x:c r="AR241" s="1"/>
    </x:row>
    <x:row r="242">
      <x:c r="A242" s="1"/>
      <x:c r="B242" s="1"/>
      <x:c r="C242" s="1"/>
      <x:c r="D242" s="1"/>
      <x:c r="E242" s="1"/>
      <x:c r="F242" s="1"/>
      <x:c r="G242" s="1"/>
      <x:c r="H242" s="1"/>
      <x:c r="I242" s="1"/>
      <x:c r="J242" s="1"/>
      <x:c r="K242" s="1"/>
      <x:c r="L242" s="1"/>
      <x:c r="M242" s="1"/>
      <x:c r="N242" s="1"/>
      <x:c r="O242" s="1"/>
      <x:c r="P242" s="1"/>
      <x:c r="Q242" s="1"/>
      <x:c r="R242" s="1"/>
      <x:c r="S242" s="1"/>
      <x:c r="T242" s="1"/>
      <x:c r="U242" s="1"/>
      <x:c r="V242" s="1"/>
      <x:c r="W242" s="1"/>
      <x:c r="X242" s="1"/>
      <x:c r="Y242" s="1"/>
      <x:c r="Z242" s="1"/>
      <x:c r="AA242" s="1"/>
      <x:c r="AB242" s="1"/>
      <x:c r="AC242" s="1"/>
      <x:c r="AD242" s="1" t="s">
        <x:v>426</x:v>
      </x:c>
      <x:c r="AE242" s="1" t="s">
        <x:v>34</x:v>
      </x:c>
      <x:c r="AF242" s="1">
        <x:v>8.6349999999999998</x:v>
      </x:c>
      <x:c r="AG242" s="1">
        <x:v>17990</x:v>
      </x:c>
      <x:c r="AH242" s="1"/>
      <x:c r="AI242" s="1" t="s">
        <x:v>427</x:v>
      </x:c>
      <x:c r="AJ242" s="1" t="s">
        <x:v>59</x:v>
      </x:c>
      <x:c r="AK242" s="1">
        <x:v>6.7910000000000004</x:v>
      </x:c>
      <x:c r="AL242" s="1">
        <x:v>190440</x:v>
      </x:c>
      <x:c r="AM242" s="1"/>
      <x:c r="AN242" s="1"/>
      <x:c r="AO242" s="1"/>
      <x:c r="AP242" s="1"/>
      <x:c r="AQ242" s="1"/>
      <x:c r="AR242" s="1"/>
    </x:row>
    <x:row r="243">
      <x:c r="A243" s="1"/>
      <x:c r="B243" s="1"/>
      <x:c r="C243" s="1"/>
      <x:c r="D243" s="1"/>
      <x:c r="E243" s="1"/>
      <x:c r="F243" s="1"/>
      <x:c r="G243" s="1"/>
      <x:c r="H243" s="1"/>
      <x:c r="I243" s="1"/>
      <x:c r="J243" s="1"/>
      <x:c r="K243" s="1"/>
      <x:c r="L243" s="1"/>
      <x:c r="M243" s="1"/>
      <x:c r="N243" s="1"/>
      <x:c r="O243" s="1"/>
      <x:c r="P243" s="1"/>
      <x:c r="Q243" s="1"/>
      <x:c r="R243" s="1"/>
      <x:c r="S243" s="1"/>
      <x:c r="T243" s="1"/>
      <x:c r="U243" s="1"/>
      <x:c r="V243" s="1"/>
      <x:c r="W243" s="1"/>
      <x:c r="X243" s="1"/>
      <x:c r="Y243" s="1"/>
      <x:c r="Z243" s="1"/>
      <x:c r="AA243" s="1"/>
      <x:c r="AB243" s="1"/>
      <x:c r="AC243" s="1"/>
      <x:c r="AD243" s="1" t="s">
        <x:v>428</x:v>
      </x:c>
      <x:c r="AE243" s="1" t="s">
        <x:v>46</x:v>
      </x:c>
      <x:c r="AF243" s="1">
        <x:v>8.4480000000000004</x:v>
      </x:c>
      <x:c r="AG243" s="1">
        <x:v>27590</x:v>
      </x:c>
      <x:c r="AH243" s="1"/>
      <x:c r="AI243" s="1" t="s">
        <x:v>429</x:v>
      </x:c>
      <x:c r="AJ243" s="1" t="s">
        <x:v>63</x:v>
      </x:c>
      <x:c r="AK243" s="1">
        <x:v>6.4059999999999997</x:v>
      </x:c>
      <x:c r="AL243" s="1">
        <x:v>242030</x:v>
      </x:c>
      <x:c r="AM243" s="1"/>
      <x:c r="AN243" s="1"/>
      <x:c r="AO243" s="1"/>
      <x:c r="AP243" s="1"/>
      <x:c r="AQ243" s="1"/>
      <x:c r="AR243" s="1"/>
    </x:row>
    <x:row r="244">
      <x:c r="A244" s="1"/>
      <x:c r="B244" s="1"/>
      <x:c r="C244" s="1"/>
      <x:c r="D244" s="1"/>
      <x:c r="E244" s="1"/>
      <x:c r="F244" s="1"/>
      <x:c r="G244" s="1"/>
      <x:c r="H244" s="1"/>
      <x:c r="I244" s="1"/>
      <x:c r="J244" s="1"/>
      <x:c r="K244" s="1"/>
      <x:c r="L244" s="1"/>
      <x:c r="M244" s="1"/>
      <x:c r="N244" s="1"/>
      <x:c r="O244" s="1"/>
      <x:c r="P244" s="1"/>
      <x:c r="Q244" s="1"/>
      <x:c r="R244" s="1"/>
      <x:c r="S244" s="1"/>
      <x:c r="T244" s="1"/>
      <x:c r="U244" s="1"/>
      <x:c r="V244" s="1"/>
      <x:c r="W244" s="1"/>
      <x:c r="X244" s="1"/>
      <x:c r="Y244" s="1"/>
      <x:c r="Z244" s="1"/>
      <x:c r="AA244" s="1"/>
      <x:c r="AB244" s="1"/>
      <x:c r="AC244" s="1"/>
      <x:c r="AD244" s="1" t="s">
        <x:v>430</x:v>
      </x:c>
      <x:c r="AE244" s="1" t="s">
        <x:v>50</x:v>
      </x:c>
      <x:c r="AF244" s="1">
        <x:v>8.4130000000000003</x:v>
      </x:c>
      <x:c r="AG244" s="1">
        <x:v>43120</x:v>
      </x:c>
      <x:c r="AH244" s="1"/>
      <x:c r="AI244" s="1" t="s">
        <x:v>431</x:v>
      </x:c>
      <x:c r="AJ244" s="1" t="s">
        <x:v>71</x:v>
      </x:c>
      <x:c r="AK244" s="1">
        <x:v>6.2380000000000004</x:v>
      </x:c>
      <x:c r="AL244" s="1">
        <x:v>355550</x:v>
      </x:c>
      <x:c r="AM244" s="1"/>
      <x:c r="AN244" s="1"/>
      <x:c r="AO244" s="1"/>
      <x:c r="AP244" s="1"/>
      <x:c r="AQ244" s="1"/>
      <x:c r="AR244" s="1"/>
    </x:row>
    <x:row r="245">
      <x:c r="A245" s="1"/>
      <x:c r="B245" s="1"/>
      <x:c r="C245" s="1"/>
      <x:c r="D245" s="1"/>
      <x:c r="E245" s="1"/>
      <x:c r="F245" s="1"/>
      <x:c r="G245" s="1"/>
      <x:c r="H245" s="1"/>
      <x:c r="I245" s="1"/>
      <x:c r="J245" s="1"/>
      <x:c r="K245" s="1"/>
      <x:c r="L245" s="1"/>
      <x:c r="M245" s="1"/>
      <x:c r="N245" s="1"/>
      <x:c r="O245" s="1"/>
      <x:c r="P245" s="1"/>
      <x:c r="Q245" s="1"/>
      <x:c r="R245" s="1"/>
      <x:c r="S245" s="1"/>
      <x:c r="T245" s="1"/>
      <x:c r="U245" s="1"/>
      <x:c r="V245" s="1"/>
      <x:c r="W245" s="1"/>
      <x:c r="X245" s="1"/>
      <x:c r="Y245" s="1"/>
      <x:c r="Z245" s="1"/>
      <x:c r="AA245" s="1"/>
      <x:c r="AB245" s="1"/>
      <x:c r="AC245" s="1"/>
      <x:c r="AD245" s="1" t="s">
        <x:v>432</x:v>
      </x:c>
      <x:c r="AE245" s="1" t="s">
        <x:v>38</x:v>
      </x:c>
      <x:c r="AF245" s="1">
        <x:v>8.3640000000000008</x:v>
      </x:c>
      <x:c r="AG245" s="1">
        <x:v>75250</x:v>
      </x:c>
      <x:c r="AH245" s="1"/>
      <x:c r="AI245" s="1" t="s">
        <x:v>433</x:v>
      </x:c>
      <x:c r="AJ245" s="1" t="s">
        <x:v>79</x:v>
      </x:c>
      <x:c r="AK245" s="1">
        <x:v>5.8380000000000001</x:v>
      </x:c>
      <x:c r="AL245" s="1">
        <x:v>105590</x:v>
      </x:c>
      <x:c r="AM245" s="1"/>
      <x:c r="AN245" s="1"/>
      <x:c r="AO245" s="1"/>
      <x:c r="AP245" s="1"/>
      <x:c r="AQ245" s="1"/>
      <x:c r="AR245" s="1"/>
    </x:row>
    <x:row r="246">
      <x:c r="A246" s="1"/>
      <x:c r="B246" s="1"/>
      <x:c r="C246" s="1"/>
      <x:c r="D246" s="1"/>
      <x:c r="E246" s="1"/>
      <x:c r="F246" s="1"/>
      <x:c r="G246" s="1"/>
      <x:c r="H246" s="1"/>
      <x:c r="I246" s="1"/>
      <x:c r="J246" s="1"/>
      <x:c r="K246" s="1"/>
      <x:c r="L246" s="1"/>
      <x:c r="M246" s="1"/>
      <x:c r="N246" s="1"/>
      <x:c r="O246" s="1"/>
      <x:c r="P246" s="1"/>
      <x:c r="Q246" s="1"/>
      <x:c r="R246" s="1"/>
      <x:c r="S246" s="1"/>
      <x:c r="T246" s="1"/>
      <x:c r="U246" s="1"/>
      <x:c r="V246" s="1"/>
      <x:c r="W246" s="1"/>
      <x:c r="X246" s="1"/>
      <x:c r="Y246" s="1"/>
      <x:c r="Z246" s="1"/>
      <x:c r="AA246" s="1"/>
      <x:c r="AB246" s="1"/>
      <x:c r="AC246" s="1"/>
      <x:c r="AD246" s="1" t="s">
        <x:v>434</x:v>
      </x:c>
      <x:c r="AE246" s="1" t="s">
        <x:v>97</x:v>
      </x:c>
      <x:c r="AF246" s="1">
        <x:v>8.2720000000000002</x:v>
      </x:c>
      <x:c r="AG246" s="1">
        <x:v>21330</x:v>
      </x:c>
      <x:c r="AH246" s="1"/>
      <x:c r="AI246" s="1" t="s">
        <x:v>435</x:v>
      </x:c>
      <x:c r="AJ246" s="1" t="s">
        <x:v>67</x:v>
      </x:c>
      <x:c r="AK246" s="1">
        <x:v>5.5140000000000002</x:v>
      </x:c>
      <x:c r="AL246" s="1">
        <x:v>4970</x:v>
      </x:c>
      <x:c r="AM246" s="1"/>
      <x:c r="AN246" s="1"/>
      <x:c r="AO246" s="1"/>
      <x:c r="AP246" s="1"/>
      <x:c r="AQ246" s="1"/>
      <x:c r="AR246" s="1"/>
    </x:row>
    <x:row r="247">
      <x:c r="A247" s="1"/>
      <x:c r="B247" s="1"/>
      <x:c r="C247" s="1"/>
      <x:c r="D247" s="1"/>
      <x:c r="E247" s="1"/>
      <x:c r="F247" s="1"/>
      <x:c r="G247" s="1"/>
      <x:c r="H247" s="1"/>
      <x:c r="I247" s="1"/>
      <x:c r="J247" s="1"/>
      <x:c r="K247" s="1"/>
      <x:c r="L247" s="1"/>
      <x:c r="M247" s="1"/>
      <x:c r="N247" s="1"/>
      <x:c r="O247" s="1"/>
      <x:c r="P247" s="1"/>
      <x:c r="Q247" s="1"/>
      <x:c r="R247" s="1"/>
      <x:c r="S247" s="1"/>
      <x:c r="T247" s="1"/>
      <x:c r="U247" s="1"/>
      <x:c r="V247" s="1"/>
      <x:c r="W247" s="1"/>
      <x:c r="X247" s="1"/>
      <x:c r="Y247" s="1"/>
      <x:c r="Z247" s="1"/>
      <x:c r="AA247" s="1"/>
      <x:c r="AB247" s="1"/>
      <x:c r="AC247" s="1"/>
      <x:c r="AD247" s="1" t="s">
        <x:v>436</x:v>
      </x:c>
      <x:c r="AE247" s="1" t="s">
        <x:v>19</x:v>
      </x:c>
      <x:c r="AF247" s="1">
        <x:v>11.256</x:v>
      </x:c>
      <x:c r="AG247" s="1">
        <x:v>10320</x:v>
      </x:c>
      <x:c r="AH247" s="1"/>
      <x:c r="AI247" s="1" t="s">
        <x:v>437</x:v>
      </x:c>
      <x:c r="AJ247" s="1" t="s">
        <x:v>83</x:v>
      </x:c>
      <x:c r="AK247" s="1">
        <x:v>5.16</x:v>
      </x:c>
      <x:c r="AL247" s="1">
        <x:v>81720</x:v>
      </x:c>
      <x:c r="AM247" s="1"/>
      <x:c r="AN247" s="1"/>
      <x:c r="AO247" s="1"/>
      <x:c r="AP247" s="1"/>
      <x:c r="AQ247" s="1"/>
      <x:c r="AR247" s="1"/>
    </x:row>
    <x:row r="248">
      <x:c r="A248" s="1"/>
      <x:c r="B248" s="1"/>
      <x:c r="C248" s="1"/>
      <x:c r="D248" s="1"/>
      <x:c r="E248" s="1"/>
      <x:c r="F248" s="1"/>
      <x:c r="G248" s="1"/>
      <x:c r="H248" s="1"/>
      <x:c r="I248" s="1"/>
      <x:c r="J248" s="1"/>
      <x:c r="K248" s="1"/>
      <x:c r="L248" s="1"/>
      <x:c r="M248" s="1"/>
      <x:c r="N248" s="1"/>
      <x:c r="O248" s="1"/>
      <x:c r="P248" s="1"/>
      <x:c r="Q248" s="1"/>
      <x:c r="R248" s="1"/>
      <x:c r="S248" s="1"/>
      <x:c r="T248" s="1"/>
      <x:c r="U248" s="1"/>
      <x:c r="V248" s="1"/>
      <x:c r="W248" s="1"/>
      <x:c r="X248" s="1"/>
      <x:c r="Y248" s="1"/>
      <x:c r="Z248" s="1"/>
      <x:c r="AA248" s="1"/>
      <x:c r="AB248" s="1"/>
      <x:c r="AC248" s="1"/>
      <x:c r="AD248" s="1" t="s">
        <x:v>438</x:v>
      </x:c>
      <x:c r="AE248" s="1" t="s">
        <x:v>10</x:v>
      </x:c>
      <x:c r="AF248" s="1">
        <x:v>11.026999999999999</x:v>
      </x:c>
      <x:c r="AG248" s="1">
        <x:v>19220</x:v>
      </x:c>
      <x:c r="AH248" s="1"/>
      <x:c r="AI248" s="1" t="s">
        <x:v>439</x:v>
      </x:c>
      <x:c r="AJ248" s="1" t="s">
        <x:v>75</x:v>
      </x:c>
      <x:c r="AK248" s="1">
        <x:v>5.0330000000000004</x:v>
      </x:c>
      <x:c r="AL248" s="1">
        <x:v>2560</x:v>
      </x:c>
      <x:c r="AM248" s="1"/>
      <x:c r="AN248" s="1"/>
      <x:c r="AO248" s="1"/>
      <x:c r="AP248" s="1"/>
      <x:c r="AQ248" s="1"/>
      <x:c r="AR248" s="1"/>
    </x:row>
    <x:row r="249">
      <x:c r="A249" s="1"/>
      <x:c r="B249" s="1"/>
      <x:c r="C249" s="1"/>
      <x:c r="D249" s="1"/>
      <x:c r="E249" s="1"/>
      <x:c r="F249" s="1"/>
      <x:c r="G249" s="1"/>
      <x:c r="H249" s="1"/>
      <x:c r="I249" s="1"/>
      <x:c r="J249" s="1"/>
      <x:c r="K249" s="1"/>
      <x:c r="L249" s="1"/>
      <x:c r="M249" s="1"/>
      <x:c r="N249" s="1"/>
      <x:c r="O249" s="1"/>
      <x:c r="P249" s="1"/>
      <x:c r="Q249" s="1"/>
      <x:c r="R249" s="1"/>
      <x:c r="S249" s="1"/>
      <x:c r="T249" s="1"/>
      <x:c r="U249" s="1"/>
      <x:c r="V249" s="1"/>
      <x:c r="W249" s="1"/>
      <x:c r="X249" s="1"/>
      <x:c r="Y249" s="1"/>
      <x:c r="Z249" s="1"/>
      <x:c r="AA249" s="1"/>
      <x:c r="AB249" s="1"/>
      <x:c r="AC249" s="1"/>
      <x:c r="AD249" s="1" t="s">
        <x:v>440</x:v>
      </x:c>
      <x:c r="AE249" s="1" t="s">
        <x:v>14</x:v>
      </x:c>
      <x:c r="AF249" s="1">
        <x:v>10.584</x:v>
      </x:c>
      <x:c r="AG249" s="1">
        <x:v>17050</x:v>
      </x:c>
      <x:c r="AH249" s="1"/>
      <x:c r="AI249" s="1" t="s">
        <x:v>276</x:v>
      </x:c>
      <x:c r="AJ249" s="1" t="s">
        <x:v>10</x:v>
      </x:c>
      <x:c r="AK249" s="1">
        <x:v>11.478999999999999</x:v>
      </x:c>
      <x:c r="AL249" s="1">
        <x:v>24170</x:v>
      </x:c>
      <x:c r="AM249" s="1"/>
      <x:c r="AN249" s="1"/>
      <x:c r="AO249" s="1"/>
      <x:c r="AP249" s="1"/>
      <x:c r="AQ249" s="1"/>
      <x:c r="AR249" s="1"/>
    </x:row>
    <x:row r="250">
      <x:c r="A250" s="1"/>
      <x:c r="B250" s="1"/>
      <x:c r="C250" s="1"/>
      <x:c r="D250" s="1"/>
      <x:c r="E250" s="1"/>
      <x:c r="F250" s="1"/>
      <x:c r="G250" s="1"/>
      <x:c r="H250" s="1"/>
      <x:c r="I250" s="1"/>
      <x:c r="J250" s="1"/>
      <x:c r="K250" s="1"/>
      <x:c r="L250" s="1"/>
      <x:c r="M250" s="1"/>
      <x:c r="N250" s="1"/>
      <x:c r="O250" s="1"/>
      <x:c r="P250" s="1"/>
      <x:c r="Q250" s="1"/>
      <x:c r="R250" s="1"/>
      <x:c r="S250" s="1"/>
      <x:c r="T250" s="1"/>
      <x:c r="U250" s="1"/>
      <x:c r="V250" s="1"/>
      <x:c r="W250" s="1"/>
      <x:c r="X250" s="1"/>
      <x:c r="Y250" s="1"/>
      <x:c r="Z250" s="1"/>
      <x:c r="AA250" s="1"/>
      <x:c r="AB250" s="1"/>
      <x:c r="AC250" s="1"/>
      <x:c r="AD250" s="1" t="s">
        <x:v>441</x:v>
      </x:c>
      <x:c r="AE250" s="1" t="s">
        <x:v>30</x:v>
      </x:c>
      <x:c r="AF250" s="1">
        <x:v>10.538</x:v>
      </x:c>
      <x:c r="AG250" s="1">
        <x:v>5510</x:v>
      </x:c>
      <x:c r="AH250" s="1"/>
      <x:c r="AI250" s="1" t="s">
        <x:v>278</x:v>
      </x:c>
      <x:c r="AJ250" s="1" t="s">
        <x:v>14</x:v>
      </x:c>
      <x:c r="AK250" s="1">
        <x:v>10.476000000000001</x:v>
      </x:c>
      <x:c r="AL250" s="1">
        <x:v>20820</x:v>
      </x:c>
      <x:c r="AM250" s="1"/>
      <x:c r="AN250" s="1"/>
      <x:c r="AO250" s="1"/>
      <x:c r="AP250" s="1"/>
      <x:c r="AQ250" s="1"/>
      <x:c r="AR250" s="1"/>
    </x:row>
    <x:row r="251">
      <x:c r="A251" s="1"/>
      <x:c r="B251" s="1"/>
      <x:c r="C251" s="1"/>
      <x:c r="D251" s="1"/>
      <x:c r="E251" s="1"/>
      <x:c r="F251" s="1"/>
      <x:c r="G251" s="1"/>
      <x:c r="H251" s="1"/>
      <x:c r="I251" s="1"/>
      <x:c r="J251" s="1"/>
      <x:c r="K251" s="1"/>
      <x:c r="L251" s="1"/>
      <x:c r="M251" s="1"/>
      <x:c r="N251" s="1"/>
      <x:c r="O251" s="1"/>
      <x:c r="P251" s="1"/>
      <x:c r="Q251" s="1"/>
      <x:c r="R251" s="1"/>
      <x:c r="S251" s="1"/>
      <x:c r="T251" s="1"/>
      <x:c r="U251" s="1"/>
      <x:c r="V251" s="1"/>
      <x:c r="W251" s="1"/>
      <x:c r="X251" s="1"/>
      <x:c r="Y251" s="1"/>
      <x:c r="Z251" s="1"/>
      <x:c r="AA251" s="1"/>
      <x:c r="AB251" s="1"/>
      <x:c r="AC251" s="1"/>
      <x:c r="AD251" s="1" t="s">
        <x:v>442</x:v>
      </x:c>
      <x:c r="AE251" s="1" t="s">
        <x:v>34</x:v>
      </x:c>
      <x:c r="AF251" s="1">
        <x:v>9.9280000000000008</x:v>
      </x:c>
      <x:c r="AG251" s="1">
        <x:v>9860</x:v>
      </x:c>
      <x:c r="AH251" s="1"/>
      <x:c r="AI251" s="1" t="s">
        <x:v>280</x:v>
      </x:c>
      <x:c r="AJ251" s="1" t="s">
        <x:v>20</x:v>
      </x:c>
      <x:c r="AK251" s="1">
        <x:v>8.8450000000000006</x:v>
      </x:c>
      <x:c r="AL251" s="1">
        <x:v>41630</x:v>
      </x:c>
      <x:c r="AM251" s="1"/>
      <x:c r="AN251" s="1"/>
      <x:c r="AO251" s="1"/>
      <x:c r="AP251" s="1"/>
      <x:c r="AQ251" s="1"/>
      <x:c r="AR251" s="1"/>
    </x:row>
    <x:row r="252">
      <x:c r="A252" s="1"/>
      <x:c r="B252" s="1"/>
      <x:c r="C252" s="1"/>
      <x:c r="D252" s="1"/>
      <x:c r="E252" s="1"/>
      <x:c r="F252" s="1"/>
      <x:c r="G252" s="1"/>
      <x:c r="H252" s="1"/>
      <x:c r="I252" s="1"/>
      <x:c r="J252" s="1"/>
      <x:c r="K252" s="1"/>
      <x:c r="L252" s="1"/>
      <x:c r="M252" s="1"/>
      <x:c r="N252" s="1"/>
      <x:c r="O252" s="1"/>
      <x:c r="P252" s="1"/>
      <x:c r="Q252" s="1"/>
      <x:c r="R252" s="1"/>
      <x:c r="S252" s="1"/>
      <x:c r="T252" s="1"/>
      <x:c r="U252" s="1"/>
      <x:c r="V252" s="1"/>
      <x:c r="W252" s="1"/>
      <x:c r="X252" s="1"/>
      <x:c r="Y252" s="1"/>
      <x:c r="Z252" s="1"/>
      <x:c r="AA252" s="1"/>
      <x:c r="AB252" s="1"/>
      <x:c r="AC252" s="1"/>
      <x:c r="AD252" s="1" t="s">
        <x:v>443</x:v>
      </x:c>
      <x:c r="AE252" s="1" t="s">
        <x:v>46</x:v>
      </x:c>
      <x:c r="AF252" s="1">
        <x:v>9.9019999999999992</x:v>
      </x:c>
      <x:c r="AG252" s="1">
        <x:v>15390</x:v>
      </x:c>
      <x:c r="AH252" s="1"/>
      <x:c r="AI252" s="1" t="s">
        <x:v>282</x:v>
      </x:c>
      <x:c r="AJ252" s="1" t="s">
        <x:v>31</x:v>
      </x:c>
      <x:c r="AK252" s="1">
        <x:v>6.1950000000000003</x:v>
      </x:c>
      <x:c r="AL252" s="1">
        <x:v>187600</x:v>
      </x:c>
      <x:c r="AM252" s="1"/>
      <x:c r="AN252" s="1"/>
      <x:c r="AO252" s="1"/>
      <x:c r="AP252" s="1"/>
      <x:c r="AQ252" s="1"/>
      <x:c r="AR252" s="1"/>
    </x:row>
    <x:row r="253">
      <x:c r="A253" s="1"/>
      <x:c r="B253" s="1"/>
      <x:c r="C253" s="1"/>
      <x:c r="D253" s="1"/>
      <x:c r="E253" s="1"/>
      <x:c r="F253" s="1"/>
      <x:c r="G253" s="1"/>
      <x:c r="H253" s="1"/>
      <x:c r="I253" s="1"/>
      <x:c r="J253" s="1"/>
      <x:c r="K253" s="1"/>
      <x:c r="L253" s="1"/>
      <x:c r="M253" s="1"/>
      <x:c r="N253" s="1"/>
      <x:c r="O253" s="1"/>
      <x:c r="P253" s="1"/>
      <x:c r="Q253" s="1"/>
      <x:c r="R253" s="1"/>
      <x:c r="S253" s="1"/>
      <x:c r="T253" s="1"/>
      <x:c r="U253" s="1"/>
      <x:c r="V253" s="1"/>
      <x:c r="W253" s="1"/>
      <x:c r="X253" s="1"/>
      <x:c r="Y253" s="1"/>
      <x:c r="Z253" s="1"/>
      <x:c r="AA253" s="1"/>
      <x:c r="AB253" s="1"/>
      <x:c r="AC253" s="1"/>
      <x:c r="AD253" s="1" t="s">
        <x:v>444</x:v>
      </x:c>
      <x:c r="AE253" s="1" t="s">
        <x:v>86</x:v>
      </x:c>
      <x:c r="AF253" s="1">
        <x:v>9.5459999999999994</x:v>
      </x:c>
      <x:c r="AG253" s="1">
        <x:v>13250</x:v>
      </x:c>
      <x:c r="AH253" s="1"/>
      <x:c r="AI253" s="1" t="s">
        <x:v>284</x:v>
      </x:c>
      <x:c r="AJ253" s="1" t="s">
        <x:v>27</x:v>
      </x:c>
      <x:c r="AK253" s="1">
        <x:v>6.1790000000000003</x:v>
      </x:c>
      <x:c r="AL253" s="1">
        <x:v>167390</x:v>
      </x:c>
      <x:c r="AM253" s="1"/>
      <x:c r="AN253" s="1"/>
      <x:c r="AO253" s="1"/>
      <x:c r="AP253" s="1"/>
      <x:c r="AQ253" s="1"/>
      <x:c r="AR253" s="1"/>
    </x:row>
    <x:row r="254">
      <x:c r="A254" s="1"/>
      <x:c r="B254" s="1"/>
      <x:c r="C254" s="1"/>
      <x:c r="D254" s="1"/>
      <x:c r="E254" s="1"/>
      <x:c r="F254" s="1"/>
      <x:c r="G254" s="1"/>
      <x:c r="H254" s="1"/>
      <x:c r="I254" s="1"/>
      <x:c r="J254" s="1"/>
      <x:c r="K254" s="1"/>
      <x:c r="L254" s="1"/>
      <x:c r="M254" s="1"/>
      <x:c r="N254" s="1"/>
      <x:c r="O254" s="1"/>
      <x:c r="P254" s="1"/>
      <x:c r="Q254" s="1"/>
      <x:c r="R254" s="1"/>
      <x:c r="S254" s="1"/>
      <x:c r="T254" s="1"/>
      <x:c r="U254" s="1"/>
      <x:c r="V254" s="1"/>
      <x:c r="W254" s="1"/>
      <x:c r="X254" s="1"/>
      <x:c r="Y254" s="1"/>
      <x:c r="Z254" s="1"/>
      <x:c r="AA254" s="1"/>
      <x:c r="AB254" s="1"/>
      <x:c r="AC254" s="1"/>
      <x:c r="AD254" s="1" t="s">
        <x:v>445</x:v>
      </x:c>
      <x:c r="AE254" s="1" t="s">
        <x:v>38</x:v>
      </x:c>
      <x:c r="AF254" s="1">
        <x:v>9.5259999999999998</x:v>
      </x:c>
      <x:c r="AG254" s="1">
        <x:v>40820</x:v>
      </x:c>
      <x:c r="AH254" s="1"/>
      <x:c r="AI254" s="1" t="s">
        <x:v>285</x:v>
      </x:c>
      <x:c r="AJ254" s="1" t="s">
        <x:v>67</x:v>
      </x:c>
      <x:c r="AK254" s="1">
        <x:v>5.8659999999999997</x:v>
      </x:c>
      <x:c r="AL254" s="1">
        <x:v>6270</x:v>
      </x:c>
      <x:c r="AM254" s="1"/>
      <x:c r="AN254" s="1"/>
      <x:c r="AO254" s="1"/>
      <x:c r="AP254" s="1"/>
      <x:c r="AQ254" s="1"/>
      <x:c r="AR254" s="1"/>
    </x:row>
    <x:row r="255">
      <x:c r="A255" s="1"/>
      <x:c r="B255" s="1"/>
      <x:c r="C255" s="1"/>
      <x:c r="D255" s="1"/>
      <x:c r="E255" s="1"/>
      <x:c r="F255" s="1"/>
      <x:c r="G255" s="1"/>
      <x:c r="H255" s="1"/>
      <x:c r="I255" s="1"/>
      <x:c r="J255" s="1"/>
      <x:c r="K255" s="1"/>
      <x:c r="L255" s="1"/>
      <x:c r="M255" s="1"/>
      <x:c r="N255" s="1"/>
      <x:c r="O255" s="1"/>
      <x:c r="P255" s="1"/>
      <x:c r="Q255" s="1"/>
      <x:c r="R255" s="1"/>
      <x:c r="S255" s="1"/>
      <x:c r="T255" s="1"/>
      <x:c r="U255" s="1"/>
      <x:c r="V255" s="1"/>
      <x:c r="W255" s="1"/>
      <x:c r="X255" s="1"/>
      <x:c r="Y255" s="1"/>
      <x:c r="Z255" s="1"/>
      <x:c r="AA255" s="1"/>
      <x:c r="AB255" s="1"/>
      <x:c r="AC255" s="1"/>
      <x:c r="AD255" s="1" t="s">
        <x:v>446</x:v>
      </x:c>
      <x:c r="AE255" s="1" t="s">
        <x:v>42</x:v>
      </x:c>
      <x:c r="AF255" s="1">
        <x:v>9.4700000000000006</x:v>
      </x:c>
      <x:c r="AG255" s="1">
        <x:v>14780</x:v>
      </x:c>
      <x:c r="AH255" s="1"/>
      <x:c r="AI255" s="1" t="s">
        <x:v>286</x:v>
      </x:c>
      <x:c r="AJ255" s="1" t="s">
        <x:v>35</x:v>
      </x:c>
      <x:c r="AK255" s="1">
        <x:v>5.7990000000000004</x:v>
      </x:c>
      <x:c r="AL255" s="1">
        <x:v>81830</x:v>
      </x:c>
      <x:c r="AM255" s="1"/>
      <x:c r="AN255" s="1"/>
      <x:c r="AO255" s="1"/>
      <x:c r="AP255" s="1"/>
      <x:c r="AQ255" s="1"/>
      <x:c r="AR255" s="1"/>
    </x:row>
    <x:row r="256">
      <x:c r="A256" s="1"/>
      <x:c r="B256" s="1"/>
      <x:c r="C256" s="1"/>
      <x:c r="D256" s="1"/>
      <x:c r="E256" s="1"/>
      <x:c r="F256" s="1"/>
      <x:c r="G256" s="1"/>
      <x:c r="H256" s="1"/>
      <x:c r="I256" s="1"/>
      <x:c r="J256" s="1"/>
      <x:c r="K256" s="1"/>
      <x:c r="L256" s="1"/>
      <x:c r="M256" s="1"/>
      <x:c r="N256" s="1"/>
      <x:c r="O256" s="1"/>
      <x:c r="P256" s="1"/>
      <x:c r="Q256" s="1"/>
      <x:c r="R256" s="1"/>
      <x:c r="S256" s="1"/>
      <x:c r="T256" s="1"/>
      <x:c r="U256" s="1"/>
      <x:c r="V256" s="1"/>
      <x:c r="W256" s="1"/>
      <x:c r="X256" s="1"/>
      <x:c r="Y256" s="1"/>
      <x:c r="Z256" s="1"/>
      <x:c r="AA256" s="1"/>
      <x:c r="AB256" s="1"/>
      <x:c r="AC256" s="1"/>
      <x:c r="AD256" s="1" t="s">
        <x:v>447</x:v>
      </x:c>
      <x:c r="AE256" s="1" t="s">
        <x:v>50</x:v>
      </x:c>
      <x:c r="AF256" s="1">
        <x:v>9.375</x:v>
      </x:c>
      <x:c r="AG256" s="1">
        <x:v>23220</x:v>
      </x:c>
      <x:c r="AH256" s="1"/>
      <x:c r="AI256" s="1" t="s">
        <x:v>287</x:v>
      </x:c>
      <x:c r="AJ256" s="1" t="s">
        <x:v>39</x:v>
      </x:c>
      <x:c r="AK256" s="1">
        <x:v>5.6760000000000002</x:v>
      </x:c>
      <x:c r="AL256" s="1">
        <x:v>74450</x:v>
      </x:c>
      <x:c r="AM256" s="1"/>
      <x:c r="AN256" s="1"/>
      <x:c r="AO256" s="1"/>
      <x:c r="AP256" s="1"/>
      <x:c r="AQ256" s="1"/>
      <x:c r="AR256" s="1"/>
    </x:row>
    <x:row r="257">
      <x:c r="A257" s="1"/>
      <x:c r="B257" s="1"/>
      <x:c r="C257" s="1"/>
      <x:c r="D257" s="1"/>
      <x:c r="E257" s="1"/>
      <x:c r="F257" s="1"/>
      <x:c r="G257" s="1"/>
      <x:c r="H257" s="1"/>
      <x:c r="I257" s="1"/>
      <x:c r="J257" s="1"/>
      <x:c r="K257" s="1"/>
      <x:c r="L257" s="1"/>
      <x:c r="M257" s="1"/>
      <x:c r="N257" s="1"/>
      <x:c r="O257" s="1"/>
      <x:c r="P257" s="1"/>
      <x:c r="Q257" s="1"/>
      <x:c r="R257" s="1"/>
      <x:c r="S257" s="1"/>
      <x:c r="T257" s="1"/>
      <x:c r="U257" s="1"/>
      <x:c r="V257" s="1"/>
      <x:c r="W257" s="1"/>
      <x:c r="X257" s="1"/>
      <x:c r="Y257" s="1"/>
      <x:c r="Z257" s="1"/>
      <x:c r="AA257" s="1"/>
      <x:c r="AB257" s="1"/>
      <x:c r="AC257" s="1"/>
      <x:c r="AD257" s="1" t="s">
        <x:v>448</x:v>
      </x:c>
      <x:c r="AE257" s="1" t="s">
        <x:v>10</x:v>
      </x:c>
      <x:c r="AF257" s="1">
        <x:v>12.167999999999999</x:v>
      </x:c>
      <x:c r="AG257" s="1">
        <x:v>25900</x:v>
      </x:c>
      <x:c r="AH257" s="1"/>
      <x:c r="AI257" s="1" t="s">
        <x:v>288</x:v>
      </x:c>
      <x:c r="AJ257" s="1" t="s">
        <x:v>43</x:v>
      </x:c>
      <x:c r="AK257" s="1">
        <x:v>5.4050000000000002</x:v>
      </x:c>
      <x:c r="AL257" s="1">
        <x:v>8280</x:v>
      </x:c>
      <x:c r="AM257" s="1"/>
      <x:c r="AN257" s="1"/>
      <x:c r="AO257" s="1"/>
      <x:c r="AP257" s="1"/>
      <x:c r="AQ257" s="1"/>
      <x:c r="AR257" s="1"/>
    </x:row>
    <x:row r="258">
      <x:c r="A258" s="1"/>
      <x:c r="B258" s="1"/>
      <x:c r="C258" s="1"/>
      <x:c r="D258" s="1"/>
      <x:c r="E258" s="1"/>
      <x:c r="F258" s="1"/>
      <x:c r="G258" s="1"/>
      <x:c r="H258" s="1"/>
      <x:c r="I258" s="1"/>
      <x:c r="J258" s="1"/>
      <x:c r="K258" s="1"/>
      <x:c r="L258" s="1"/>
      <x:c r="M258" s="1"/>
      <x:c r="N258" s="1"/>
      <x:c r="O258" s="1"/>
      <x:c r="P258" s="1"/>
      <x:c r="Q258" s="1"/>
      <x:c r="R258" s="1"/>
      <x:c r="S258" s="1"/>
      <x:c r="T258" s="1"/>
      <x:c r="U258" s="1"/>
      <x:c r="V258" s="1"/>
      <x:c r="W258" s="1"/>
      <x:c r="X258" s="1"/>
      <x:c r="Y258" s="1"/>
      <x:c r="Z258" s="1"/>
      <x:c r="AA258" s="1"/>
      <x:c r="AB258" s="1"/>
      <x:c r="AC258" s="1"/>
      <x:c r="AD258" s="1" t="s">
        <x:v>449</x:v>
      </x:c>
      <x:c r="AE258" s="1" t="s">
        <x:v>14</x:v>
      </x:c>
      <x:c r="AF258" s="1">
        <x:v>11.253</x:v>
      </x:c>
      <x:c r="AG258" s="1">
        <x:v>22390</x:v>
      </x:c>
      <x:c r="AH258" s="1"/>
      <x:c r="AI258" s="1" t="s">
        <x:v>289</x:v>
      </x:c>
      <x:c r="AJ258" s="1" t="s">
        <x:v>55</x:v>
      </x:c>
      <x:c r="AK258" s="1">
        <x:v>5.1879999999999997</x:v>
      </x:c>
      <x:c r="AL258" s="1">
        <x:v>87830</x:v>
      </x:c>
      <x:c r="AM258" s="1"/>
      <x:c r="AN258" s="1"/>
      <x:c r="AO258" s="1"/>
      <x:c r="AP258" s="1"/>
      <x:c r="AQ258" s="1"/>
      <x:c r="AR258" s="1"/>
    </x:row>
    <x:row r="259">
      <x:c r="A259" s="1"/>
      <x:c r="B259" s="1"/>
      <x:c r="C259" s="1"/>
      <x:c r="D259" s="1"/>
      <x:c r="E259" s="1"/>
      <x:c r="F259" s="1"/>
      <x:c r="G259" s="1"/>
      <x:c r="H259" s="1"/>
      <x:c r="I259" s="1"/>
      <x:c r="J259" s="1"/>
      <x:c r="K259" s="1"/>
      <x:c r="L259" s="1"/>
      <x:c r="M259" s="1"/>
      <x:c r="N259" s="1"/>
      <x:c r="O259" s="1"/>
      <x:c r="P259" s="1"/>
      <x:c r="Q259" s="1"/>
      <x:c r="R259" s="1"/>
      <x:c r="S259" s="1"/>
      <x:c r="T259" s="1"/>
      <x:c r="U259" s="1"/>
      <x:c r="V259" s="1"/>
      <x:c r="W259" s="1"/>
      <x:c r="X259" s="1"/>
      <x:c r="Y259" s="1"/>
      <x:c r="Z259" s="1"/>
      <x:c r="AA259" s="1"/>
      <x:c r="AB259" s="1"/>
      <x:c r="AC259" s="1"/>
      <x:c r="AD259" s="1" t="s">
        <x:v>450</x:v>
      </x:c>
      <x:c r="AE259" s="1" t="s">
        <x:v>20</x:v>
      </x:c>
      <x:c r="AF259" s="1">
        <x:v>9.5939999999999994</x:v>
      </x:c>
      <x:c r="AG259" s="1">
        <x:v>46900</x:v>
      </x:c>
      <x:c r="AH259" s="1"/>
      <x:c r="AI259" s="1" t="s">
        <x:v>451</x:v>
      </x:c>
      <x:c r="AJ259" s="1" t="s">
        <x:v>47</x:v>
      </x:c>
      <x:c r="AK259" s="1">
        <x:v>5.0720000000000001</x:v>
      </x:c>
      <x:c r="AL259" s="1">
        <x:v>137820</x:v>
      </x:c>
      <x:c r="AM259" s="1"/>
      <x:c r="AN259" s="1"/>
      <x:c r="AO259" s="1"/>
      <x:c r="AP259" s="1"/>
      <x:c r="AQ259" s="1"/>
      <x:c r="AR259" s="1"/>
    </x:row>
    <x:row r="260">
      <x:c r="A260" s="1"/>
      <x:c r="B260" s="1"/>
      <x:c r="C260" s="1"/>
      <x:c r="D260" s="1"/>
      <x:c r="E260" s="1"/>
      <x:c r="F260" s="1"/>
      <x:c r="G260" s="1"/>
      <x:c r="H260" s="1"/>
      <x:c r="I260" s="1"/>
      <x:c r="J260" s="1"/>
      <x:c r="K260" s="1"/>
      <x:c r="L260" s="1"/>
      <x:c r="M260" s="1"/>
      <x:c r="N260" s="1"/>
      <x:c r="O260" s="1"/>
      <x:c r="P260" s="1"/>
      <x:c r="Q260" s="1"/>
      <x:c r="R260" s="1"/>
      <x:c r="S260" s="1"/>
      <x:c r="T260" s="1"/>
      <x:c r="U260" s="1"/>
      <x:c r="V260" s="1"/>
      <x:c r="W260" s="1"/>
      <x:c r="X260" s="1"/>
      <x:c r="Y260" s="1"/>
      <x:c r="Z260" s="1"/>
      <x:c r="AA260" s="1"/>
      <x:c r="AB260" s="1"/>
      <x:c r="AC260" s="1"/>
      <x:c r="AD260" s="1" t="s">
        <x:v>452</x:v>
      </x:c>
      <x:c r="AE260" s="1" t="s">
        <x:v>19</x:v>
      </x:c>
      <x:c r="AF260" s="1">
        <x:v>8.3740000000000006</x:v>
      </x:c>
      <x:c r="AG260" s="1">
        <x:v>8480</x:v>
      </x:c>
      <x:c r="AH260" s="1"/>
      <x:c r="AI260" s="1" t="s">
        <x:v>453</x:v>
      </x:c>
      <x:c r="AJ260" s="1" t="s">
        <x:v>75</x:v>
      </x:c>
      <x:c r="AK260" s="1">
        <x:v>5.0609999999999999</x:v>
      </x:c>
      <x:c r="AL260" s="1">
        <x:v>3120</x:v>
      </x:c>
      <x:c r="AM260" s="1"/>
      <x:c r="AN260" s="1"/>
      <x:c r="AO260" s="1"/>
      <x:c r="AP260" s="1"/>
      <x:c r="AQ260" s="1"/>
      <x:c r="AR260" s="1"/>
    </x:row>
    <x:row r="261">
      <x:c r="A261" s="1"/>
      <x:c r="B261" s="1"/>
      <x:c r="C261" s="1"/>
      <x:c r="D261" s="1"/>
      <x:c r="E261" s="1"/>
      <x:c r="F261" s="1"/>
      <x:c r="G261" s="1"/>
      <x:c r="H261" s="1"/>
      <x:c r="I261" s="1"/>
      <x:c r="J261" s="1"/>
      <x:c r="K261" s="1"/>
      <x:c r="L261" s="1"/>
      <x:c r="M261" s="1"/>
      <x:c r="N261" s="1"/>
      <x:c r="O261" s="1"/>
      <x:c r="P261" s="1"/>
      <x:c r="Q261" s="1"/>
      <x:c r="R261" s="1"/>
      <x:c r="S261" s="1"/>
      <x:c r="T261" s="1"/>
      <x:c r="U261" s="1"/>
      <x:c r="V261" s="1"/>
      <x:c r="W261" s="1"/>
      <x:c r="X261" s="1"/>
      <x:c r="Y261" s="1"/>
      <x:c r="Z261" s="1"/>
      <x:c r="AA261" s="1"/>
      <x:c r="AB261" s="1"/>
      <x:c r="AC261" s="1"/>
      <x:c r="AD261" s="1" t="s">
        <x:v>454</x:v>
      </x:c>
      <x:c r="AE261" s="1" t="s">
        <x:v>30</x:v>
      </x:c>
      <x:c r="AF261" s="1">
        <x:v>7.7990000000000004</x:v>
      </x:c>
      <x:c r="AG261" s="1">
        <x:v>4420</x:v>
      </x:c>
      <x:c r="AH261" s="1"/>
      <x:c r="AI261" s="1" t="s">
        <x:v>455</x:v>
      </x:c>
      <x:c r="AJ261" s="1" t="s">
        <x:v>51</x:v>
      </x:c>
      <x:c r="AK261" s="1">
        <x:v>4.9690000000000003</x:v>
      </x:c>
      <x:c r="AL261" s="1">
        <x:v>153650</x:v>
      </x:c>
      <x:c r="AM261" s="1"/>
      <x:c r="AN261" s="1"/>
      <x:c r="AO261" s="1"/>
      <x:c r="AP261" s="1"/>
      <x:c r="AQ261" s="1"/>
      <x:c r="AR261" s="1"/>
    </x:row>
    <x:row r="262">
      <x:c r="A262" s="1"/>
      <x:c r="B262" s="1"/>
      <x:c r="C262" s="1"/>
      <x:c r="D262" s="1"/>
      <x:c r="E262" s="1"/>
      <x:c r="F262" s="1"/>
      <x:c r="G262" s="1"/>
      <x:c r="H262" s="1"/>
      <x:c r="I262" s="1"/>
      <x:c r="J262" s="1"/>
      <x:c r="K262" s="1"/>
      <x:c r="L262" s="1"/>
      <x:c r="M262" s="1"/>
      <x:c r="N262" s="1"/>
      <x:c r="O262" s="1"/>
      <x:c r="P262" s="1"/>
      <x:c r="Q262" s="1"/>
      <x:c r="R262" s="1"/>
      <x:c r="S262" s="1"/>
      <x:c r="T262" s="1"/>
      <x:c r="U262" s="1"/>
      <x:c r="V262" s="1"/>
      <x:c r="W262" s="1"/>
      <x:c r="X262" s="1"/>
      <x:c r="Y262" s="1"/>
      <x:c r="Z262" s="1"/>
      <x:c r="AA262" s="1"/>
      <x:c r="AB262" s="1"/>
      <x:c r="AC262" s="1"/>
      <x:c r="AD262" s="1" t="s">
        <x:v>456</x:v>
      </x:c>
      <x:c r="AE262" s="1" t="s">
        <x:v>50</x:v>
      </x:c>
      <x:c r="AF262" s="1">
        <x:v>7.5149999999999997</x:v>
      </x:c>
      <x:c r="AG262" s="1">
        <x:v>19910</x:v>
      </x:c>
      <x:c r="AH262" s="1"/>
      <x:c r="AI262" s="1" t="s">
        <x:v>457</x:v>
      </x:c>
      <x:c r="AJ262" s="1" t="s">
        <x:v>59</x:v>
      </x:c>
      <x:c r="AK262" s="1">
        <x:v>4.8109999999999999</x:v>
      </x:c>
      <x:c r="AL262" s="1">
        <x:v>146880</x:v>
      </x:c>
      <x:c r="AM262" s="1"/>
      <x:c r="AN262" s="1"/>
      <x:c r="AO262" s="1"/>
      <x:c r="AP262" s="1"/>
      <x:c r="AQ262" s="1"/>
      <x:c r="AR262" s="1"/>
    </x:row>
    <x:row r="263">
      <x:c r="A263" s="1"/>
      <x:c r="B263" s="1"/>
      <x:c r="C263" s="1"/>
      <x:c r="D263" s="1"/>
      <x:c r="E263" s="1"/>
      <x:c r="F263" s="1"/>
      <x:c r="G263" s="1"/>
      <x:c r="H263" s="1"/>
      <x:c r="I263" s="1"/>
      <x:c r="J263" s="1"/>
      <x:c r="K263" s="1"/>
      <x:c r="L263" s="1"/>
      <x:c r="M263" s="1"/>
      <x:c r="N263" s="1"/>
      <x:c r="O263" s="1"/>
      <x:c r="P263" s="1"/>
      <x:c r="Q263" s="1"/>
      <x:c r="R263" s="1"/>
      <x:c r="S263" s="1"/>
      <x:c r="T263" s="1"/>
      <x:c r="U263" s="1"/>
      <x:c r="V263" s="1"/>
      <x:c r="W263" s="1"/>
      <x:c r="X263" s="1"/>
      <x:c r="Y263" s="1"/>
      <x:c r="Z263" s="1"/>
      <x:c r="AA263" s="1"/>
      <x:c r="AB263" s="1"/>
      <x:c r="AC263" s="1"/>
      <x:c r="AD263" s="1" t="s">
        <x:v>458</x:v>
      </x:c>
      <x:c r="AE263" s="1" t="s">
        <x:v>97</x:v>
      </x:c>
      <x:c r="AF263" s="1">
        <x:v>7.51</x:v>
      </x:c>
      <x:c r="AG263" s="1">
        <x:v>9990</x:v>
      </x:c>
      <x:c r="AH263" s="1"/>
      <x:c r="AI263" s="1" t="s">
        <x:v>459</x:v>
      </x:c>
      <x:c r="AJ263" s="1" t="s">
        <x:v>63</x:v>
      </x:c>
      <x:c r="AK263" s="1">
        <x:v>4.7519999999999998</x:v>
      </x:c>
      <x:c r="AL263" s="1">
        <x:v>194120</x:v>
      </x:c>
      <x:c r="AM263" s="1"/>
      <x:c r="AN263" s="1"/>
      <x:c r="AO263" s="1"/>
      <x:c r="AP263" s="1"/>
      <x:c r="AQ263" s="1"/>
      <x:c r="AR263" s="1"/>
    </x:row>
    <x:row r="264">
      <x:c r="A264" s="1"/>
      <x:c r="B264" s="1"/>
      <x:c r="C264" s="1"/>
      <x:c r="D264" s="1"/>
      <x:c r="E264" s="1"/>
      <x:c r="F264" s="1"/>
      <x:c r="G264" s="1"/>
      <x:c r="H264" s="1"/>
      <x:c r="I264" s="1"/>
      <x:c r="J264" s="1"/>
      <x:c r="K264" s="1"/>
      <x:c r="L264" s="1"/>
      <x:c r="M264" s="1"/>
      <x:c r="N264" s="1"/>
      <x:c r="O264" s="1"/>
      <x:c r="P264" s="1"/>
      <x:c r="Q264" s="1"/>
      <x:c r="R264" s="1"/>
      <x:c r="S264" s="1"/>
      <x:c r="T264" s="1"/>
      <x:c r="U264" s="1"/>
      <x:c r="V264" s="1"/>
      <x:c r="W264" s="1"/>
      <x:c r="X264" s="1"/>
      <x:c r="Y264" s="1"/>
      <x:c r="Z264" s="1"/>
      <x:c r="AA264" s="1"/>
      <x:c r="AB264" s="1"/>
      <x:c r="AC264" s="1"/>
      <x:c r="AD264" s="1" t="s">
        <x:v>460</x:v>
      </x:c>
      <x:c r="AE264" s="1" t="s">
        <x:v>34</x:v>
      </x:c>
      <x:c r="AF264" s="1">
        <x:v>7.4560000000000004</x:v>
      </x:c>
      <x:c r="AG264" s="1">
        <x:v>8130</x:v>
      </x:c>
      <x:c r="AH264" s="1"/>
      <x:c r="AI264" s="1" t="s">
        <x:v>461</x:v>
      </x:c>
      <x:c r="AJ264" s="1" t="s">
        <x:v>71</x:v>
      </x:c>
      <x:c r="AK264" s="1">
        <x:v>4.5250000000000004</x:v>
      </x:c>
      <x:c r="AL264" s="1">
        <x:v>283850</x:v>
      </x:c>
      <x:c r="AM264" s="1"/>
      <x:c r="AN264" s="1"/>
      <x:c r="AO264" s="1"/>
      <x:c r="AP264" s="1"/>
      <x:c r="AQ264" s="1"/>
      <x:c r="AR264" s="1"/>
    </x:row>
    <x:row r="265">
      <x:c r="A265" s="1"/>
      <x:c r="B265" s="1"/>
      <x:c r="C265" s="1"/>
      <x:c r="D265" s="1"/>
      <x:c r="E265" s="1"/>
      <x:c r="F265" s="1"/>
      <x:c r="G265" s="1"/>
      <x:c r="H265" s="1"/>
      <x:c r="I265" s="1"/>
      <x:c r="J265" s="1"/>
      <x:c r="K265" s="1"/>
      <x:c r="L265" s="1"/>
      <x:c r="M265" s="1"/>
      <x:c r="N265" s="1"/>
      <x:c r="O265" s="1"/>
      <x:c r="P265" s="1"/>
      <x:c r="Q265" s="1"/>
      <x:c r="R265" s="1"/>
      <x:c r="S265" s="1"/>
      <x:c r="T265" s="1"/>
      <x:c r="U265" s="1"/>
      <x:c r="V265" s="1"/>
      <x:c r="W265" s="1"/>
      <x:c r="X265" s="1"/>
      <x:c r="Y265" s="1"/>
      <x:c r="Z265" s="1"/>
      <x:c r="AA265" s="1"/>
      <x:c r="AB265" s="1"/>
      <x:c r="AC265" s="1"/>
      <x:c r="AD265" s="1" t="s">
        <x:v>462</x:v>
      </x:c>
      <x:c r="AE265" s="1" t="s">
        <x:v>38</x:v>
      </x:c>
      <x:c r="AF265" s="1">
        <x:v>7.3079999999999998</x:v>
      </x:c>
      <x:c r="AG265" s="1">
        <x:v>34430</x:v>
      </x:c>
      <x:c r="AH265" s="1"/>
      <x:c r="AI265" s="1" t="s">
        <x:v>463</x:v>
      </x:c>
      <x:c r="AJ265" s="1" t="s">
        <x:v>79</x:v>
      </x:c>
      <x:c r="AK265" s="1">
        <x:v>4.1319999999999997</x:v>
      </x:c>
      <x:c r="AL265" s="1">
        <x:v>80490</x:v>
      </x:c>
      <x:c r="AM265" s="1"/>
      <x:c r="AN265" s="1"/>
      <x:c r="AO265" s="1"/>
      <x:c r="AP265" s="1"/>
      <x:c r="AQ265" s="1"/>
      <x:c r="AR265" s="1"/>
    </x:row>
    <x:row r="266">
      <x:c r="A266" s="1"/>
      <x:c r="B266" s="1"/>
      <x:c r="C266" s="1"/>
      <x:c r="D266" s="1"/>
      <x:c r="E266" s="1"/>
      <x:c r="F266" s="1"/>
      <x:c r="G266" s="1"/>
      <x:c r="H266" s="1"/>
      <x:c r="I266" s="1"/>
      <x:c r="J266" s="1"/>
      <x:c r="K266" s="1"/>
      <x:c r="L266" s="1"/>
      <x:c r="M266" s="1"/>
      <x:c r="N266" s="1"/>
      <x:c r="O266" s="1"/>
      <x:c r="P266" s="1"/>
      <x:c r="Q266" s="1"/>
      <x:c r="R266" s="1"/>
      <x:c r="S266" s="1"/>
      <x:c r="T266" s="1"/>
      <x:c r="U266" s="1"/>
      <x:c r="V266" s="1"/>
      <x:c r="W266" s="1"/>
      <x:c r="X266" s="1"/>
      <x:c r="Y266" s="1"/>
      <x:c r="Z266" s="1"/>
      <x:c r="AA266" s="1"/>
      <x:c r="AB266" s="1"/>
      <x:c r="AC266" s="1"/>
      <x:c r="AD266" s="1" t="s">
        <x:v>464</x:v>
      </x:c>
      <x:c r="AE266" s="1" t="s">
        <x:v>182</x:v>
      </x:c>
      <x:c r="AF266" s="1">
        <x:v>7.2759999999999998</x:v>
      </x:c>
      <x:c r="AG266" s="1">
        <x:v>6160</x:v>
      </x:c>
      <x:c r="AH266" s="1"/>
      <x:c r="AI266" s="1" t="s">
        <x:v>465</x:v>
      </x:c>
      <x:c r="AJ266" s="1" t="s">
        <x:v>83</x:v>
      </x:c>
      <x:c r="AK266" s="1">
        <x:v>3.585</x:v>
      </x:c>
      <x:c r="AL266" s="1">
        <x:v>61510</x:v>
      </x:c>
      <x:c r="AM266" s="1"/>
      <x:c r="AN266" s="1"/>
      <x:c r="AO266" s="1"/>
      <x:c r="AP266" s="1"/>
      <x:c r="AQ266" s="1"/>
      <x:c r="AR266" s="1"/>
    </x:row>
    <x:row r="267">
      <x:c r="A267" s="1"/>
      <x:c r="B267" s="1"/>
      <x:c r="C267" s="1"/>
      <x:c r="D267" s="1"/>
      <x:c r="E267" s="1"/>
      <x:c r="F267" s="1"/>
      <x:c r="G267" s="1"/>
      <x:c r="H267" s="1"/>
      <x:c r="I267" s="1"/>
      <x:c r="J267" s="1"/>
      <x:c r="K267" s="1"/>
      <x:c r="L267" s="1"/>
      <x:c r="M267" s="1"/>
      <x:c r="N267" s="1"/>
      <x:c r="O267" s="1"/>
      <x:c r="P267" s="1"/>
      <x:c r="Q267" s="1"/>
      <x:c r="R267" s="1"/>
      <x:c r="S267" s="1"/>
      <x:c r="T267" s="1"/>
      <x:c r="U267" s="1"/>
      <x:c r="V267" s="1"/>
      <x:c r="W267" s="1"/>
      <x:c r="X267" s="1"/>
      <x:c r="Y267" s="1"/>
      <x:c r="Z267" s="1"/>
      <x:c r="AA267" s="1"/>
      <x:c r="AB267" s="1"/>
      <x:c r="AC267" s="1"/>
      <x:c r="AD267" s="1" t="s">
        <x:v>466</x:v>
      </x:c>
      <x:c r="AE267" s="1" t="s">
        <x:v>10</x:v>
      </x:c>
      <x:c r="AF267" s="1">
        <x:v>11.85</x:v>
      </x:c>
      <x:c r="AG267" s="1">
        <x:v>45900</x:v>
      </x:c>
      <x:c r="AH267" s="1"/>
      <x:c r="AI267" s="1" t="s">
        <x:v>290</x:v>
      </x:c>
      <x:c r="AJ267" s="1" t="s">
        <x:v>10</x:v>
      </x:c>
      <x:c r="AK267" s="1">
        <x:v>11.353</x:v>
      </x:c>
      <x:c r="AL267" s="1">
        <x:v>42890</x:v>
      </x:c>
      <x:c r="AM267" s="1"/>
      <x:c r="AN267" s="1"/>
      <x:c r="AO267" s="1"/>
      <x:c r="AP267" s="1"/>
      <x:c r="AQ267" s="1"/>
      <x:c r="AR267" s="1"/>
    </x:row>
    <x:row r="268">
      <x:c r="A268" s="1"/>
      <x:c r="B268" s="1"/>
      <x:c r="C268" s="1"/>
      <x:c r="D268" s="1"/>
      <x:c r="E268" s="1"/>
      <x:c r="F268" s="1"/>
      <x:c r="G268" s="1"/>
      <x:c r="H268" s="1"/>
      <x:c r="I268" s="1"/>
      <x:c r="J268" s="1"/>
      <x:c r="K268" s="1"/>
      <x:c r="L268" s="1"/>
      <x:c r="M268" s="1"/>
      <x:c r="N268" s="1"/>
      <x:c r="O268" s="1"/>
      <x:c r="P268" s="1"/>
      <x:c r="Q268" s="1"/>
      <x:c r="R268" s="1"/>
      <x:c r="S268" s="1"/>
      <x:c r="T268" s="1"/>
      <x:c r="U268" s="1"/>
      <x:c r="V268" s="1"/>
      <x:c r="W268" s="1"/>
      <x:c r="X268" s="1"/>
      <x:c r="Y268" s="1"/>
      <x:c r="Z268" s="1"/>
      <x:c r="AA268" s="1"/>
      <x:c r="AB268" s="1"/>
      <x:c r="AC268" s="1"/>
      <x:c r="AD268" s="1" t="s">
        <x:v>467</x:v>
      </x:c>
      <x:c r="AE268" s="1" t="s">
        <x:v>14</x:v>
      </x:c>
      <x:c r="AF268" s="1">
        <x:v>11.145</x:v>
      </x:c>
      <x:c r="AG268" s="1">
        <x:v>40200</x:v>
      </x:c>
      <x:c r="AH268" s="1"/>
      <x:c r="AI268" s="1" t="s">
        <x:v>291</x:v>
      </x:c>
      <x:c r="AJ268" s="1" t="s">
        <x:v>14</x:v>
      </x:c>
      <x:c r="AK268" s="1">
        <x:v>10.465</x:v>
      </x:c>
      <x:c r="AL268" s="1">
        <x:v>37140</x:v>
      </x:c>
      <x:c r="AM268" s="1"/>
      <x:c r="AN268" s="1"/>
      <x:c r="AO268" s="1"/>
      <x:c r="AP268" s="1"/>
      <x:c r="AQ268" s="1"/>
      <x:c r="AR268" s="1"/>
    </x:row>
    <x:row r="269">
      <x:c r="A269" s="1"/>
      <x:c r="B269" s="1"/>
      <x:c r="C269" s="1"/>
      <x:c r="D269" s="1"/>
      <x:c r="E269" s="1"/>
      <x:c r="F269" s="1"/>
      <x:c r="G269" s="1"/>
      <x:c r="H269" s="1"/>
      <x:c r="I269" s="1"/>
      <x:c r="J269" s="1"/>
      <x:c r="K269" s="1"/>
      <x:c r="L269" s="1"/>
      <x:c r="M269" s="1"/>
      <x:c r="N269" s="1"/>
      <x:c r="O269" s="1"/>
      <x:c r="P269" s="1"/>
      <x:c r="Q269" s="1"/>
      <x:c r="R269" s="1"/>
      <x:c r="S269" s="1"/>
      <x:c r="T269" s="1"/>
      <x:c r="U269" s="1"/>
      <x:c r="V269" s="1"/>
      <x:c r="W269" s="1"/>
      <x:c r="X269" s="1"/>
      <x:c r="Y269" s="1"/>
      <x:c r="Z269" s="1"/>
      <x:c r="AA269" s="1"/>
      <x:c r="AB269" s="1"/>
      <x:c r="AC269" s="1"/>
      <x:c r="AD269" s="1" t="s">
        <x:v>468</x:v>
      </x:c>
      <x:c r="AE269" s="1" t="s">
        <x:v>19</x:v>
      </x:c>
      <x:c r="AF269" s="1">
        <x:v>9.9819999999999993</x:v>
      </x:c>
      <x:c r="AG269" s="1">
        <x:v>19170</x:v>
      </x:c>
      <x:c r="AH269" s="1"/>
      <x:c r="AI269" s="1" t="s">
        <x:v>292</x:v>
      </x:c>
      <x:c r="AJ269" s="1" t="s">
        <x:v>20</x:v>
      </x:c>
      <x:c r="AK269" s="1">
        <x:v>8.8550000000000004</x:v>
      </x:c>
      <x:c r="AL269" s="1">
        <x:v>79600</x:v>
      </x:c>
      <x:c r="AM269" s="1"/>
      <x:c r="AN269" s="1"/>
      <x:c r="AO269" s="1"/>
      <x:c r="AP269" s="1"/>
      <x:c r="AQ269" s="1"/>
      <x:c r="AR269" s="1"/>
    </x:row>
    <x:row r="270">
      <x:c r="A270" s="1"/>
      <x:c r="B270" s="1"/>
      <x:c r="C270" s="1"/>
      <x:c r="D270" s="1"/>
      <x:c r="E270" s="1"/>
      <x:c r="F270" s="1"/>
      <x:c r="G270" s="1"/>
      <x:c r="H270" s="1"/>
      <x:c r="I270" s="1"/>
      <x:c r="J270" s="1"/>
      <x:c r="K270" s="1"/>
      <x:c r="L270" s="1"/>
      <x:c r="M270" s="1"/>
      <x:c r="N270" s="1"/>
      <x:c r="O270" s="1"/>
      <x:c r="P270" s="1"/>
      <x:c r="Q270" s="1"/>
      <x:c r="R270" s="1"/>
      <x:c r="S270" s="1"/>
      <x:c r="T270" s="1"/>
      <x:c r="U270" s="1"/>
      <x:c r="V270" s="1"/>
      <x:c r="W270" s="1"/>
      <x:c r="X270" s="1"/>
      <x:c r="Y270" s="1"/>
      <x:c r="Z270" s="1"/>
      <x:c r="AA270" s="1"/>
      <x:c r="AB270" s="1"/>
      <x:c r="AC270" s="1"/>
      <x:c r="AD270" s="1" t="s">
        <x:v>469</x:v>
      </x:c>
      <x:c r="AE270" s="1" t="s">
        <x:v>20</x:v>
      </x:c>
      <x:c r="AF270" s="1">
        <x:v>9.5350000000000001</x:v>
      </x:c>
      <x:c r="AG270" s="1">
        <x:v>89860</x:v>
      </x:c>
      <x:c r="AH270" s="1"/>
      <x:c r="AI270" s="1" t="s">
        <x:v>293</x:v>
      </x:c>
      <x:c r="AJ270" s="1" t="s">
        <x:v>27</x:v>
      </x:c>
      <x:c r="AK270" s="1">
        <x:v>7.1920000000000002</x:v>
      </x:c>
      <x:c r="AL270" s="1">
        <x:v>373460</x:v>
      </x:c>
      <x:c r="AM270" s="1"/>
      <x:c r="AN270" s="1"/>
      <x:c r="AO270" s="1"/>
      <x:c r="AP270" s="1"/>
      <x:c r="AQ270" s="1"/>
      <x:c r="AR270" s="1"/>
    </x:row>
    <x:row r="271">
      <x:c r="A271" s="1"/>
      <x:c r="B271" s="1"/>
      <x:c r="C271" s="1"/>
      <x:c r="D271" s="1"/>
      <x:c r="E271" s="1"/>
      <x:c r="F271" s="1"/>
      <x:c r="G271" s="1"/>
      <x:c r="H271" s="1"/>
      <x:c r="I271" s="1"/>
      <x:c r="J271" s="1"/>
      <x:c r="K271" s="1"/>
      <x:c r="L271" s="1"/>
      <x:c r="M271" s="1"/>
      <x:c r="N271" s="1"/>
      <x:c r="O271" s="1"/>
      <x:c r="P271" s="1"/>
      <x:c r="Q271" s="1"/>
      <x:c r="R271" s="1"/>
      <x:c r="S271" s="1"/>
      <x:c r="T271" s="1"/>
      <x:c r="U271" s="1"/>
      <x:c r="V271" s="1"/>
      <x:c r="W271" s="1"/>
      <x:c r="X271" s="1"/>
      <x:c r="Y271" s="1"/>
      <x:c r="Z271" s="1"/>
      <x:c r="AA271" s="1"/>
      <x:c r="AB271" s="1"/>
      <x:c r="AC271" s="1"/>
      <x:c r="AD271" s="1" t="s">
        <x:v>470</x:v>
      </x:c>
      <x:c r="AE271" s="1" t="s">
        <x:v>30</x:v>
      </x:c>
      <x:c r="AF271" s="1">
        <x:v>9.2159999999999993</x:v>
      </x:c>
      <x:c r="AG271" s="1">
        <x:v>10030</x:v>
      </x:c>
      <x:c r="AH271" s="1"/>
      <x:c r="AI271" s="1" t="s">
        <x:v>294</x:v>
      </x:c>
      <x:c r="AJ271" s="1" t="s">
        <x:v>31</x:v>
      </x:c>
      <x:c r="AK271" s="1">
        <x:v>7.0540000000000003</x:v>
      </x:c>
      <x:c r="AL271" s="1">
        <x:v>410270</x:v>
      </x:c>
      <x:c r="AM271" s="1"/>
      <x:c r="AN271" s="1"/>
      <x:c r="AO271" s="1"/>
      <x:c r="AP271" s="1"/>
      <x:c r="AQ271" s="1"/>
      <x:c r="AR271" s="1"/>
    </x:row>
    <x:row r="272">
      <x:c r="A272" s="1"/>
      <x:c r="B272" s="1"/>
      <x:c r="C272" s="1"/>
      <x:c r="D272" s="1"/>
      <x:c r="E272" s="1"/>
      <x:c r="F272" s="1"/>
      <x:c r="G272" s="1"/>
      <x:c r="H272" s="1"/>
      <x:c r="I272" s="1"/>
      <x:c r="J272" s="1"/>
      <x:c r="K272" s="1"/>
      <x:c r="L272" s="1"/>
      <x:c r="M272" s="1"/>
      <x:c r="N272" s="1"/>
      <x:c r="O272" s="1"/>
      <x:c r="P272" s="1"/>
      <x:c r="Q272" s="1"/>
      <x:c r="R272" s="1"/>
      <x:c r="S272" s="1"/>
      <x:c r="T272" s="1"/>
      <x:c r="U272" s="1"/>
      <x:c r="V272" s="1"/>
      <x:c r="W272" s="1"/>
      <x:c r="X272" s="1"/>
      <x:c r="Y272" s="1"/>
      <x:c r="Z272" s="1"/>
      <x:c r="AA272" s="1"/>
      <x:c r="AB272" s="1"/>
      <x:c r="AC272" s="1"/>
      <x:c r="AD272" s="1" t="s">
        <x:v>471</x:v>
      </x:c>
      <x:c r="AE272" s="1" t="s">
        <x:v>34</x:v>
      </x:c>
      <x:c r="AF272" s="1">
        <x:v>8.8000000000000007</x:v>
      </x:c>
      <x:c r="AG272" s="1">
        <x:v>18260</x:v>
      </x:c>
      <x:c r="AH272" s="1"/>
      <x:c r="AI272" s="1" t="s">
        <x:v>296</x:v>
      </x:c>
      <x:c r="AJ272" s="1" t="s">
        <x:v>35</x:v>
      </x:c>
      <x:c r="AK272" s="1">
        <x:v>6.859</x:v>
      </x:c>
      <x:c r="AL272" s="1">
        <x:v>185630</x:v>
      </x:c>
      <x:c r="AM272" s="1"/>
      <x:c r="AN272" s="1"/>
      <x:c r="AO272" s="1"/>
      <x:c r="AP272" s="1"/>
      <x:c r="AQ272" s="1"/>
      <x:c r="AR272" s="1"/>
    </x:row>
    <x:row r="273">
      <x:c r="A273" s="1"/>
      <x:c r="B273" s="1"/>
      <x:c r="C273" s="1"/>
      <x:c r="D273" s="1"/>
      <x:c r="E273" s="1"/>
      <x:c r="F273" s="1"/>
      <x:c r="G273" s="1"/>
      <x:c r="H273" s="1"/>
      <x:c r="I273" s="1"/>
      <x:c r="J273" s="1"/>
      <x:c r="K273" s="1"/>
      <x:c r="L273" s="1"/>
      <x:c r="M273" s="1"/>
      <x:c r="N273" s="1"/>
      <x:c r="O273" s="1"/>
      <x:c r="P273" s="1"/>
      <x:c r="Q273" s="1"/>
      <x:c r="R273" s="1"/>
      <x:c r="S273" s="1"/>
      <x:c r="T273" s="1"/>
      <x:c r="U273" s="1"/>
      <x:c r="V273" s="1"/>
      <x:c r="W273" s="1"/>
      <x:c r="X273" s="1"/>
      <x:c r="Y273" s="1"/>
      <x:c r="Z273" s="1"/>
      <x:c r="AA273" s="1"/>
      <x:c r="AB273" s="1"/>
      <x:c r="AC273" s="1"/>
      <x:c r="AD273" s="1" t="s">
        <x:v>472</x:v>
      </x:c>
      <x:c r="AE273" s="1" t="s">
        <x:v>50</x:v>
      </x:c>
      <x:c r="AF273" s="1">
        <x:v>8.5939999999999994</x:v>
      </x:c>
      <x:c r="AG273" s="1">
        <x:v>43930</x:v>
      </x:c>
      <x:c r="AH273" s="1"/>
      <x:c r="AI273" s="1" t="s">
        <x:v>298</x:v>
      </x:c>
      <x:c r="AJ273" s="1" t="s">
        <x:v>39</x:v>
      </x:c>
      <x:c r="AK273" s="1">
        <x:v>6.8049999999999997</x:v>
      </x:c>
      <x:c r="AL273" s="1">
        <x:v>169920</x:v>
      </x:c>
      <x:c r="AM273" s="1"/>
      <x:c r="AN273" s="1"/>
      <x:c r="AO273" s="1"/>
      <x:c r="AP273" s="1"/>
      <x:c r="AQ273" s="1"/>
      <x:c r="AR273" s="1"/>
    </x:row>
    <x:row r="274">
      <x:c r="A274" s="1"/>
      <x:c r="B274" s="1"/>
      <x:c r="C274" s="1"/>
      <x:c r="D274" s="1"/>
      <x:c r="E274" s="1"/>
      <x:c r="F274" s="1"/>
      <x:c r="G274" s="1"/>
      <x:c r="H274" s="1"/>
      <x:c r="I274" s="1"/>
      <x:c r="J274" s="1"/>
      <x:c r="K274" s="1"/>
      <x:c r="L274" s="1"/>
      <x:c r="M274" s="1"/>
      <x:c r="N274" s="1"/>
      <x:c r="O274" s="1"/>
      <x:c r="P274" s="1"/>
      <x:c r="Q274" s="1"/>
      <x:c r="R274" s="1"/>
      <x:c r="S274" s="1"/>
      <x:c r="T274" s="1"/>
      <x:c r="U274" s="1"/>
      <x:c r="V274" s="1"/>
      <x:c r="W274" s="1"/>
      <x:c r="X274" s="1"/>
      <x:c r="Y274" s="1"/>
      <x:c r="Z274" s="1"/>
      <x:c r="AA274" s="1"/>
      <x:c r="AB274" s="1"/>
      <x:c r="AC274" s="1"/>
      <x:c r="AD274" s="1" t="s">
        <x:v>473</x:v>
      </x:c>
      <x:c r="AE274" s="1" t="s">
        <x:v>46</x:v>
      </x:c>
      <x:c r="AF274" s="1">
        <x:v>8.5500000000000007</x:v>
      </x:c>
      <x:c r="AG274" s="1">
        <x:v>27920</x:v>
      </x:c>
      <x:c r="AH274" s="1"/>
      <x:c r="AI274" s="1" t="s">
        <x:v>300</x:v>
      </x:c>
      <x:c r="AJ274" s="1" t="s">
        <x:v>43</x:v>
      </x:c>
      <x:c r="AK274" s="1">
        <x:v>6.492</x:v>
      </x:c>
      <x:c r="AL274" s="1">
        <x:v>19790</x:v>
      </x:c>
      <x:c r="AM274" s="1"/>
      <x:c r="AN274" s="1"/>
      <x:c r="AO274" s="1"/>
      <x:c r="AP274" s="1"/>
      <x:c r="AQ274" s="1"/>
      <x:c r="AR274" s="1"/>
    </x:row>
    <x:row r="275">
      <x:c r="A275" s="1"/>
      <x:c r="B275" s="1"/>
      <x:c r="C275" s="1"/>
      <x:c r="D275" s="1"/>
      <x:c r="E275" s="1"/>
      <x:c r="F275" s="1"/>
      <x:c r="G275" s="1"/>
      <x:c r="H275" s="1"/>
      <x:c r="I275" s="1"/>
      <x:c r="J275" s="1"/>
      <x:c r="K275" s="1"/>
      <x:c r="L275" s="1"/>
      <x:c r="M275" s="1"/>
      <x:c r="N275" s="1"/>
      <x:c r="O275" s="1"/>
      <x:c r="P275" s="1"/>
      <x:c r="Q275" s="1"/>
      <x:c r="R275" s="1"/>
      <x:c r="S275" s="1"/>
      <x:c r="T275" s="1"/>
      <x:c r="U275" s="1"/>
      <x:c r="V275" s="1"/>
      <x:c r="W275" s="1"/>
      <x:c r="X275" s="1"/>
      <x:c r="Y275" s="1"/>
      <x:c r="Z275" s="1"/>
      <x:c r="AA275" s="1"/>
      <x:c r="AB275" s="1"/>
      <x:c r="AC275" s="1"/>
      <x:c r="AD275" s="1" t="s">
        <x:v>474</x:v>
      </x:c>
      <x:c r="AE275" s="1" t="s">
        <x:v>38</x:v>
      </x:c>
      <x:c r="AF275" s="1">
        <x:v>8.5210000000000008</x:v>
      </x:c>
      <x:c r="AG275" s="1">
        <x:v>76780</x:v>
      </x:c>
      <x:c r="AH275" s="1"/>
      <x:c r="AI275" s="1" t="s">
        <x:v>302</x:v>
      </x:c>
      <x:c r="AJ275" s="1" t="s">
        <x:v>55</x:v>
      </x:c>
      <x:c r="AK275" s="1">
        <x:v>6.24</x:v>
      </x:c>
      <x:c r="AL275" s="1">
        <x:v>201470</x:v>
      </x:c>
      <x:c r="AM275" s="1"/>
      <x:c r="AN275" s="1"/>
      <x:c r="AO275" s="1"/>
      <x:c r="AP275" s="1"/>
      <x:c r="AQ275" s="1"/>
      <x:c r="AR275" s="1"/>
    </x:row>
    <x:row r="276">
      <x:c r="A276" s="1"/>
      <x:c r="B276" s="1"/>
      <x:c r="C276" s="1"/>
      <x:c r="D276" s="1"/>
      <x:c r="E276" s="1"/>
      <x:c r="F276" s="1"/>
      <x:c r="G276" s="1"/>
      <x:c r="H276" s="1"/>
      <x:c r="I276" s="1"/>
      <x:c r="J276" s="1"/>
      <x:c r="K276" s="1"/>
      <x:c r="L276" s="1"/>
      <x:c r="M276" s="1"/>
      <x:c r="N276" s="1"/>
      <x:c r="O276" s="1"/>
      <x:c r="P276" s="1"/>
      <x:c r="Q276" s="1"/>
      <x:c r="R276" s="1"/>
      <x:c r="S276" s="1"/>
      <x:c r="T276" s="1"/>
      <x:c r="U276" s="1"/>
      <x:c r="V276" s="1"/>
      <x:c r="W276" s="1"/>
      <x:c r="X276" s="1"/>
      <x:c r="Y276" s="1"/>
      <x:c r="Z276" s="1"/>
      <x:c r="AA276" s="1"/>
      <x:c r="AB276" s="1"/>
      <x:c r="AC276" s="1"/>
      <x:c r="AD276" s="1" t="s">
        <x:v>475</x:v>
      </x:c>
      <x:c r="AE276" s="1" t="s">
        <x:v>182</x:v>
      </x:c>
      <x:c r="AF276" s="1">
        <x:v>8.4629999999999992</x:v>
      </x:c>
      <x:c r="AG276" s="1">
        <x:v>13870</x:v>
      </x:c>
      <x:c r="AH276" s="1"/>
      <x:c r="AI276" s="1" t="s">
        <x:v>304</x:v>
      </x:c>
      <x:c r="AJ276" s="1" t="s">
        <x:v>47</x:v>
      </x:c>
      <x:c r="AK276" s="1">
        <x:v>6.1340000000000003</x:v>
      </x:c>
      <x:c r="AL276" s="1">
        <x:v>319750</x:v>
      </x:c>
      <x:c r="AM276" s="1"/>
      <x:c r="AN276" s="1"/>
      <x:c r="AO276" s="1"/>
      <x:c r="AP276" s="1"/>
      <x:c r="AQ276" s="1"/>
      <x:c r="AR276" s="1"/>
    </x:row>
    <x:row r="277">
      <x:c r="A277" s="1"/>
      <x:c r="B277" s="1"/>
      <x:c r="C277" s="1"/>
      <x:c r="D277" s="1"/>
      <x:c r="E277" s="1"/>
      <x:c r="F277" s="1"/>
      <x:c r="G277" s="1"/>
      <x:c r="H277" s="1"/>
      <x:c r="I277" s="1"/>
      <x:c r="J277" s="1"/>
      <x:c r="K277" s="1"/>
      <x:c r="L277" s="1"/>
      <x:c r="M277" s="1"/>
      <x:c r="N277" s="1"/>
      <x:c r="O277" s="1"/>
      <x:c r="P277" s="1"/>
      <x:c r="Q277" s="1"/>
      <x:c r="R277" s="1"/>
      <x:c r="S277" s="1"/>
      <x:c r="T277" s="1"/>
      <x:c r="U277" s="1"/>
      <x:c r="V277" s="1"/>
      <x:c r="W277" s="1"/>
      <x:c r="X277" s="1"/>
      <x:c r="Y277" s="1"/>
      <x:c r="Z277" s="1"/>
      <x:c r="AA277" s="1"/>
      <x:c r="AB277" s="1"/>
      <x:c r="AC277" s="1"/>
      <x:c r="AD277" s="1" t="s">
        <x:v>476</x:v>
      </x:c>
      <x:c r="AE277" s="1" t="s">
        <x:v>19</x:v>
      </x:c>
      <x:c r="AF277" s="1">
        <x:v>11.535</x:v>
      </x:c>
      <x:c r="AG277" s="1">
        <x:v>10540</x:v>
      </x:c>
      <x:c r="AH277" s="1"/>
      <x:c r="AI277" s="1" t="s">
        <x:v>477</x:v>
      </x:c>
      <x:c r="AJ277" s="1" t="s">
        <x:v>51</x:v>
      </x:c>
      <x:c r="AK277" s="1">
        <x:v>6.093</x:v>
      </x:c>
      <x:c r="AL277" s="1">
        <x:v>361080</x:v>
      </x:c>
      <x:c r="AM277" s="1"/>
      <x:c r="AN277" s="1"/>
      <x:c r="AO277" s="1"/>
      <x:c r="AP277" s="1"/>
      <x:c r="AQ277" s="1"/>
      <x:c r="AR277" s="1"/>
    </x:row>
    <x:row r="278">
      <x:c r="A278" s="1"/>
      <x:c r="B278" s="1"/>
      <x:c r="C278" s="1"/>
      <x:c r="D278" s="1"/>
      <x:c r="E278" s="1"/>
      <x:c r="F278" s="1"/>
      <x:c r="G278" s="1"/>
      <x:c r="H278" s="1"/>
      <x:c r="I278" s="1"/>
      <x:c r="J278" s="1"/>
      <x:c r="K278" s="1"/>
      <x:c r="L278" s="1"/>
      <x:c r="M278" s="1"/>
      <x:c r="N278" s="1"/>
      <x:c r="O278" s="1"/>
      <x:c r="P278" s="1"/>
      <x:c r="Q278" s="1"/>
      <x:c r="R278" s="1"/>
      <x:c r="S278" s="1"/>
      <x:c r="T278" s="1"/>
      <x:c r="U278" s="1"/>
      <x:c r="V278" s="1"/>
      <x:c r="W278" s="1"/>
      <x:c r="X278" s="1"/>
      <x:c r="Y278" s="1"/>
      <x:c r="Z278" s="1"/>
      <x:c r="AA278" s="1"/>
      <x:c r="AB278" s="1"/>
      <x:c r="AC278" s="1"/>
      <x:c r="AD278" s="1" t="s">
        <x:v>478</x:v>
      </x:c>
      <x:c r="AE278" s="1" t="s">
        <x:v>10</x:v>
      </x:c>
      <x:c r="AF278" s="1">
        <x:v>11.202999999999999</x:v>
      </x:c>
      <x:c r="AG278" s="1">
        <x:v>19540</x:v>
      </x:c>
      <x:c r="AH278" s="1"/>
      <x:c r="AI278" s="1" t="s">
        <x:v>479</x:v>
      </x:c>
      <x:c r="AJ278" s="1" t="s">
        <x:v>67</x:v>
      </x:c>
      <x:c r="AK278" s="1">
        <x:v>6.0039999999999996</x:v>
      </x:c>
      <x:c r="AL278" s="1">
        <x:v>11710</x:v>
      </x:c>
      <x:c r="AM278" s="1"/>
      <x:c r="AN278" s="1"/>
      <x:c r="AO278" s="1"/>
      <x:c r="AP278" s="1"/>
      <x:c r="AQ278" s="1"/>
      <x:c r="AR278" s="1"/>
    </x:row>
    <x:row r="279">
      <x:c r="A279" s="1"/>
      <x:c r="B279" s="1"/>
      <x:c r="C279" s="1"/>
      <x:c r="D279" s="1"/>
      <x:c r="E279" s="1"/>
      <x:c r="F279" s="1"/>
      <x:c r="G279" s="1"/>
      <x:c r="H279" s="1"/>
      <x:c r="I279" s="1"/>
      <x:c r="J279" s="1"/>
      <x:c r="K279" s="1"/>
      <x:c r="L279" s="1"/>
      <x:c r="M279" s="1"/>
      <x:c r="N279" s="1"/>
      <x:c r="O279" s="1"/>
      <x:c r="P279" s="1"/>
      <x:c r="Q279" s="1"/>
      <x:c r="R279" s="1"/>
      <x:c r="S279" s="1"/>
      <x:c r="T279" s="1"/>
      <x:c r="U279" s="1"/>
      <x:c r="V279" s="1"/>
      <x:c r="W279" s="1"/>
      <x:c r="X279" s="1"/>
      <x:c r="Y279" s="1"/>
      <x:c r="Z279" s="1"/>
      <x:c r="AA279" s="1"/>
      <x:c r="AB279" s="1"/>
      <x:c r="AC279" s="1"/>
      <x:c r="AD279" s="1" t="s">
        <x:v>480</x:v>
      </x:c>
      <x:c r="AE279" s="1" t="s">
        <x:v>14</x:v>
      </x:c>
      <x:c r="AF279" s="1">
        <x:v>10.817</x:v>
      </x:c>
      <x:c r="AG279" s="1">
        <x:v>17480</x:v>
      </x:c>
      <x:c r="AH279" s="1"/>
      <x:c r="AI279" s="1" t="s">
        <x:v>481</x:v>
      </x:c>
      <x:c r="AJ279" s="1" t="s">
        <x:v>59</x:v>
      </x:c>
      <x:c r="AK279" s="1">
        <x:v>5.8879999999999999</x:v>
      </x:c>
      <x:c r="AL279" s="1">
        <x:v>346520</x:v>
      </x:c>
      <x:c r="AM279" s="1"/>
      <x:c r="AN279" s="1"/>
      <x:c r="AO279" s="1"/>
      <x:c r="AP279" s="1"/>
      <x:c r="AQ279" s="1"/>
      <x:c r="AR279" s="1"/>
    </x:row>
    <x:row r="280">
      <x:c r="A280" s="1"/>
      <x:c r="B280" s="1"/>
      <x:c r="C280" s="1"/>
      <x:c r="D280" s="1"/>
      <x:c r="E280" s="1"/>
      <x:c r="F280" s="1"/>
      <x:c r="G280" s="1"/>
      <x:c r="H280" s="1"/>
      <x:c r="I280" s="1"/>
      <x:c r="J280" s="1"/>
      <x:c r="K280" s="1"/>
      <x:c r="L280" s="1"/>
      <x:c r="M280" s="1"/>
      <x:c r="N280" s="1"/>
      <x:c r="O280" s="1"/>
      <x:c r="P280" s="1"/>
      <x:c r="Q280" s="1"/>
      <x:c r="R280" s="1"/>
      <x:c r="S280" s="1"/>
      <x:c r="T280" s="1"/>
      <x:c r="U280" s="1"/>
      <x:c r="V280" s="1"/>
      <x:c r="W280" s="1"/>
      <x:c r="X280" s="1"/>
      <x:c r="Y280" s="1"/>
      <x:c r="Z280" s="1"/>
      <x:c r="AA280" s="1"/>
      <x:c r="AB280" s="1"/>
      <x:c r="AC280" s="1"/>
      <x:c r="AD280" s="1" t="s">
        <x:v>482</x:v>
      </x:c>
      <x:c r="AE280" s="1" t="s">
        <x:v>30</x:v>
      </x:c>
      <x:c r="AF280" s="1">
        <x:v>10.723000000000001</x:v>
      </x:c>
      <x:c r="AG280" s="1">
        <x:v>5600</x:v>
      </x:c>
      <x:c r="AH280" s="1"/>
      <x:c r="AI280" s="1" t="s">
        <x:v>483</x:v>
      </x:c>
      <x:c r="AJ280" s="1" t="s">
        <x:v>63</x:v>
      </x:c>
      <x:c r="AK280" s="1">
        <x:v>5.6509999999999998</x:v>
      </x:c>
      <x:c r="AL280" s="1">
        <x:v>446350</x:v>
      </x:c>
      <x:c r="AM280" s="1"/>
      <x:c r="AN280" s="1"/>
      <x:c r="AO280" s="1"/>
      <x:c r="AP280" s="1"/>
      <x:c r="AQ280" s="1"/>
      <x:c r="AR280" s="1"/>
    </x:row>
    <x:row r="281">
      <x:c r="A281" s="1"/>
      <x:c r="B281" s="1"/>
      <x:c r="C281" s="1"/>
      <x:c r="D281" s="1"/>
      <x:c r="E281" s="1"/>
      <x:c r="F281" s="1"/>
      <x:c r="G281" s="1"/>
      <x:c r="H281" s="1"/>
      <x:c r="I281" s="1"/>
      <x:c r="J281" s="1"/>
      <x:c r="K281" s="1"/>
      <x:c r="L281" s="1"/>
      <x:c r="M281" s="1"/>
      <x:c r="N281" s="1"/>
      <x:c r="O281" s="1"/>
      <x:c r="P281" s="1"/>
      <x:c r="Q281" s="1"/>
      <x:c r="R281" s="1"/>
      <x:c r="S281" s="1"/>
      <x:c r="T281" s="1"/>
      <x:c r="U281" s="1"/>
      <x:c r="V281" s="1"/>
      <x:c r="W281" s="1"/>
      <x:c r="X281" s="1"/>
      <x:c r="Y281" s="1"/>
      <x:c r="Z281" s="1"/>
      <x:c r="AA281" s="1"/>
      <x:c r="AB281" s="1"/>
      <x:c r="AC281" s="1"/>
      <x:c r="AD281" s="1" t="s">
        <x:v>484</x:v>
      </x:c>
      <x:c r="AE281" s="1" t="s">
        <x:v>34</x:v>
      </x:c>
      <x:c r="AF281" s="1">
        <x:v>10.093999999999999</x:v>
      </x:c>
      <x:c r="AG281" s="1">
        <x:v>10000</x:v>
      </x:c>
      <x:c r="AH281" s="1"/>
      <x:c r="AI281" s="1" t="s">
        <x:v>485</x:v>
      </x:c>
      <x:c r="AJ281" s="1" t="s">
        <x:v>75</x:v>
      </x:c>
      <x:c r="AK281" s="1">
        <x:v>5.59</x:v>
      </x:c>
      <x:c r="AL281" s="1">
        <x:v>6120</x:v>
      </x:c>
      <x:c r="AM281" s="1"/>
      <x:c r="AN281" s="1"/>
      <x:c r="AO281" s="1"/>
      <x:c r="AP281" s="1"/>
      <x:c r="AQ281" s="1"/>
      <x:c r="AR281" s="1"/>
    </x:row>
    <x:row r="282">
      <x:c r="A282" s="1"/>
      <x:c r="B282" s="1"/>
      <x:c r="C282" s="1"/>
      <x:c r="D282" s="1"/>
      <x:c r="E282" s="1"/>
      <x:c r="F282" s="1"/>
      <x:c r="G282" s="1"/>
      <x:c r="H282" s="1"/>
      <x:c r="I282" s="1"/>
      <x:c r="J282" s="1"/>
      <x:c r="K282" s="1"/>
      <x:c r="L282" s="1"/>
      <x:c r="M282" s="1"/>
      <x:c r="N282" s="1"/>
      <x:c r="O282" s="1"/>
      <x:c r="P282" s="1"/>
      <x:c r="Q282" s="1"/>
      <x:c r="R282" s="1"/>
      <x:c r="S282" s="1"/>
      <x:c r="T282" s="1"/>
      <x:c r="U282" s="1"/>
      <x:c r="V282" s="1"/>
      <x:c r="W282" s="1"/>
      <x:c r="X282" s="1"/>
      <x:c r="Y282" s="1"/>
      <x:c r="Z282" s="1"/>
      <x:c r="AA282" s="1"/>
      <x:c r="AB282" s="1"/>
      <x:c r="AC282" s="1"/>
      <x:c r="AD282" s="1" t="s">
        <x:v>486</x:v>
      </x:c>
      <x:c r="AE282" s="1" t="s">
        <x:v>46</x:v>
      </x:c>
      <x:c r="AF282" s="1">
        <x:v>10.002000000000001</x:v>
      </x:c>
      <x:c r="AG282" s="1">
        <x:v>15580</x:v>
      </x:c>
      <x:c r="AH282" s="1"/>
      <x:c r="AI282" s="1" t="s">
        <x:v>487</x:v>
      </x:c>
      <x:c r="AJ282" s="1" t="s">
        <x:v>71</x:v>
      </x:c>
      <x:c r="AK282" s="1">
        <x:v>5.4470000000000001</x:v>
      </x:c>
      <x:c r="AL282" s="1">
        <x:v>655810</x:v>
      </x:c>
      <x:c r="AM282" s="1"/>
      <x:c r="AN282" s="1"/>
      <x:c r="AO282" s="1"/>
      <x:c r="AP282" s="1"/>
      <x:c r="AQ282" s="1"/>
      <x:c r="AR282" s="1"/>
    </x:row>
    <x:row r="283">
      <x:c r="A283" s="1"/>
      <x:c r="B283" s="1"/>
      <x:c r="C283" s="1"/>
      <x:c r="D283" s="1"/>
      <x:c r="E283" s="1"/>
      <x:c r="F283" s="1"/>
      <x:c r="G283" s="1"/>
      <x:c r="H283" s="1"/>
      <x:c r="I283" s="1"/>
      <x:c r="J283" s="1"/>
      <x:c r="K283" s="1"/>
      <x:c r="L283" s="1"/>
      <x:c r="M283" s="1"/>
      <x:c r="N283" s="1"/>
      <x:c r="O283" s="1"/>
      <x:c r="P283" s="1"/>
      <x:c r="Q283" s="1"/>
      <x:c r="R283" s="1"/>
      <x:c r="S283" s="1"/>
      <x:c r="T283" s="1"/>
      <x:c r="U283" s="1"/>
      <x:c r="V283" s="1"/>
      <x:c r="W283" s="1"/>
      <x:c r="X283" s="1"/>
      <x:c r="Y283" s="1"/>
      <x:c r="Z283" s="1"/>
      <x:c r="AA283" s="1"/>
      <x:c r="AB283" s="1"/>
      <x:c r="AC283" s="1"/>
      <x:c r="AD283" s="1" t="s">
        <x:v>488</x:v>
      </x:c>
      <x:c r="AE283" s="1" t="s">
        <x:v>86</x:v>
      </x:c>
      <x:c r="AF283" s="1">
        <x:v>9.766</x:v>
      </x:c>
      <x:c r="AG283" s="1">
        <x:v>13540</x:v>
      </x:c>
      <x:c r="AH283" s="1"/>
      <x:c r="AI283" s="1" t="s">
        <x:v>489</x:v>
      </x:c>
      <x:c r="AJ283" s="1" t="s">
        <x:v>79</x:v>
      </x:c>
      <x:c r="AK283" s="1">
        <x:v>5.093</x:v>
      </x:c>
      <x:c r="AL283" s="1">
        <x:v>191980</x:v>
      </x:c>
      <x:c r="AM283" s="1"/>
      <x:c r="AN283" s="1"/>
      <x:c r="AO283" s="1"/>
      <x:c r="AP283" s="1"/>
      <x:c r="AQ283" s="1"/>
      <x:c r="AR283" s="1"/>
    </x:row>
    <x:row r="284">
      <x:c r="A284" s="1"/>
      <x:c r="B284" s="1"/>
      <x:c r="C284" s="1"/>
      <x:c r="D284" s="1"/>
      <x:c r="E284" s="1"/>
      <x:c r="F284" s="1"/>
      <x:c r="G284" s="1"/>
      <x:c r="H284" s="1"/>
      <x:c r="I284" s="1"/>
      <x:c r="J284" s="1"/>
      <x:c r="K284" s="1"/>
      <x:c r="L284" s="1"/>
      <x:c r="M284" s="1"/>
      <x:c r="N284" s="1"/>
      <x:c r="O284" s="1"/>
      <x:c r="P284" s="1"/>
      <x:c r="Q284" s="1"/>
      <x:c r="R284" s="1"/>
      <x:c r="S284" s="1"/>
      <x:c r="T284" s="1"/>
      <x:c r="U284" s="1"/>
      <x:c r="V284" s="1"/>
      <x:c r="W284" s="1"/>
      <x:c r="X284" s="1"/>
      <x:c r="Y284" s="1"/>
      <x:c r="Z284" s="1"/>
      <x:c r="AA284" s="1"/>
      <x:c r="AB284" s="1"/>
      <x:c r="AC284" s="1"/>
      <x:c r="AD284" s="1" t="s">
        <x:v>490</x:v>
      </x:c>
      <x:c r="AE284" s="1" t="s">
        <x:v>38</x:v>
      </x:c>
      <x:c r="AF284" s="1">
        <x:v>9.6929999999999996</x:v>
      </x:c>
      <x:c r="AG284" s="1">
        <x:v>41640</x:v>
      </x:c>
      <x:c r="AH284" s="1"/>
      <x:c r="AI284" s="1" t="s">
        <x:v>491</x:v>
      </x:c>
      <x:c r="AJ284" s="1" t="s">
        <x:v>83</x:v>
      </x:c>
      <x:c r="AK284" s="1">
        <x:v>4.4790000000000001</x:v>
      </x:c>
      <x:c r="AL284" s="1">
        <x:v>148220</x:v>
      </x:c>
      <x:c r="AM284" s="1"/>
      <x:c r="AN284" s="1"/>
      <x:c r="AO284" s="1"/>
      <x:c r="AP284" s="1"/>
      <x:c r="AQ284" s="1"/>
      <x:c r="AR284" s="1"/>
    </x:row>
    <x:row r="285">
      <x:c r="A285" s="1"/>
      <x:c r="B285" s="1"/>
      <x:c r="C285" s="1"/>
      <x:c r="D285" s="1"/>
      <x:c r="E285" s="1"/>
      <x:c r="F285" s="1"/>
      <x:c r="G285" s="1"/>
      <x:c r="H285" s="1"/>
      <x:c r="I285" s="1"/>
      <x:c r="J285" s="1"/>
      <x:c r="K285" s="1"/>
      <x:c r="L285" s="1"/>
      <x:c r="M285" s="1"/>
      <x:c r="N285" s="1"/>
      <x:c r="O285" s="1"/>
      <x:c r="P285" s="1"/>
      <x:c r="Q285" s="1"/>
      <x:c r="R285" s="1"/>
      <x:c r="S285" s="1"/>
      <x:c r="T285" s="1"/>
      <x:c r="U285" s="1"/>
      <x:c r="V285" s="1"/>
      <x:c r="W285" s="1"/>
      <x:c r="X285" s="1"/>
      <x:c r="Y285" s="1"/>
      <x:c r="Z285" s="1"/>
      <x:c r="AA285" s="1"/>
      <x:c r="AB285" s="1"/>
      <x:c r="AC285" s="1"/>
      <x:c r="AD285" s="1" t="s">
        <x:v>492</x:v>
      </x:c>
      <x:c r="AE285" s="1" t="s">
        <x:v>42</x:v>
      </x:c>
      <x:c r="AF285" s="1">
        <x:v>9.6809999999999992</x:v>
      </x:c>
      <x:c r="AG285" s="1">
        <x:v>15100</x:v>
      </x:c>
      <x:c r="AH285" s="1"/>
      <x:c r="AI285" s="1" t="s">
        <x:v>306</x:v>
      </x:c>
      <x:c r="AJ285" s="1" t="s">
        <x:v>10</x:v>
      </x:c>
      <x:c r="AK285" s="1">
        <x:v>10.717000000000001</x:v>
      </x:c>
      <x:c r="AL285" s="1">
        <x:v>18120</x:v>
      </x:c>
      <x:c r="AM285" s="1"/>
      <x:c r="AN285" s="1"/>
      <x:c r="AO285" s="1"/>
      <x:c r="AP285" s="1"/>
      <x:c r="AQ285" s="1"/>
      <x:c r="AR285" s="1"/>
    </x:row>
    <x:row r="286">
      <x:c r="A286" s="1"/>
      <x:c r="B286" s="1"/>
      <x:c r="C286" s="1"/>
      <x:c r="D286" s="1"/>
      <x:c r="E286" s="1"/>
      <x:c r="F286" s="1"/>
      <x:c r="G286" s="1"/>
      <x:c r="H286" s="1"/>
      <x:c r="I286" s="1"/>
      <x:c r="J286" s="1"/>
      <x:c r="K286" s="1"/>
      <x:c r="L286" s="1"/>
      <x:c r="M286" s="1"/>
      <x:c r="N286" s="1"/>
      <x:c r="O286" s="1"/>
      <x:c r="P286" s="1"/>
      <x:c r="Q286" s="1"/>
      <x:c r="R286" s="1"/>
      <x:c r="S286" s="1"/>
      <x:c r="T286" s="1"/>
      <x:c r="U286" s="1"/>
      <x:c r="V286" s="1"/>
      <x:c r="W286" s="1"/>
      <x:c r="X286" s="1"/>
      <x:c r="Y286" s="1"/>
      <x:c r="Z286" s="1"/>
      <x:c r="AA286" s="1"/>
      <x:c r="AB286" s="1"/>
      <x:c r="AC286" s="1"/>
      <x:c r="AD286" s="1" t="s">
        <x:v>493</x:v>
      </x:c>
      <x:c r="AE286" s="1" t="s">
        <x:v>50</x:v>
      </x:c>
      <x:c r="AF286" s="1">
        <x:v>9.6010000000000009</x:v>
      </x:c>
      <x:c r="AG286" s="1">
        <x:v>23710</x:v>
      </x:c>
      <x:c r="AH286" s="1"/>
      <x:c r="AI286" s="1" t="s">
        <x:v>308</x:v>
      </x:c>
      <x:c r="AJ286" s="1" t="s">
        <x:v>14</x:v>
      </x:c>
      <x:c r="AK286" s="1">
        <x:v>10.055</x:v>
      </x:c>
      <x:c r="AL286" s="1">
        <x:v>15900</x:v>
      </x:c>
      <x:c r="AM286" s="1"/>
      <x:c r="AN286" s="1"/>
      <x:c r="AO286" s="1"/>
      <x:c r="AP286" s="1"/>
      <x:c r="AQ286" s="1"/>
      <x:c r="AR286" s="1"/>
    </x:row>
    <x:row r="287">
      <x:c r="A287" s="1"/>
      <x:c r="B287" s="1"/>
      <x:c r="C287" s="1"/>
      <x:c r="D287" s="1"/>
      <x:c r="E287" s="1"/>
      <x:c r="F287" s="1"/>
      <x:c r="G287" s="1"/>
      <x:c r="H287" s="1"/>
      <x:c r="I287" s="1"/>
      <x:c r="J287" s="1"/>
      <x:c r="K287" s="1"/>
      <x:c r="L287" s="1"/>
      <x:c r="M287" s="1"/>
      <x:c r="N287" s="1"/>
      <x:c r="O287" s="1"/>
      <x:c r="P287" s="1"/>
      <x:c r="Q287" s="1"/>
      <x:c r="R287" s="1"/>
      <x:c r="S287" s="1"/>
      <x:c r="T287" s="1"/>
      <x:c r="U287" s="1"/>
      <x:c r="V287" s="1"/>
      <x:c r="W287" s="1"/>
      <x:c r="X287" s="1"/>
      <x:c r="Y287" s="1"/>
      <x:c r="Z287" s="1"/>
      <x:c r="AA287" s="1"/>
      <x:c r="AB287" s="1"/>
      <x:c r="AC287" s="1"/>
      <x:c r="AD287" s="1" t="s">
        <x:v>494</x:v>
      </x:c>
      <x:c r="AE287" s="1" t="s">
        <x:v>10</x:v>
      </x:c>
      <x:c r="AF287" s="1">
        <x:v>12.38</x:v>
      </x:c>
      <x:c r="AG287" s="1">
        <x:v>26360</x:v>
      </x:c>
      <x:c r="AH287" s="1"/>
      <x:c r="AI287" s="1" t="s">
        <x:v>310</x:v>
      </x:c>
      <x:c r="AJ287" s="1" t="s">
        <x:v>20</x:v>
      </x:c>
      <x:c r="AK287" s="1">
        <x:v>8.5299999999999994</x:v>
      </x:c>
      <x:c r="AL287" s="1">
        <x:v>36540</x:v>
      </x:c>
      <x:c r="AM287" s="1"/>
      <x:c r="AN287" s="1"/>
      <x:c r="AO287" s="1"/>
      <x:c r="AP287" s="1"/>
      <x:c r="AQ287" s="1"/>
      <x:c r="AR287" s="1"/>
    </x:row>
    <x:row r="288">
      <x:c r="A288" s="1"/>
      <x:c r="B288" s="1"/>
      <x:c r="C288" s="1"/>
      <x:c r="D288" s="1"/>
      <x:c r="E288" s="1"/>
      <x:c r="F288" s="1"/>
      <x:c r="G288" s="1"/>
      <x:c r="H288" s="1"/>
      <x:c r="I288" s="1"/>
      <x:c r="J288" s="1"/>
      <x:c r="K288" s="1"/>
      <x:c r="L288" s="1"/>
      <x:c r="M288" s="1"/>
      <x:c r="N288" s="1"/>
      <x:c r="O288" s="1"/>
      <x:c r="P288" s="1"/>
      <x:c r="Q288" s="1"/>
      <x:c r="R288" s="1"/>
      <x:c r="S288" s="1"/>
      <x:c r="T288" s="1"/>
      <x:c r="U288" s="1"/>
      <x:c r="V288" s="1"/>
      <x:c r="W288" s="1"/>
      <x:c r="X288" s="1"/>
      <x:c r="Y288" s="1"/>
      <x:c r="Z288" s="1"/>
      <x:c r="AA288" s="1"/>
      <x:c r="AB288" s="1"/>
      <x:c r="AC288" s="1"/>
      <x:c r="AD288" s="1" t="s">
        <x:v>495</x:v>
      </x:c>
      <x:c r="AE288" s="1" t="s">
        <x:v>14</x:v>
      </x:c>
      <x:c r="AF288" s="1">
        <x:v>11.411</x:v>
      </x:c>
      <x:c r="AG288" s="1">
        <x:v>22720</x:v>
      </x:c>
      <x:c r="AH288" s="1"/>
      <x:c r="AI288" s="1" t="s">
        <x:v>311</x:v>
      </x:c>
      <x:c r="AJ288" s="1" t="s">
        <x:v>27</x:v>
      </x:c>
      <x:c r="AK288" s="1">
        <x:v>8.1489999999999991</x:v>
      </x:c>
      <x:c r="AL288" s="1">
        <x:v>202930</x:v>
      </x:c>
      <x:c r="AM288" s="1"/>
      <x:c r="AN288" s="1"/>
      <x:c r="AO288" s="1"/>
      <x:c r="AP288" s="1"/>
      <x:c r="AQ288" s="1"/>
      <x:c r="AR288" s="1"/>
    </x:row>
    <x:row r="289">
      <x:c r="A289" s="1"/>
      <x:c r="B289" s="1"/>
      <x:c r="C289" s="1"/>
      <x:c r="D289" s="1"/>
      <x:c r="E289" s="1"/>
      <x:c r="F289" s="1"/>
      <x:c r="G289" s="1"/>
      <x:c r="H289" s="1"/>
      <x:c r="I289" s="1"/>
      <x:c r="J289" s="1"/>
      <x:c r="K289" s="1"/>
      <x:c r="L289" s="1"/>
      <x:c r="M289" s="1"/>
      <x:c r="N289" s="1"/>
      <x:c r="O289" s="1"/>
      <x:c r="P289" s="1"/>
      <x:c r="Q289" s="1"/>
      <x:c r="R289" s="1"/>
      <x:c r="S289" s="1"/>
      <x:c r="T289" s="1"/>
      <x:c r="U289" s="1"/>
      <x:c r="V289" s="1"/>
      <x:c r="W289" s="1"/>
      <x:c r="X289" s="1"/>
      <x:c r="Y289" s="1"/>
      <x:c r="Z289" s="1"/>
      <x:c r="AA289" s="1"/>
      <x:c r="AB289" s="1"/>
      <x:c r="AC289" s="1"/>
      <x:c r="AD289" s="1" t="s">
        <x:v>496</x:v>
      </x:c>
      <x:c r="AE289" s="1" t="s">
        <x:v>20</x:v>
      </x:c>
      <x:c r="AF289" s="1">
        <x:v>9.7870000000000008</x:v>
      </x:c>
      <x:c r="AG289" s="1">
        <x:v>48160</x:v>
      </x:c>
      <x:c r="AH289" s="1"/>
      <x:c r="AI289" s="1" t="s">
        <x:v>312</x:v>
      </x:c>
      <x:c r="AJ289" s="1" t="s">
        <x:v>39</x:v>
      </x:c>
      <x:c r="AK289" s="1">
        <x:v>7.88</x:v>
      </x:c>
      <x:c r="AL289" s="1">
        <x:v>93940</x:v>
      </x:c>
      <x:c r="AM289" s="1"/>
      <x:c r="AN289" s="1"/>
      <x:c r="AO289" s="1"/>
      <x:c r="AP289" s="1"/>
      <x:c r="AQ289" s="1"/>
      <x:c r="AR289" s="1"/>
    </x:row>
    <x:row r="290">
      <x:c r="A290" s="1"/>
      <x:c r="B290" s="1"/>
      <x:c r="C290" s="1"/>
      <x:c r="D290" s="1"/>
      <x:c r="E290" s="1"/>
      <x:c r="F290" s="1"/>
      <x:c r="G290" s="1"/>
      <x:c r="H290" s="1"/>
      <x:c r="I290" s="1"/>
      <x:c r="J290" s="1"/>
      <x:c r="K290" s="1"/>
      <x:c r="L290" s="1"/>
      <x:c r="M290" s="1"/>
      <x:c r="N290" s="1"/>
      <x:c r="O290" s="1"/>
      <x:c r="P290" s="1"/>
      <x:c r="Q290" s="1"/>
      <x:c r="R290" s="1"/>
      <x:c r="S290" s="1"/>
      <x:c r="T290" s="1"/>
      <x:c r="U290" s="1"/>
      <x:c r="V290" s="1"/>
      <x:c r="W290" s="1"/>
      <x:c r="X290" s="1"/>
      <x:c r="Y290" s="1"/>
      <x:c r="Z290" s="1"/>
      <x:c r="AA290" s="1"/>
      <x:c r="AB290" s="1"/>
      <x:c r="AC290" s="1"/>
      <x:c r="AD290" s="1" t="s">
        <x:v>497</x:v>
      </x:c>
      <x:c r="AE290" s="1" t="s">
        <x:v>19</x:v>
      </x:c>
      <x:c r="AF290" s="1">
        <x:v>8.5730000000000004</x:v>
      </x:c>
      <x:c r="AG290" s="1">
        <x:v>8630</x:v>
      </x:c>
      <x:c r="AH290" s="1"/>
      <x:c r="AI290" s="1" t="s">
        <x:v>313</x:v>
      </x:c>
      <x:c r="AJ290" s="1" t="s">
        <x:v>35</x:v>
      </x:c>
      <x:c r="AK290" s="1">
        <x:v>7.8620000000000001</x:v>
      </x:c>
      <x:c r="AL290" s="1">
        <x:v>102250</x:v>
      </x:c>
      <x:c r="AM290" s="1"/>
      <x:c r="AN290" s="1"/>
      <x:c r="AO290" s="1"/>
      <x:c r="AP290" s="1"/>
      <x:c r="AQ290" s="1"/>
      <x:c r="AR290" s="1"/>
    </x:row>
    <x:row r="291">
      <x:c r="A291" s="1"/>
      <x:c r="B291" s="1"/>
      <x:c r="C291" s="1"/>
      <x:c r="D291" s="1"/>
      <x:c r="E291" s="1"/>
      <x:c r="F291" s="1"/>
      <x:c r="G291" s="1"/>
      <x:c r="H291" s="1"/>
      <x:c r="I291" s="1"/>
      <x:c r="J291" s="1"/>
      <x:c r="K291" s="1"/>
      <x:c r="L291" s="1"/>
      <x:c r="M291" s="1"/>
      <x:c r="N291" s="1"/>
      <x:c r="O291" s="1"/>
      <x:c r="P291" s="1"/>
      <x:c r="Q291" s="1"/>
      <x:c r="R291" s="1"/>
      <x:c r="S291" s="1"/>
      <x:c r="T291" s="1"/>
      <x:c r="U291" s="1"/>
      <x:c r="V291" s="1"/>
      <x:c r="W291" s="1"/>
      <x:c r="X291" s="1"/>
      <x:c r="Y291" s="1"/>
      <x:c r="Z291" s="1"/>
      <x:c r="AA291" s="1"/>
      <x:c r="AB291" s="1"/>
      <x:c r="AC291" s="1"/>
      <x:c r="AD291" s="1" t="s">
        <x:v>498</x:v>
      </x:c>
      <x:c r="AE291" s="1" t="s">
        <x:v>30</x:v>
      </x:c>
      <x:c r="AF291" s="1">
        <x:v>7.8239999999999998</x:v>
      </x:c>
      <x:c r="AG291" s="1">
        <x:v>4430</x:v>
      </x:c>
      <x:c r="AH291" s="1"/>
      <x:c r="AI291" s="1" t="s">
        <x:v>314</x:v>
      </x:c>
      <x:c r="AJ291" s="1" t="s">
        <x:v>31</x:v>
      </x:c>
      <x:c r="AK291" s="1">
        <x:v>7.8250000000000002</x:v>
      </x:c>
      <x:c r="AL291" s="1">
        <x:v>218630</x:v>
      </x:c>
      <x:c r="AM291" s="1"/>
      <x:c r="AN291" s="1"/>
      <x:c r="AO291" s="1"/>
      <x:c r="AP291" s="1"/>
      <x:c r="AQ291" s="1"/>
      <x:c r="AR291" s="1"/>
    </x:row>
    <x:row r="292">
      <x:c r="A292" s="1"/>
      <x:c r="B292" s="1"/>
      <x:c r="C292" s="1"/>
      <x:c r="D292" s="1"/>
      <x:c r="E292" s="1"/>
      <x:c r="F292" s="1"/>
      <x:c r="G292" s="1"/>
      <x:c r="H292" s="1"/>
      <x:c r="I292" s="1"/>
      <x:c r="J292" s="1"/>
      <x:c r="K292" s="1"/>
      <x:c r="L292" s="1"/>
      <x:c r="M292" s="1"/>
      <x:c r="N292" s="1"/>
      <x:c r="O292" s="1"/>
      <x:c r="P292" s="1"/>
      <x:c r="Q292" s="1"/>
      <x:c r="R292" s="1"/>
      <x:c r="S292" s="1"/>
      <x:c r="T292" s="1"/>
      <x:c r="U292" s="1"/>
      <x:c r="V292" s="1"/>
      <x:c r="W292" s="1"/>
      <x:c r="X292" s="1"/>
      <x:c r="Y292" s="1"/>
      <x:c r="Z292" s="1"/>
      <x:c r="AA292" s="1"/>
      <x:c r="AB292" s="1"/>
      <x:c r="AC292" s="1"/>
      <x:c r="AD292" s="1" t="s">
        <x:v>499</x:v>
      </x:c>
      <x:c r="AE292" s="1" t="s">
        <x:v>97</x:v>
      </x:c>
      <x:c r="AF292" s="1">
        <x:v>7.6580000000000004</x:v>
      </x:c>
      <x:c r="AG292" s="1">
        <x:v>10130</x:v>
      </x:c>
      <x:c r="AH292" s="1"/>
      <x:c r="AI292" s="1" t="s">
        <x:v>315</x:v>
      </x:c>
      <x:c r="AJ292" s="1" t="s">
        <x:v>43</x:v>
      </x:c>
      <x:c r="AK292" s="1">
        <x:v>7.6390000000000002</x:v>
      </x:c>
      <x:c r="AL292" s="1">
        <x:v>11200</x:v>
      </x:c>
      <x:c r="AM292" s="1"/>
      <x:c r="AN292" s="1"/>
      <x:c r="AO292" s="1"/>
      <x:c r="AP292" s="1"/>
      <x:c r="AQ292" s="1"/>
      <x:c r="AR292" s="1"/>
    </x:row>
    <x:row r="293">
      <x:c r="A293" s="1"/>
      <x:c r="B293" s="1"/>
      <x:c r="C293" s="1"/>
      <x:c r="D293" s="1"/>
      <x:c r="E293" s="1"/>
      <x:c r="F293" s="1"/>
      <x:c r="G293" s="1"/>
      <x:c r="H293" s="1"/>
      <x:c r="I293" s="1"/>
      <x:c r="J293" s="1"/>
      <x:c r="K293" s="1"/>
      <x:c r="L293" s="1"/>
      <x:c r="M293" s="1"/>
      <x:c r="N293" s="1"/>
      <x:c r="O293" s="1"/>
      <x:c r="P293" s="1"/>
      <x:c r="Q293" s="1"/>
      <x:c r="R293" s="1"/>
      <x:c r="S293" s="1"/>
      <x:c r="T293" s="1"/>
      <x:c r="U293" s="1"/>
      <x:c r="V293" s="1"/>
      <x:c r="W293" s="1"/>
      <x:c r="X293" s="1"/>
      <x:c r="Y293" s="1"/>
      <x:c r="Z293" s="1"/>
      <x:c r="AA293" s="1"/>
      <x:c r="AB293" s="1"/>
      <x:c r="AC293" s="1"/>
      <x:c r="AD293" s="1" t="s">
        <x:v>500</x:v>
      </x:c>
      <x:c r="AE293" s="1" t="s">
        <x:v>50</x:v>
      </x:c>
      <x:c r="AF293" s="1">
        <x:v>7.6539999999999999</x:v>
      </x:c>
      <x:c r="AG293" s="1">
        <x:v>20220</x:v>
      </x:c>
      <x:c r="AH293" s="1"/>
      <x:c r="AI293" s="1" t="s">
        <x:v>316</x:v>
      </x:c>
      <x:c r="AJ293" s="1" t="s">
        <x:v>55</x:v>
      </x:c>
      <x:c r="AK293" s="1">
        <x:v>7.25</x:v>
      </x:c>
      <x:c r="AL293" s="1">
        <x:v>111660</x:v>
      </x:c>
      <x:c r="AM293" s="1"/>
      <x:c r="AN293" s="1"/>
      <x:c r="AO293" s="1"/>
      <x:c r="AP293" s="1"/>
      <x:c r="AQ293" s="1"/>
      <x:c r="AR293" s="1"/>
    </x:row>
    <x:row r="294">
      <x:c r="A294" s="1"/>
      <x:c r="B294" s="1"/>
      <x:c r="C294" s="1"/>
      <x:c r="D294" s="1"/>
      <x:c r="E294" s="1"/>
      <x:c r="F294" s="1"/>
      <x:c r="G294" s="1"/>
      <x:c r="H294" s="1"/>
      <x:c r="I294" s="1"/>
      <x:c r="J294" s="1"/>
      <x:c r="K294" s="1"/>
      <x:c r="L294" s="1"/>
      <x:c r="M294" s="1"/>
      <x:c r="N294" s="1"/>
      <x:c r="O294" s="1"/>
      <x:c r="P294" s="1"/>
      <x:c r="Q294" s="1"/>
      <x:c r="R294" s="1"/>
      <x:c r="S294" s="1"/>
      <x:c r="T294" s="1"/>
      <x:c r="U294" s="1"/>
      <x:c r="V294" s="1"/>
      <x:c r="W294" s="1"/>
      <x:c r="X294" s="1"/>
      <x:c r="Y294" s="1"/>
      <x:c r="Z294" s="1"/>
      <x:c r="AA294" s="1"/>
      <x:c r="AB294" s="1"/>
      <x:c r="AC294" s="1"/>
      <x:c r="AD294" s="1" t="s">
        <x:v>501</x:v>
      </x:c>
      <x:c r="AE294" s="1" t="s">
        <x:v>34</x:v>
      </x:c>
      <x:c r="AF294" s="1">
        <x:v>7.6180000000000003</x:v>
      </x:c>
      <x:c r="AG294" s="1">
        <x:v>8260</x:v>
      </x:c>
      <x:c r="AH294" s="1"/>
      <x:c r="AI294" s="1" t="s">
        <x:v>317</x:v>
      </x:c>
      <x:c r="AJ294" s="1" t="s">
        <x:v>51</x:v>
      </x:c>
      <x:c r="AK294" s="1">
        <x:v>7.2119999999999997</x:v>
      </x:c>
      <x:c r="AL294" s="1">
        <x:v>203850</x:v>
      </x:c>
      <x:c r="AM294" s="1"/>
      <x:c r="AN294" s="1"/>
      <x:c r="AO294" s="1"/>
      <x:c r="AP294" s="1"/>
      <x:c r="AQ294" s="1"/>
      <x:c r="AR294" s="1"/>
    </x:row>
    <x:row r="295">
      <x:c r="A295" s="1"/>
      <x:c r="B295" s="1"/>
      <x:c r="C295" s="1"/>
      <x:c r="D295" s="1"/>
      <x:c r="E295" s="1"/>
      <x:c r="F295" s="1"/>
      <x:c r="G295" s="1"/>
      <x:c r="H295" s="1"/>
      <x:c r="I295" s="1"/>
      <x:c r="J295" s="1"/>
      <x:c r="K295" s="1"/>
      <x:c r="L295" s="1"/>
      <x:c r="M295" s="1"/>
      <x:c r="N295" s="1"/>
      <x:c r="O295" s="1"/>
      <x:c r="P295" s="1"/>
      <x:c r="Q295" s="1"/>
      <x:c r="R295" s="1"/>
      <x:c r="S295" s="1"/>
      <x:c r="T295" s="1"/>
      <x:c r="U295" s="1"/>
      <x:c r="V295" s="1"/>
      <x:c r="W295" s="1"/>
      <x:c r="X295" s="1"/>
      <x:c r="Y295" s="1"/>
      <x:c r="Z295" s="1"/>
      <x:c r="AA295" s="1"/>
      <x:c r="AB295" s="1"/>
      <x:c r="AC295" s="1"/>
      <x:c r="AD295" s="1" t="s">
        <x:v>502</x:v>
      </x:c>
      <x:c r="AE295" s="1" t="s">
        <x:v>182</x:v>
      </x:c>
      <x:c r="AF295" s="1">
        <x:v>7.4660000000000002</x:v>
      </x:c>
      <x:c r="AG295" s="1">
        <x:v>6290</x:v>
      </x:c>
      <x:c r="AH295" s="1"/>
      <x:c r="AI295" s="1" t="s">
        <x:v>503</x:v>
      </x:c>
      <x:c r="AJ295" s="1" t="s">
        <x:v>47</x:v>
      </x:c>
      <x:c r="AK295" s="1">
        <x:v>7.2030000000000003</x:v>
      </x:c>
      <x:c r="AL295" s="1">
        <x:v>178960</x:v>
      </x:c>
      <x:c r="AM295" s="1"/>
      <x:c r="AN295" s="1"/>
      <x:c r="AO295" s="1"/>
      <x:c r="AP295" s="1"/>
      <x:c r="AQ295" s="1"/>
      <x:c r="AR295" s="1"/>
    </x:row>
    <x:row r="296">
      <x:c r="A296" s="1"/>
      <x:c r="B296" s="1"/>
      <x:c r="C296" s="1"/>
      <x:c r="D296" s="1"/>
      <x:c r="E296" s="1"/>
      <x:c r="F296" s="1"/>
      <x:c r="G296" s="1"/>
      <x:c r="H296" s="1"/>
      <x:c r="I296" s="1"/>
      <x:c r="J296" s="1"/>
      <x:c r="K296" s="1"/>
      <x:c r="L296" s="1"/>
      <x:c r="M296" s="1"/>
      <x:c r="N296" s="1"/>
      <x:c r="O296" s="1"/>
      <x:c r="P296" s="1"/>
      <x:c r="Q296" s="1"/>
      <x:c r="R296" s="1"/>
      <x:c r="S296" s="1"/>
      <x:c r="T296" s="1"/>
      <x:c r="U296" s="1"/>
      <x:c r="V296" s="1"/>
      <x:c r="W296" s="1"/>
      <x:c r="X296" s="1"/>
      <x:c r="Y296" s="1"/>
      <x:c r="Z296" s="1"/>
      <x:c r="AA296" s="1"/>
      <x:c r="AB296" s="1"/>
      <x:c r="AC296" s="1"/>
      <x:c r="AD296" s="1" t="s">
        <x:v>504</x:v>
      </x:c>
      <x:c r="AE296" s="1" t="s">
        <x:v>38</x:v>
      </x:c>
      <x:c r="AF296" s="1">
        <x:v>7.4539999999999997</x:v>
      </x:c>
      <x:c r="AG296" s="1">
        <x:v>35150</x:v>
      </x:c>
      <x:c r="AH296" s="1"/>
      <x:c r="AI296" s="1" t="s">
        <x:v>505</x:v>
      </x:c>
      <x:c r="AJ296" s="1" t="s">
        <x:v>59</x:v>
      </x:c>
      <x:c r="AK296" s="1">
        <x:v>6.952</x:v>
      </x:c>
      <x:c r="AL296" s="1">
        <x:v>195970</x:v>
      </x:c>
      <x:c r="AM296" s="1"/>
      <x:c r="AN296" s="1"/>
      <x:c r="AO296" s="1"/>
      <x:c r="AP296" s="1"/>
      <x:c r="AQ296" s="1"/>
      <x:c r="AR296" s="1"/>
    </x:row>
    <x:row r="297">
      <x:c r="A297" s="1"/>
      <x:c r="B297" s="1"/>
      <x:c r="C297" s="1"/>
      <x:c r="D297" s="1"/>
      <x:c r="E297" s="1"/>
      <x:c r="F297" s="1"/>
      <x:c r="G297" s="1"/>
      <x:c r="H297" s="1"/>
      <x:c r="I297" s="1"/>
      <x:c r="J297" s="1"/>
      <x:c r="K297" s="1"/>
      <x:c r="L297" s="1"/>
      <x:c r="M297" s="1"/>
      <x:c r="N297" s="1"/>
      <x:c r="O297" s="1"/>
      <x:c r="P297" s="1"/>
      <x:c r="Q297" s="1"/>
      <x:c r="R297" s="1"/>
      <x:c r="S297" s="1"/>
      <x:c r="T297" s="1"/>
      <x:c r="U297" s="1"/>
      <x:c r="V297" s="1"/>
      <x:c r="W297" s="1"/>
      <x:c r="X297" s="1"/>
      <x:c r="Y297" s="1"/>
      <x:c r="Z297" s="1"/>
      <x:c r="AA297" s="1"/>
      <x:c r="AB297" s="1"/>
      <x:c r="AC297" s="1"/>
      <x:c r="AD297" s="1"/>
      <x:c r="AE297" s="1"/>
      <x:c r="AF297" s="1"/>
      <x:c r="AG297" s="1"/>
      <x:c r="AH297" s="1"/>
      <x:c r="AI297" s="1" t="s">
        <x:v>506</x:v>
      </x:c>
      <x:c r="AJ297" s="1" t="s">
        <x:v>63</x:v>
      </x:c>
      <x:c r="AK297" s="1">
        <x:v>6.5170000000000003</x:v>
      </x:c>
      <x:c r="AL297" s="1">
        <x:v>247870</x:v>
      </x:c>
      <x:c r="AM297" s="1"/>
      <x:c r="AN297" s="1"/>
      <x:c r="AO297" s="1"/>
      <x:c r="AP297" s="1"/>
      <x:c r="AQ297" s="1"/>
      <x:c r="AR297" s="1"/>
    </x:row>
    <x:row r="298">
      <x:c r="A298" s="1"/>
      <x:c r="B298" s="1"/>
      <x:c r="C298" s="1"/>
      <x:c r="D298" s="1"/>
      <x:c r="E298" s="1"/>
      <x:c r="F298" s="1"/>
      <x:c r="G298" s="1"/>
      <x:c r="H298" s="1"/>
      <x:c r="I298" s="1"/>
      <x:c r="J298" s="1"/>
      <x:c r="K298" s="1"/>
      <x:c r="L298" s="1"/>
      <x:c r="M298" s="1"/>
      <x:c r="N298" s="1"/>
      <x:c r="O298" s="1"/>
      <x:c r="P298" s="1"/>
      <x:c r="Q298" s="1"/>
      <x:c r="R298" s="1"/>
      <x:c r="S298" s="1"/>
      <x:c r="T298" s="1"/>
      <x:c r="U298" s="1"/>
      <x:c r="V298" s="1"/>
      <x:c r="W298" s="1"/>
      <x:c r="X298" s="1"/>
      <x:c r="Y298" s="1"/>
      <x:c r="Z298" s="1"/>
      <x:c r="AA298" s="1"/>
      <x:c r="AB298" s="1"/>
      <x:c r="AC298" s="1"/>
      <x:c r="AD298" s="1"/>
      <x:c r="AE298" s="1"/>
      <x:c r="AF298" s="1"/>
      <x:c r="AG298" s="1"/>
      <x:c r="AH298" s="1"/>
      <x:c r="AI298" s="1" t="s">
        <x:v>507</x:v>
      </x:c>
      <x:c r="AJ298" s="1" t="s">
        <x:v>71</x:v>
      </x:c>
      <x:c r="AK298" s="1">
        <x:v>6.3159999999999998</x:v>
      </x:c>
      <x:c r="AL298" s="1">
        <x:v>363910</x:v>
      </x:c>
      <x:c r="AM298" s="1"/>
      <x:c r="AN298" s="1"/>
      <x:c r="AO298" s="1"/>
      <x:c r="AP298" s="1"/>
      <x:c r="AQ298" s="1"/>
      <x:c r="AR298" s="1"/>
    </x:row>
    <x:row r="299">
      <x:c r="A299" s="1"/>
      <x:c r="B299" s="1"/>
      <x:c r="C299" s="1"/>
      <x:c r="D299" s="1"/>
      <x:c r="E299" s="1"/>
      <x:c r="F299" s="1"/>
      <x:c r="G299" s="1"/>
      <x:c r="H299" s="1"/>
      <x:c r="I299" s="1"/>
      <x:c r="J299" s="1"/>
      <x:c r="K299" s="1"/>
      <x:c r="L299" s="1"/>
      <x:c r="M299" s="1"/>
      <x:c r="N299" s="1"/>
      <x:c r="O299" s="1"/>
      <x:c r="P299" s="1"/>
      <x:c r="Q299" s="1"/>
      <x:c r="R299" s="1"/>
      <x:c r="S299" s="1"/>
      <x:c r="T299" s="1"/>
      <x:c r="U299" s="1"/>
      <x:c r="V299" s="1"/>
      <x:c r="W299" s="1"/>
      <x:c r="X299" s="1"/>
      <x:c r="Y299" s="1"/>
      <x:c r="Z299" s="1"/>
      <x:c r="AA299" s="1"/>
      <x:c r="AB299" s="1"/>
      <x:c r="AC299" s="1"/>
      <x:c r="AD299" s="1"/>
      <x:c r="AE299" s="1"/>
      <x:c r="AF299" s="1"/>
      <x:c r="AG299" s="1"/>
      <x:c r="AH299" s="1"/>
      <x:c r="AI299" s="1" t="s">
        <x:v>508</x:v>
      </x:c>
      <x:c r="AJ299" s="1" t="s">
        <x:v>79</x:v>
      </x:c>
      <x:c r="AK299" s="1">
        <x:v>6.0110000000000001</x:v>
      </x:c>
      <x:c r="AL299" s="1">
        <x:v>108990</x:v>
      </x:c>
      <x:c r="AM299" s="1"/>
      <x:c r="AN299" s="1"/>
      <x:c r="AO299" s="1"/>
      <x:c r="AP299" s="1"/>
      <x:c r="AQ299" s="1"/>
      <x:c r="AR299" s="1"/>
    </x:row>
    <x:row r="300">
      <x:c r="A300" s="1"/>
      <x:c r="B300" s="1"/>
      <x:c r="C300" s="1"/>
      <x:c r="D300" s="1"/>
      <x:c r="E300" s="1"/>
      <x:c r="F300" s="1"/>
      <x:c r="G300" s="1"/>
      <x:c r="H300" s="1"/>
      <x:c r="I300" s="1"/>
      <x:c r="J300" s="1"/>
      <x:c r="K300" s="1"/>
      <x:c r="L300" s="1"/>
      <x:c r="M300" s="1"/>
      <x:c r="N300" s="1"/>
      <x:c r="O300" s="1"/>
      <x:c r="P300" s="1"/>
      <x:c r="Q300" s="1"/>
      <x:c r="R300" s="1"/>
      <x:c r="S300" s="1"/>
      <x:c r="T300" s="1"/>
      <x:c r="U300" s="1"/>
      <x:c r="V300" s="1"/>
      <x:c r="W300" s="1"/>
      <x:c r="X300" s="1"/>
      <x:c r="Y300" s="1"/>
      <x:c r="Z300" s="1"/>
      <x:c r="AA300" s="1"/>
      <x:c r="AB300" s="1"/>
      <x:c r="AC300" s="1"/>
      <x:c r="AD300" s="1"/>
      <x:c r="AE300" s="1"/>
      <x:c r="AF300" s="1"/>
      <x:c r="AG300" s="1"/>
      <x:c r="AH300" s="1"/>
      <x:c r="AI300" s="1" t="s">
        <x:v>509</x:v>
      </x:c>
      <x:c r="AJ300" s="1" t="s">
        <x:v>67</x:v>
      </x:c>
      <x:c r="AK300" s="1">
        <x:v>5.79</x:v>
      </x:c>
      <x:c r="AL300" s="1">
        <x:v>5210</x:v>
      </x:c>
      <x:c r="AM300" s="1"/>
      <x:c r="AN300" s="1"/>
      <x:c r="AO300" s="1"/>
      <x:c r="AP300" s="1"/>
      <x:c r="AQ300" s="1"/>
      <x:c r="AR300" s="1"/>
    </x:row>
    <x:row r="301">
      <x:c r="A301" s="1"/>
      <x:c r="B301" s="1"/>
      <x:c r="C301" s="1"/>
      <x:c r="D301" s="1"/>
      <x:c r="E301" s="1"/>
      <x:c r="F301" s="1"/>
      <x:c r="G301" s="1"/>
      <x:c r="H301" s="1"/>
      <x:c r="I301" s="1"/>
      <x:c r="J301" s="1"/>
      <x:c r="K301" s="1"/>
      <x:c r="L301" s="1"/>
      <x:c r="M301" s="1"/>
      <x:c r="N301" s="1"/>
      <x:c r="O301" s="1"/>
      <x:c r="P301" s="1"/>
      <x:c r="Q301" s="1"/>
      <x:c r="R301" s="1"/>
      <x:c r="S301" s="1"/>
      <x:c r="T301" s="1"/>
      <x:c r="U301" s="1"/>
      <x:c r="V301" s="1"/>
      <x:c r="W301" s="1"/>
      <x:c r="X301" s="1"/>
      <x:c r="Y301" s="1"/>
      <x:c r="Z301" s="1"/>
      <x:c r="AA301" s="1"/>
      <x:c r="AB301" s="1"/>
      <x:c r="AC301" s="1"/>
      <x:c r="AD301" s="1"/>
      <x:c r="AE301" s="1"/>
      <x:c r="AF301" s="1"/>
      <x:c r="AG301" s="1"/>
      <x:c r="AH301" s="1"/>
      <x:c r="AI301" s="1" t="s">
        <x:v>510</x:v>
      </x:c>
      <x:c r="AJ301" s="1" t="s">
        <x:v>75</x:v>
      </x:c>
      <x:c r="AK301" s="1">
        <x:v>5.5579999999999998</x:v>
      </x:c>
      <x:c r="AL301" s="1">
        <x:v>2790</x:v>
      </x:c>
      <x:c r="AM301" s="1"/>
      <x:c r="AN301" s="1"/>
      <x:c r="AO301" s="1"/>
      <x:c r="AP301" s="1"/>
      <x:c r="AQ301" s="1"/>
      <x:c r="AR301" s="1"/>
    </x:row>
    <x:row r="302">
      <x:c r="A302" s="1"/>
      <x:c r="B302" s="1"/>
      <x:c r="C302" s="1"/>
      <x:c r="D302" s="1"/>
      <x:c r="E302" s="1"/>
      <x:c r="F302" s="1"/>
      <x:c r="G302" s="1"/>
      <x:c r="H302" s="1"/>
      <x:c r="I302" s="1"/>
      <x:c r="J302" s="1"/>
      <x:c r="K302" s="1"/>
      <x:c r="L302" s="1"/>
      <x:c r="M302" s="1"/>
      <x:c r="N302" s="1"/>
      <x:c r="O302" s="1"/>
      <x:c r="P302" s="1"/>
      <x:c r="Q302" s="1"/>
      <x:c r="R302" s="1"/>
      <x:c r="S302" s="1"/>
      <x:c r="T302" s="1"/>
      <x:c r="U302" s="1"/>
      <x:c r="V302" s="1"/>
      <x:c r="W302" s="1"/>
      <x:c r="X302" s="1"/>
      <x:c r="Y302" s="1"/>
      <x:c r="Z302" s="1"/>
      <x:c r="AA302" s="1"/>
      <x:c r="AB302" s="1"/>
      <x:c r="AC302" s="1"/>
      <x:c r="AD302" s="1"/>
      <x:c r="AE302" s="1"/>
      <x:c r="AF302" s="1"/>
      <x:c r="AG302" s="1"/>
      <x:c r="AH302" s="1"/>
      <x:c r="AI302" s="1" t="s">
        <x:v>511</x:v>
      </x:c>
      <x:c r="AJ302" s="1" t="s">
        <x:v>83</x:v>
      </x:c>
      <x:c r="AK302" s="1">
        <x:v>5.3410000000000002</x:v>
      </x:c>
      <x:c r="AL302" s="1">
        <x:v>84730</x:v>
      </x:c>
      <x:c r="AM302" s="1"/>
      <x:c r="AN302" s="1"/>
      <x:c r="AO302" s="1"/>
      <x:c r="AP302" s="1"/>
      <x:c r="AQ302" s="1"/>
      <x:c r="AR302" s="1"/>
    </x:row>
    <x:row r="303">
      <x:c r="A303" s="1"/>
      <x:c r="B303" s="1"/>
      <x:c r="C303" s="1"/>
      <x:c r="D303" s="1"/>
      <x:c r="E303" s="1"/>
      <x:c r="F303" s="1"/>
      <x:c r="G303" s="1"/>
      <x:c r="H303" s="1"/>
      <x:c r="I303" s="1"/>
      <x:c r="J303" s="1"/>
      <x:c r="K303" s="1"/>
      <x:c r="L303" s="1"/>
      <x:c r="M303" s="1"/>
      <x:c r="N303" s="1"/>
      <x:c r="O303" s="1"/>
      <x:c r="P303" s="1"/>
      <x:c r="Q303" s="1"/>
      <x:c r="R303" s="1"/>
      <x:c r="S303" s="1"/>
      <x:c r="T303" s="1"/>
      <x:c r="U303" s="1"/>
      <x:c r="V303" s="1"/>
      <x:c r="W303" s="1"/>
      <x:c r="X303" s="1"/>
      <x:c r="Y303" s="1"/>
      <x:c r="Z303" s="1"/>
      <x:c r="AA303" s="1"/>
      <x:c r="AB303" s="1"/>
      <x:c r="AC303" s="1"/>
      <x:c r="AD303" s="1"/>
      <x:c r="AE303" s="1"/>
      <x:c r="AF303" s="1"/>
      <x:c r="AG303" s="1"/>
      <x:c r="AH303" s="1"/>
      <x:c r="AI303" s="1" t="s">
        <x:v>318</x:v>
      </x:c>
      <x:c r="AJ303" s="1" t="s">
        <x:v>10</x:v>
      </x:c>
      <x:c r="AK303" s="1">
        <x:v>11.868</x:v>
      </x:c>
      <x:c r="AL303" s="1">
        <x:v>24770</x:v>
      </x:c>
      <x:c r="AM303" s="1"/>
      <x:c r="AN303" s="1"/>
      <x:c r="AO303" s="1"/>
      <x:c r="AP303" s="1"/>
      <x:c r="AQ303" s="1"/>
      <x:c r="AR303" s="1"/>
    </x:row>
    <x:row r="304">
      <x:c r="A304" s="1"/>
      <x:c r="B304" s="1"/>
      <x:c r="C304" s="1"/>
      <x:c r="D304" s="1"/>
      <x:c r="E304" s="1"/>
      <x:c r="F304" s="1"/>
      <x:c r="G304" s="1"/>
      <x:c r="H304" s="1"/>
      <x:c r="I304" s="1"/>
      <x:c r="J304" s="1"/>
      <x:c r="K304" s="1"/>
      <x:c r="L304" s="1"/>
      <x:c r="M304" s="1"/>
      <x:c r="N304" s="1"/>
      <x:c r="O304" s="1"/>
      <x:c r="P304" s="1"/>
      <x:c r="Q304" s="1"/>
      <x:c r="R304" s="1"/>
      <x:c r="S304" s="1"/>
      <x:c r="T304" s="1"/>
      <x:c r="U304" s="1"/>
      <x:c r="V304" s="1"/>
      <x:c r="W304" s="1"/>
      <x:c r="X304" s="1"/>
      <x:c r="Y304" s="1"/>
      <x:c r="Z304" s="1"/>
      <x:c r="AA304" s="1"/>
      <x:c r="AB304" s="1"/>
      <x:c r="AC304" s="1"/>
      <x:c r="AD304" s="1"/>
      <x:c r="AE304" s="1"/>
      <x:c r="AF304" s="1"/>
      <x:c r="AG304" s="1"/>
      <x:c r="AH304" s="1"/>
      <x:c r="AI304" s="1" t="s">
        <x:v>319</x:v>
      </x:c>
      <x:c r="AJ304" s="1" t="s">
        <x:v>14</x:v>
      </x:c>
      <x:c r="AK304" s="1">
        <x:v>10.794</x:v>
      </x:c>
      <x:c r="AL304" s="1">
        <x:v>21240</x:v>
      </x:c>
      <x:c r="AM304" s="1"/>
      <x:c r="AN304" s="1"/>
      <x:c r="AO304" s="1"/>
      <x:c r="AP304" s="1"/>
      <x:c r="AQ304" s="1"/>
      <x:c r="AR304" s="1"/>
    </x:row>
    <x:row r="305">
      <x:c r="A305" s="1"/>
      <x:c r="B305" s="1"/>
      <x:c r="C305" s="1"/>
      <x:c r="D305" s="1"/>
      <x:c r="E305" s="1"/>
      <x:c r="F305" s="1"/>
      <x:c r="G305" s="1"/>
      <x:c r="H305" s="1"/>
      <x:c r="I305" s="1"/>
      <x:c r="J305" s="1"/>
      <x:c r="K305" s="1"/>
      <x:c r="L305" s="1"/>
      <x:c r="M305" s="1"/>
      <x:c r="N305" s="1"/>
      <x:c r="O305" s="1"/>
      <x:c r="P305" s="1"/>
      <x:c r="Q305" s="1"/>
      <x:c r="R305" s="1"/>
      <x:c r="S305" s="1"/>
      <x:c r="T305" s="1"/>
      <x:c r="U305" s="1"/>
      <x:c r="V305" s="1"/>
      <x:c r="W305" s="1"/>
      <x:c r="X305" s="1"/>
      <x:c r="Y305" s="1"/>
      <x:c r="Z305" s="1"/>
      <x:c r="AA305" s="1"/>
      <x:c r="AB305" s="1"/>
      <x:c r="AC305" s="1"/>
      <x:c r="AD305" s="1"/>
      <x:c r="AE305" s="1"/>
      <x:c r="AF305" s="1"/>
      <x:c r="AG305" s="1"/>
      <x:c r="AH305" s="1"/>
      <x:c r="AI305" s="1" t="s">
        <x:v>320</x:v>
      </x:c>
      <x:c r="AJ305" s="1" t="s">
        <x:v>20</x:v>
      </x:c>
      <x:c r="AK305" s="1">
        <x:v>9.1509999999999998</x:v>
      </x:c>
      <x:c r="AL305" s="1">
        <x:v>43050</x:v>
      </x:c>
      <x:c r="AM305" s="1"/>
      <x:c r="AN305" s="1"/>
      <x:c r="AO305" s="1"/>
      <x:c r="AP305" s="1"/>
      <x:c r="AQ305" s="1"/>
      <x:c r="AR305" s="1"/>
    </x:row>
    <x:row r="306">
      <x:c r="A306" s="1"/>
      <x:c r="B306" s="1"/>
      <x:c r="C306" s="1"/>
      <x:c r="D306" s="1"/>
      <x:c r="E306" s="1"/>
      <x:c r="F306" s="1"/>
      <x:c r="G306" s="1"/>
      <x:c r="H306" s="1"/>
      <x:c r="I306" s="1"/>
      <x:c r="J306" s="1"/>
      <x:c r="K306" s="1"/>
      <x:c r="L306" s="1"/>
      <x:c r="M306" s="1"/>
      <x:c r="N306" s="1"/>
      <x:c r="O306" s="1"/>
      <x:c r="P306" s="1"/>
      <x:c r="Q306" s="1"/>
      <x:c r="R306" s="1"/>
      <x:c r="S306" s="1"/>
      <x:c r="T306" s="1"/>
      <x:c r="U306" s="1"/>
      <x:c r="V306" s="1"/>
      <x:c r="W306" s="1"/>
      <x:c r="X306" s="1"/>
      <x:c r="Y306" s="1"/>
      <x:c r="Z306" s="1"/>
      <x:c r="AA306" s="1"/>
      <x:c r="AB306" s="1"/>
      <x:c r="AC306" s="1"/>
      <x:c r="AD306" s="1"/>
      <x:c r="AE306" s="1"/>
      <x:c r="AF306" s="1"/>
      <x:c r="AG306" s="1"/>
      <x:c r="AH306" s="1"/>
      <x:c r="AI306" s="1" t="s">
        <x:v>322</x:v>
      </x:c>
      <x:c r="AJ306" s="1" t="s">
        <x:v>31</x:v>
      </x:c>
      <x:c r="AK306" s="1">
        <x:v>6.3410000000000002</x:v>
      </x:c>
      <x:c r="AL306" s="1">
        <x:v>191630</x:v>
      </x:c>
      <x:c r="AM306" s="1"/>
      <x:c r="AN306" s="1"/>
      <x:c r="AO306" s="1"/>
      <x:c r="AP306" s="1"/>
      <x:c r="AQ306" s="1"/>
      <x:c r="AR306" s="1"/>
    </x:row>
    <x:row r="307">
      <x:c r="A307" s="1"/>
      <x:c r="B307" s="1"/>
      <x:c r="C307" s="1"/>
      <x:c r="D307" s="1"/>
      <x:c r="E307" s="1"/>
      <x:c r="F307" s="1"/>
      <x:c r="G307" s="1"/>
      <x:c r="H307" s="1"/>
      <x:c r="I307" s="1"/>
      <x:c r="J307" s="1"/>
      <x:c r="K307" s="1"/>
      <x:c r="L307" s="1"/>
      <x:c r="M307" s="1"/>
      <x:c r="N307" s="1"/>
      <x:c r="O307" s="1"/>
      <x:c r="P307" s="1"/>
      <x:c r="Q307" s="1"/>
      <x:c r="R307" s="1"/>
      <x:c r="S307" s="1"/>
      <x:c r="T307" s="1"/>
      <x:c r="U307" s="1"/>
      <x:c r="V307" s="1"/>
      <x:c r="W307" s="1"/>
      <x:c r="X307" s="1"/>
      <x:c r="Y307" s="1"/>
      <x:c r="Z307" s="1"/>
      <x:c r="AA307" s="1"/>
      <x:c r="AB307" s="1"/>
      <x:c r="AC307" s="1"/>
      <x:c r="AD307" s="1"/>
      <x:c r="AE307" s="1"/>
      <x:c r="AF307" s="1"/>
      <x:c r="AG307" s="1"/>
      <x:c r="AH307" s="1"/>
      <x:c r="AI307" s="1" t="s">
        <x:v>324</x:v>
      </x:c>
      <x:c r="AJ307" s="1" t="s">
        <x:v>27</x:v>
      </x:c>
      <x:c r="AK307" s="1">
        <x:v>6.31</x:v>
      </x:c>
      <x:c r="AL307" s="1">
        <x:v>170530</x:v>
      </x:c>
      <x:c r="AM307" s="1"/>
      <x:c r="AN307" s="1"/>
      <x:c r="AO307" s="1"/>
      <x:c r="AP307" s="1"/>
      <x:c r="AQ307" s="1"/>
      <x:c r="AR307" s="1"/>
    </x:row>
    <x:row r="308">
      <x:c r="A308" s="1"/>
      <x:c r="B308" s="1"/>
      <x:c r="C308" s="1"/>
      <x:c r="D308" s="1"/>
      <x:c r="E308" s="1"/>
      <x:c r="F308" s="1"/>
      <x:c r="G308" s="1"/>
      <x:c r="H308" s="1"/>
      <x:c r="I308" s="1"/>
      <x:c r="J308" s="1"/>
      <x:c r="K308" s="1"/>
      <x:c r="L308" s="1"/>
      <x:c r="M308" s="1"/>
      <x:c r="N308" s="1"/>
      <x:c r="O308" s="1"/>
      <x:c r="P308" s="1"/>
      <x:c r="Q308" s="1"/>
      <x:c r="R308" s="1"/>
      <x:c r="S308" s="1"/>
      <x:c r="T308" s="1"/>
      <x:c r="U308" s="1"/>
      <x:c r="V308" s="1"/>
      <x:c r="W308" s="1"/>
      <x:c r="X308" s="1"/>
      <x:c r="Y308" s="1"/>
      <x:c r="Z308" s="1"/>
      <x:c r="AA308" s="1"/>
      <x:c r="AB308" s="1"/>
      <x:c r="AC308" s="1"/>
      <x:c r="AD308" s="1"/>
      <x:c r="AE308" s="1"/>
      <x:c r="AF308" s="1"/>
      <x:c r="AG308" s="1"/>
      <x:c r="AH308" s="1"/>
      <x:c r="AI308" s="1" t="s">
        <x:v>326</x:v>
      </x:c>
      <x:c r="AJ308" s="1" t="s">
        <x:v>67</x:v>
      </x:c>
      <x:c r="AK308" s="1">
        <x:v>6.1870000000000003</x:v>
      </x:c>
      <x:c r="AL308" s="1">
        <x:v>6490</x:v>
      </x:c>
      <x:c r="AM308" s="1"/>
      <x:c r="AN308" s="1"/>
      <x:c r="AO308" s="1"/>
      <x:c r="AP308" s="1"/>
      <x:c r="AQ308" s="1"/>
      <x:c r="AR308" s="1"/>
    </x:row>
    <x:row r="309">
      <x:c r="A309" s="1"/>
      <x:c r="B309" s="1"/>
      <x:c r="C309" s="1"/>
      <x:c r="D309" s="1"/>
      <x:c r="E309" s="1"/>
      <x:c r="F309" s="1"/>
      <x:c r="G309" s="1"/>
      <x:c r="H309" s="1"/>
      <x:c r="I309" s="1"/>
      <x:c r="J309" s="1"/>
      <x:c r="K309" s="1"/>
      <x:c r="L309" s="1"/>
      <x:c r="M309" s="1"/>
      <x:c r="N309" s="1"/>
      <x:c r="O309" s="1"/>
      <x:c r="P309" s="1"/>
      <x:c r="Q309" s="1"/>
      <x:c r="R309" s="1"/>
      <x:c r="S309" s="1"/>
      <x:c r="T309" s="1"/>
      <x:c r="U309" s="1"/>
      <x:c r="V309" s="1"/>
      <x:c r="W309" s="1"/>
      <x:c r="X309" s="1"/>
      <x:c r="Y309" s="1"/>
      <x:c r="Z309" s="1"/>
      <x:c r="AA309" s="1"/>
      <x:c r="AB309" s="1"/>
      <x:c r="AC309" s="1"/>
      <x:c r="AD309" s="1"/>
      <x:c r="AE309" s="1"/>
      <x:c r="AF309" s="1"/>
      <x:c r="AG309" s="1"/>
      <x:c r="AH309" s="1"/>
      <x:c r="AI309" s="1" t="s">
        <x:v>328</x:v>
      </x:c>
      <x:c r="AJ309" s="1" t="s">
        <x:v>35</x:v>
      </x:c>
      <x:c r="AK309" s="1">
        <x:v>5.9320000000000004</x:v>
      </x:c>
      <x:c r="AL309" s="1">
        <x:v>83380</x:v>
      </x:c>
      <x:c r="AM309" s="1"/>
      <x:c r="AN309" s="1"/>
      <x:c r="AO309" s="1"/>
      <x:c r="AP309" s="1"/>
      <x:c r="AQ309" s="1"/>
      <x:c r="AR309" s="1"/>
    </x:row>
    <x:row r="310">
      <x:c r="A310" s="1"/>
      <x:c r="B310" s="1"/>
      <x:c r="C310" s="1"/>
      <x:c r="D310" s="1"/>
      <x:c r="E310" s="1"/>
      <x:c r="F310" s="1"/>
      <x:c r="G310" s="1"/>
      <x:c r="H310" s="1"/>
      <x:c r="I310" s="1"/>
      <x:c r="J310" s="1"/>
      <x:c r="K310" s="1"/>
      <x:c r="L310" s="1"/>
      <x:c r="M310" s="1"/>
      <x:c r="N310" s="1"/>
      <x:c r="O310" s="1"/>
      <x:c r="P310" s="1"/>
      <x:c r="Q310" s="1"/>
      <x:c r="R310" s="1"/>
      <x:c r="S310" s="1"/>
      <x:c r="T310" s="1"/>
      <x:c r="U310" s="1"/>
      <x:c r="V310" s="1"/>
      <x:c r="W310" s="1"/>
      <x:c r="X310" s="1"/>
      <x:c r="Y310" s="1"/>
      <x:c r="Z310" s="1"/>
      <x:c r="AA310" s="1"/>
      <x:c r="AB310" s="1"/>
      <x:c r="AC310" s="1"/>
      <x:c r="AD310" s="1"/>
      <x:c r="AE310" s="1"/>
      <x:c r="AF310" s="1"/>
      <x:c r="AG310" s="1"/>
      <x:c r="AH310" s="1"/>
      <x:c r="AI310" s="1" t="s">
        <x:v>330</x:v>
      </x:c>
      <x:c r="AJ310" s="1" t="s">
        <x:v>39</x:v>
      </x:c>
      <x:c r="AK310" s="1">
        <x:v>5.8230000000000004</x:v>
      </x:c>
      <x:c r="AL310" s="1">
        <x:v>75980</x:v>
      </x:c>
      <x:c r="AM310" s="1"/>
      <x:c r="AN310" s="1"/>
      <x:c r="AO310" s="1"/>
      <x:c r="AP310" s="1"/>
      <x:c r="AQ310" s="1"/>
      <x:c r="AR310" s="1"/>
    </x:row>
    <x:row r="311">
      <x:c r="A311" s="1"/>
      <x:c r="B311" s="1"/>
      <x:c r="C311" s="1"/>
      <x:c r="D311" s="1"/>
      <x:c r="E311" s="1"/>
      <x:c r="F311" s="1"/>
      <x:c r="G311" s="1"/>
      <x:c r="H311" s="1"/>
      <x:c r="I311" s="1"/>
      <x:c r="J311" s="1"/>
      <x:c r="K311" s="1"/>
      <x:c r="L311" s="1"/>
      <x:c r="M311" s="1"/>
      <x:c r="N311" s="1"/>
      <x:c r="O311" s="1"/>
      <x:c r="P311" s="1"/>
      <x:c r="Q311" s="1"/>
      <x:c r="R311" s="1"/>
      <x:c r="S311" s="1"/>
      <x:c r="T311" s="1"/>
      <x:c r="U311" s="1"/>
      <x:c r="V311" s="1"/>
      <x:c r="W311" s="1"/>
      <x:c r="X311" s="1"/>
      <x:c r="Y311" s="1"/>
      <x:c r="Z311" s="1"/>
      <x:c r="AA311" s="1"/>
      <x:c r="AB311" s="1"/>
      <x:c r="AC311" s="1"/>
      <x:c r="AD311" s="1"/>
      <x:c r="AE311" s="1"/>
      <x:c r="AF311" s="1"/>
      <x:c r="AG311" s="1"/>
      <x:c r="AH311" s="1"/>
      <x:c r="AI311" s="1" t="s">
        <x:v>332</x:v>
      </x:c>
      <x:c r="AJ311" s="1" t="s">
        <x:v>75</x:v>
      </x:c>
      <x:c r="AK311" s="1">
        <x:v>5.617</x:v>
      </x:c>
      <x:c r="AL311" s="1">
        <x:v>3330</x:v>
      </x:c>
      <x:c r="AM311" s="1"/>
      <x:c r="AN311" s="1"/>
      <x:c r="AO311" s="1"/>
      <x:c r="AP311" s="1"/>
      <x:c r="AQ311" s="1"/>
      <x:c r="AR311" s="1"/>
    </x:row>
    <x:row r="312">
      <x:c r="A312" s="1"/>
      <x:c r="B312" s="1"/>
      <x:c r="C312" s="1"/>
      <x:c r="D312" s="1"/>
      <x:c r="E312" s="1"/>
      <x:c r="F312" s="1"/>
      <x:c r="G312" s="1"/>
      <x:c r="H312" s="1"/>
      <x:c r="I312" s="1"/>
      <x:c r="J312" s="1"/>
      <x:c r="K312" s="1"/>
      <x:c r="L312" s="1"/>
      <x:c r="M312" s="1"/>
      <x:c r="N312" s="1"/>
      <x:c r="O312" s="1"/>
      <x:c r="P312" s="1"/>
      <x:c r="Q312" s="1"/>
      <x:c r="R312" s="1"/>
      <x:c r="S312" s="1"/>
      <x:c r="T312" s="1"/>
      <x:c r="U312" s="1"/>
      <x:c r="V312" s="1"/>
      <x:c r="W312" s="1"/>
      <x:c r="X312" s="1"/>
      <x:c r="Y312" s="1"/>
      <x:c r="Z312" s="1"/>
      <x:c r="AA312" s="1"/>
      <x:c r="AB312" s="1"/>
      <x:c r="AC312" s="1"/>
      <x:c r="AD312" s="1"/>
      <x:c r="AE312" s="1"/>
      <x:c r="AF312" s="1"/>
      <x:c r="AG312" s="1"/>
      <x:c r="AH312" s="1"/>
      <x:c r="AI312" s="1" t="s">
        <x:v>334</x:v>
      </x:c>
      <x:c r="AJ312" s="1" t="s">
        <x:v>43</x:v>
      </x:c>
      <x:c r="AK312" s="1">
        <x:v>5.4290000000000003</x:v>
      </x:c>
      <x:c r="AL312" s="1">
        <x:v>8590</x:v>
      </x:c>
      <x:c r="AM312" s="1"/>
      <x:c r="AN312" s="1"/>
      <x:c r="AO312" s="1"/>
      <x:c r="AP312" s="1"/>
      <x:c r="AQ312" s="1"/>
      <x:c r="AR312" s="1"/>
    </x:row>
    <x:row r="313">
      <x:c r="A313" s="1"/>
      <x:c r="B313" s="1"/>
      <x:c r="C313" s="1"/>
      <x:c r="D313" s="1"/>
      <x:c r="E313" s="1"/>
      <x:c r="F313" s="1"/>
      <x:c r="G313" s="1"/>
      <x:c r="H313" s="1"/>
      <x:c r="I313" s="1"/>
      <x:c r="J313" s="1"/>
      <x:c r="K313" s="1"/>
      <x:c r="L313" s="1"/>
      <x:c r="M313" s="1"/>
      <x:c r="N313" s="1"/>
      <x:c r="O313" s="1"/>
      <x:c r="P313" s="1"/>
      <x:c r="Q313" s="1"/>
      <x:c r="R313" s="1"/>
      <x:c r="S313" s="1"/>
      <x:c r="T313" s="1"/>
      <x:c r="U313" s="1"/>
      <x:c r="V313" s="1"/>
      <x:c r="W313" s="1"/>
      <x:c r="X313" s="1"/>
      <x:c r="Y313" s="1"/>
      <x:c r="Z313" s="1"/>
      <x:c r="AA313" s="1"/>
      <x:c r="AB313" s="1"/>
      <x:c r="AC313" s="1"/>
      <x:c r="AD313" s="1"/>
      <x:c r="AE313" s="1"/>
      <x:c r="AF313" s="1"/>
      <x:c r="AG313" s="1"/>
      <x:c r="AH313" s="1"/>
      <x:c r="AI313" s="1" t="s">
        <x:v>512</x:v>
      </x:c>
      <x:c r="AJ313" s="1" t="s">
        <x:v>55</x:v>
      </x:c>
      <x:c r="AK313" s="1">
        <x:v>5.3179999999999996</x:v>
      </x:c>
      <x:c r="AL313" s="1">
        <x:v>89810</x:v>
      </x:c>
      <x:c r="AM313" s="1"/>
      <x:c r="AN313" s="1"/>
      <x:c r="AO313" s="1"/>
      <x:c r="AP313" s="1"/>
      <x:c r="AQ313" s="1"/>
      <x:c r="AR313" s="1"/>
    </x:row>
    <x:row r="314">
      <x:c r="A314" s="1"/>
      <x:c r="B314" s="1"/>
      <x:c r="C314" s="1"/>
      <x:c r="D314" s="1"/>
      <x:c r="E314" s="1"/>
      <x:c r="F314" s="1"/>
      <x:c r="G314" s="1"/>
      <x:c r="H314" s="1"/>
      <x:c r="I314" s="1"/>
      <x:c r="J314" s="1"/>
      <x:c r="K314" s="1"/>
      <x:c r="L314" s="1"/>
      <x:c r="M314" s="1"/>
      <x:c r="N314" s="1"/>
      <x:c r="O314" s="1"/>
      <x:c r="P314" s="1"/>
      <x:c r="Q314" s="1"/>
      <x:c r="R314" s="1"/>
      <x:c r="S314" s="1"/>
      <x:c r="T314" s="1"/>
      <x:c r="U314" s="1"/>
      <x:c r="V314" s="1"/>
      <x:c r="W314" s="1"/>
      <x:c r="X314" s="1"/>
      <x:c r="Y314" s="1"/>
      <x:c r="Z314" s="1"/>
      <x:c r="AA314" s="1"/>
      <x:c r="AB314" s="1"/>
      <x:c r="AC314" s="1"/>
      <x:c r="AD314" s="1"/>
      <x:c r="AE314" s="1"/>
      <x:c r="AF314" s="1"/>
      <x:c r="AG314" s="1"/>
      <x:c r="AH314" s="1"/>
      <x:c r="AI314" s="1" t="s">
        <x:v>513</x:v>
      </x:c>
      <x:c r="AJ314" s="1" t="s">
        <x:v>47</x:v>
      </x:c>
      <x:c r="AK314" s="1">
        <x:v>5.16</x:v>
      </x:c>
      <x:c r="AL314" s="1">
        <x:v>140790</x:v>
      </x:c>
      <x:c r="AM314" s="1"/>
      <x:c r="AN314" s="1"/>
      <x:c r="AO314" s="1"/>
      <x:c r="AP314" s="1"/>
      <x:c r="AQ314" s="1"/>
      <x:c r="AR314" s="1"/>
    </x:row>
    <x:row r="315">
      <x:c r="A315" s="1"/>
      <x:c r="B315" s="1"/>
      <x:c r="C315" s="1"/>
      <x:c r="D315" s="1"/>
      <x:c r="E315" s="1"/>
      <x:c r="F315" s="1"/>
      <x:c r="G315" s="1"/>
      <x:c r="H315" s="1"/>
      <x:c r="I315" s="1"/>
      <x:c r="J315" s="1"/>
      <x:c r="K315" s="1"/>
      <x:c r="L315" s="1"/>
      <x:c r="M315" s="1"/>
      <x:c r="N315" s="1"/>
      <x:c r="O315" s="1"/>
      <x:c r="P315" s="1"/>
      <x:c r="Q315" s="1"/>
      <x:c r="R315" s="1"/>
      <x:c r="S315" s="1"/>
      <x:c r="T315" s="1"/>
      <x:c r="U315" s="1"/>
      <x:c r="V315" s="1"/>
      <x:c r="W315" s="1"/>
      <x:c r="X315" s="1"/>
      <x:c r="Y315" s="1"/>
      <x:c r="Z315" s="1"/>
      <x:c r="AA315" s="1"/>
      <x:c r="AB315" s="1"/>
      <x:c r="AC315" s="1"/>
      <x:c r="AD315" s="1"/>
      <x:c r="AE315" s="1"/>
      <x:c r="AF315" s="1"/>
      <x:c r="AG315" s="1"/>
      <x:c r="AH315" s="1"/>
      <x:c r="AI315" s="1" t="s">
        <x:v>514</x:v>
      </x:c>
      <x:c r="AJ315" s="1" t="s">
        <x:v>51</x:v>
      </x:c>
      <x:c r="AK315" s="1">
        <x:v>5.0720000000000001</x:v>
      </x:c>
      <x:c r="AL315" s="1">
        <x:v>157230</x:v>
      </x:c>
      <x:c r="AM315" s="1"/>
      <x:c r="AN315" s="1"/>
      <x:c r="AO315" s="1"/>
      <x:c r="AP315" s="1"/>
      <x:c r="AQ315" s="1"/>
      <x:c r="AR315" s="1"/>
    </x:row>
    <x:row r="316">
      <x:c r="A316" s="1"/>
      <x:c r="B316" s="1"/>
      <x:c r="C316" s="1"/>
      <x:c r="D316" s="1"/>
      <x:c r="E316" s="1"/>
      <x:c r="F316" s="1"/>
      <x:c r="G316" s="1"/>
      <x:c r="H316" s="1"/>
      <x:c r="I316" s="1"/>
      <x:c r="J316" s="1"/>
      <x:c r="K316" s="1"/>
      <x:c r="L316" s="1"/>
      <x:c r="M316" s="1"/>
      <x:c r="N316" s="1"/>
      <x:c r="O316" s="1"/>
      <x:c r="P316" s="1"/>
      <x:c r="Q316" s="1"/>
      <x:c r="R316" s="1"/>
      <x:c r="S316" s="1"/>
      <x:c r="T316" s="1"/>
      <x:c r="U316" s="1"/>
      <x:c r="V316" s="1"/>
      <x:c r="W316" s="1"/>
      <x:c r="X316" s="1"/>
      <x:c r="Y316" s="1"/>
      <x:c r="Z316" s="1"/>
      <x:c r="AA316" s="1"/>
      <x:c r="AB316" s="1"/>
      <x:c r="AC316" s="1"/>
      <x:c r="AD316" s="1"/>
      <x:c r="AE316" s="1"/>
      <x:c r="AF316" s="1"/>
      <x:c r="AG316" s="1"/>
      <x:c r="AH316" s="1"/>
      <x:c r="AI316" s="1" t="s">
        <x:v>515</x:v>
      </x:c>
      <x:c r="AJ316" s="1" t="s">
        <x:v>59</x:v>
      </x:c>
      <x:c r="AK316" s="1">
        <x:v>4.91</x:v>
      </x:c>
      <x:c r="AL316" s="1">
        <x:v>150550</x:v>
      </x:c>
      <x:c r="AM316" s="1"/>
      <x:c r="AN316" s="1"/>
      <x:c r="AO316" s="1"/>
      <x:c r="AP316" s="1"/>
      <x:c r="AQ316" s="1"/>
      <x:c r="AR316" s="1"/>
    </x:row>
    <x:row r="317">
      <x:c r="A317" s="1"/>
      <x:c r="B317" s="1"/>
      <x:c r="C317" s="1"/>
      <x:c r="D317" s="1"/>
      <x:c r="E317" s="1"/>
      <x:c r="F317" s="1"/>
      <x:c r="G317" s="1"/>
      <x:c r="H317" s="1"/>
      <x:c r="I317" s="1"/>
      <x:c r="J317" s="1"/>
      <x:c r="K317" s="1"/>
      <x:c r="L317" s="1"/>
      <x:c r="M317" s="1"/>
      <x:c r="N317" s="1"/>
      <x:c r="O317" s="1"/>
      <x:c r="P317" s="1"/>
      <x:c r="Q317" s="1"/>
      <x:c r="R317" s="1"/>
      <x:c r="S317" s="1"/>
      <x:c r="T317" s="1"/>
      <x:c r="U317" s="1"/>
      <x:c r="V317" s="1"/>
      <x:c r="W317" s="1"/>
      <x:c r="X317" s="1"/>
      <x:c r="Y317" s="1"/>
      <x:c r="Z317" s="1"/>
      <x:c r="AA317" s="1"/>
      <x:c r="AB317" s="1"/>
      <x:c r="AC317" s="1"/>
      <x:c r="AD317" s="1"/>
      <x:c r="AE317" s="1"/>
      <x:c r="AF317" s="1"/>
      <x:c r="AG317" s="1"/>
      <x:c r="AH317" s="1"/>
      <x:c r="AI317" s="1" t="s">
        <x:v>516</x:v>
      </x:c>
      <x:c r="AJ317" s="1" t="s">
        <x:v>63</x:v>
      </x:c>
      <x:c r="AK317" s="1">
        <x:v>4.8460000000000001</x:v>
      </x:c>
      <x:c r="AL317" s="1">
        <x:v>198480</x:v>
      </x:c>
      <x:c r="AM317" s="1"/>
      <x:c r="AN317" s="1"/>
      <x:c r="AO317" s="1"/>
      <x:c r="AP317" s="1"/>
      <x:c r="AQ317" s="1"/>
      <x:c r="AR317" s="1"/>
    </x:row>
    <x:row r="318">
      <x:c r="A318" s="1"/>
      <x:c r="B318" s="1"/>
      <x:c r="C318" s="1"/>
      <x:c r="D318" s="1"/>
      <x:c r="E318" s="1"/>
      <x:c r="F318" s="1"/>
      <x:c r="G318" s="1"/>
      <x:c r="H318" s="1"/>
      <x:c r="I318" s="1"/>
      <x:c r="J318" s="1"/>
      <x:c r="K318" s="1"/>
      <x:c r="L318" s="1"/>
      <x:c r="M318" s="1"/>
      <x:c r="N318" s="1"/>
      <x:c r="O318" s="1"/>
      <x:c r="P318" s="1"/>
      <x:c r="Q318" s="1"/>
      <x:c r="R318" s="1"/>
      <x:c r="S318" s="1"/>
      <x:c r="T318" s="1"/>
      <x:c r="U318" s="1"/>
      <x:c r="V318" s="1"/>
      <x:c r="W318" s="1"/>
      <x:c r="X318" s="1"/>
      <x:c r="Y318" s="1"/>
      <x:c r="Z318" s="1"/>
      <x:c r="AA318" s="1"/>
      <x:c r="AB318" s="1"/>
      <x:c r="AC318" s="1"/>
      <x:c r="AD318" s="1"/>
      <x:c r="AE318" s="1"/>
      <x:c r="AF318" s="1"/>
      <x:c r="AG318" s="1"/>
      <x:c r="AH318" s="1"/>
      <x:c r="AI318" s="1" t="s">
        <x:v>517</x:v>
      </x:c>
      <x:c r="AJ318" s="1" t="s">
        <x:v>71</x:v>
      </x:c>
      <x:c r="AK318" s="1">
        <x:v>4.6509999999999998</x:v>
      </x:c>
      <x:c r="AL318" s="1">
        <x:v>291900</x:v>
      </x:c>
      <x:c r="AM318" s="1"/>
      <x:c r="AN318" s="1"/>
      <x:c r="AO318" s="1"/>
      <x:c r="AP318" s="1"/>
      <x:c r="AQ318" s="1"/>
      <x:c r="AR318" s="1"/>
    </x:row>
    <x:row r="319">
      <x:c r="A319" s="1"/>
      <x:c r="B319" s="1"/>
      <x:c r="C319" s="1"/>
      <x:c r="D319" s="1"/>
      <x:c r="E319" s="1"/>
      <x:c r="F319" s="1"/>
      <x:c r="G319" s="1"/>
      <x:c r="H319" s="1"/>
      <x:c r="I319" s="1"/>
      <x:c r="J319" s="1"/>
      <x:c r="K319" s="1"/>
      <x:c r="L319" s="1"/>
      <x:c r="M319" s="1"/>
      <x:c r="N319" s="1"/>
      <x:c r="O319" s="1"/>
      <x:c r="P319" s="1"/>
      <x:c r="Q319" s="1"/>
      <x:c r="R319" s="1"/>
      <x:c r="S319" s="1"/>
      <x:c r="T319" s="1"/>
      <x:c r="U319" s="1"/>
      <x:c r="V319" s="1"/>
      <x:c r="W319" s="1"/>
      <x:c r="X319" s="1"/>
      <x:c r="Y319" s="1"/>
      <x:c r="Z319" s="1"/>
      <x:c r="AA319" s="1"/>
      <x:c r="AB319" s="1"/>
      <x:c r="AC319" s="1"/>
      <x:c r="AD319" s="1"/>
      <x:c r="AE319" s="1"/>
      <x:c r="AF319" s="1"/>
      <x:c r="AG319" s="1"/>
      <x:c r="AH319" s="1"/>
      <x:c r="AI319" s="1" t="s">
        <x:v>518</x:v>
      </x:c>
      <x:c r="AJ319" s="1" t="s">
        <x:v>79</x:v>
      </x:c>
      <x:c r="AK319" s="1">
        <x:v>4.2430000000000003</x:v>
      </x:c>
      <x:c r="AL319" s="1">
        <x:v>82990</x:v>
      </x:c>
      <x:c r="AM319" s="1"/>
      <x:c r="AN319" s="1"/>
      <x:c r="AO319" s="1"/>
      <x:c r="AP319" s="1"/>
      <x:c r="AQ319" s="1"/>
      <x:c r="AR319" s="1"/>
    </x:row>
    <x:row r="320">
      <x:c r="A320" s="1"/>
      <x:c r="B320" s="1"/>
      <x:c r="C320" s="1"/>
      <x:c r="D320" s="1"/>
      <x:c r="E320" s="1"/>
      <x:c r="F320" s="1"/>
      <x:c r="G320" s="1"/>
      <x:c r="H320" s="1"/>
      <x:c r="I320" s="1"/>
      <x:c r="J320" s="1"/>
      <x:c r="K320" s="1"/>
      <x:c r="L320" s="1"/>
      <x:c r="M320" s="1"/>
      <x:c r="N320" s="1"/>
      <x:c r="O320" s="1"/>
      <x:c r="P320" s="1"/>
      <x:c r="Q320" s="1"/>
      <x:c r="R320" s="1"/>
      <x:c r="S320" s="1"/>
      <x:c r="T320" s="1"/>
      <x:c r="U320" s="1"/>
      <x:c r="V320" s="1"/>
      <x:c r="W320" s="1"/>
      <x:c r="X320" s="1"/>
      <x:c r="Y320" s="1"/>
      <x:c r="Z320" s="1"/>
      <x:c r="AA320" s="1"/>
      <x:c r="AB320" s="1"/>
      <x:c r="AC320" s="1"/>
      <x:c r="AD320" s="1"/>
      <x:c r="AE320" s="1"/>
      <x:c r="AF320" s="1"/>
      <x:c r="AG320" s="1"/>
      <x:c r="AH320" s="1"/>
      <x:c r="AI320" s="1" t="s">
        <x:v>519</x:v>
      </x:c>
      <x:c r="AJ320" s="1" t="s">
        <x:v>83</x:v>
      </x:c>
      <x:c r="AK320" s="1">
        <x:v>3.6859999999999999</x:v>
      </x:c>
      <x:c r="AL320" s="1">
        <x:v>63490</x:v>
      </x:c>
      <x:c r="AM320" s="1"/>
      <x:c r="AN320" s="1"/>
      <x:c r="AO320" s="1"/>
      <x:c r="AP320" s="1"/>
      <x:c r="AQ320" s="1"/>
      <x:c r="AR320" s="1"/>
    </x:row>
    <x:row r="321">
      <x:c r="A321" s="1"/>
      <x:c r="B321" s="1"/>
      <x:c r="C321" s="1"/>
      <x:c r="D321" s="1"/>
      <x:c r="E321" s="1"/>
      <x:c r="F321" s="1"/>
      <x:c r="G321" s="1"/>
      <x:c r="H321" s="1"/>
      <x:c r="I321" s="1"/>
      <x:c r="J321" s="1"/>
      <x:c r="K321" s="1"/>
      <x:c r="L321" s="1"/>
      <x:c r="M321" s="1"/>
      <x:c r="N321" s="1"/>
      <x:c r="O321" s="1"/>
      <x:c r="P321" s="1"/>
      <x:c r="Q321" s="1"/>
      <x:c r="R321" s="1"/>
      <x:c r="S321" s="1"/>
      <x:c r="T321" s="1"/>
      <x:c r="U321" s="1"/>
      <x:c r="V321" s="1"/>
      <x:c r="W321" s="1"/>
      <x:c r="X321" s="1"/>
      <x:c r="Y321" s="1"/>
      <x:c r="Z321" s="1"/>
      <x:c r="AA321" s="1"/>
      <x:c r="AB321" s="1"/>
      <x:c r="AC321" s="1"/>
      <x:c r="AD321" s="1"/>
      <x:c r="AE321" s="1"/>
      <x:c r="AF321" s="1"/>
      <x:c r="AG321" s="1"/>
      <x:c r="AH321" s="1"/>
      <x:c r="AI321" s="1" t="s">
        <x:v>336</x:v>
      </x:c>
      <x:c r="AJ321" s="1" t="s">
        <x:v>10</x:v>
      </x:c>
      <x:c r="AK321" s="1">
        <x:v>11.183999999999999</x:v>
      </x:c>
      <x:c r="AL321" s="1">
        <x:v>43990</x:v>
      </x:c>
      <x:c r="AM321" s="1"/>
      <x:c r="AN321" s="1"/>
      <x:c r="AO321" s="1"/>
      <x:c r="AP321" s="1"/>
      <x:c r="AQ321" s="1"/>
      <x:c r="AR321" s="1"/>
    </x:row>
    <x:row r="322">
      <x:c r="A322" s="1"/>
      <x:c r="B322" s="1"/>
      <x:c r="C322" s="1"/>
      <x:c r="D322" s="1"/>
      <x:c r="E322" s="1"/>
      <x:c r="F322" s="1"/>
      <x:c r="G322" s="1"/>
      <x:c r="H322" s="1"/>
      <x:c r="I322" s="1"/>
      <x:c r="J322" s="1"/>
      <x:c r="K322" s="1"/>
      <x:c r="L322" s="1"/>
      <x:c r="M322" s="1"/>
      <x:c r="N322" s="1"/>
      <x:c r="O322" s="1"/>
      <x:c r="P322" s="1"/>
      <x:c r="Q322" s="1"/>
      <x:c r="R322" s="1"/>
      <x:c r="S322" s="1"/>
      <x:c r="T322" s="1"/>
      <x:c r="U322" s="1"/>
      <x:c r="V322" s="1"/>
      <x:c r="W322" s="1"/>
      <x:c r="X322" s="1"/>
      <x:c r="Y322" s="1"/>
      <x:c r="Z322" s="1"/>
      <x:c r="AA322" s="1"/>
      <x:c r="AB322" s="1"/>
      <x:c r="AC322" s="1"/>
      <x:c r="AD322" s="1"/>
      <x:c r="AE322" s="1"/>
      <x:c r="AF322" s="1"/>
      <x:c r="AG322" s="1"/>
      <x:c r="AH322" s="1"/>
      <x:c r="AI322" s="1" t="s">
        <x:v>337</x:v>
      </x:c>
      <x:c r="AJ322" s="1" t="s">
        <x:v>14</x:v>
      </x:c>
      <x:c r="AK322" s="1">
        <x:v>10.394</x:v>
      </x:c>
      <x:c r="AL322" s="1">
        <x:v>38340</x:v>
      </x:c>
      <x:c r="AM322" s="1"/>
      <x:c r="AN322" s="1"/>
      <x:c r="AO322" s="1"/>
      <x:c r="AP322" s="1"/>
      <x:c r="AQ322" s="1"/>
      <x:c r="AR322" s="1"/>
    </x:row>
    <x:row r="323">
      <x:c r="A323" s="1"/>
      <x:c r="B323" s="1"/>
      <x:c r="C323" s="1"/>
      <x:c r="D323" s="1"/>
      <x:c r="E323" s="1"/>
      <x:c r="F323" s="1"/>
      <x:c r="G323" s="1"/>
      <x:c r="H323" s="1"/>
      <x:c r="I323" s="1"/>
      <x:c r="J323" s="1"/>
      <x:c r="K323" s="1"/>
      <x:c r="L323" s="1"/>
      <x:c r="M323" s="1"/>
      <x:c r="N323" s="1"/>
      <x:c r="O323" s="1"/>
      <x:c r="P323" s="1"/>
      <x:c r="Q323" s="1"/>
      <x:c r="R323" s="1"/>
      <x:c r="S323" s="1"/>
      <x:c r="T323" s="1"/>
      <x:c r="U323" s="1"/>
      <x:c r="V323" s="1"/>
      <x:c r="W323" s="1"/>
      <x:c r="X323" s="1"/>
      <x:c r="Y323" s="1"/>
      <x:c r="Z323" s="1"/>
      <x:c r="AA323" s="1"/>
      <x:c r="AB323" s="1"/>
      <x:c r="AC323" s="1"/>
      <x:c r="AD323" s="1"/>
      <x:c r="AE323" s="1"/>
      <x:c r="AF323" s="1"/>
      <x:c r="AG323" s="1"/>
      <x:c r="AH323" s="1"/>
      <x:c r="AI323" s="1" t="s">
        <x:v>338</x:v>
      </x:c>
      <x:c r="AJ323" s="1" t="s">
        <x:v>20</x:v>
      </x:c>
      <x:c r="AK323" s="1">
        <x:v>8.7759999999999998</x:v>
      </x:c>
      <x:c r="AL323" s="1">
        <x:v>82710</x:v>
      </x:c>
      <x:c r="AM323" s="1"/>
      <x:c r="AN323" s="1"/>
      <x:c r="AO323" s="1"/>
      <x:c r="AP323" s="1"/>
      <x:c r="AQ323" s="1"/>
      <x:c r="AR323" s="1"/>
    </x:row>
    <x:row r="324">
      <x:c r="A324" s="1"/>
      <x:c r="B324" s="1"/>
      <x:c r="C324" s="1"/>
      <x:c r="D324" s="1"/>
      <x:c r="E324" s="1"/>
      <x:c r="F324" s="1"/>
      <x:c r="G324" s="1"/>
      <x:c r="H324" s="1"/>
      <x:c r="I324" s="1"/>
      <x:c r="J324" s="1"/>
      <x:c r="K324" s="1"/>
      <x:c r="L324" s="1"/>
      <x:c r="M324" s="1"/>
      <x:c r="N324" s="1"/>
      <x:c r="O324" s="1"/>
      <x:c r="P324" s="1"/>
      <x:c r="Q324" s="1"/>
      <x:c r="R324" s="1"/>
      <x:c r="S324" s="1"/>
      <x:c r="T324" s="1"/>
      <x:c r="U324" s="1"/>
      <x:c r="V324" s="1"/>
      <x:c r="W324" s="1"/>
      <x:c r="X324" s="1"/>
      <x:c r="Y324" s="1"/>
      <x:c r="Z324" s="1"/>
      <x:c r="AA324" s="1"/>
      <x:c r="AB324" s="1"/>
      <x:c r="AC324" s="1"/>
      <x:c r="AD324" s="1"/>
      <x:c r="AE324" s="1"/>
      <x:c r="AF324" s="1"/>
      <x:c r="AG324" s="1"/>
      <x:c r="AH324" s="1"/>
      <x:c r="AI324" s="1" t="s">
        <x:v>339</x:v>
      </x:c>
      <x:c r="AJ324" s="1" t="s">
        <x:v>27</x:v>
      </x:c>
      <x:c r="AK324" s="1">
        <x:v>7.1630000000000003</x:v>
      </x:c>
      <x:c r="AL324" s="1">
        <x:v>382230</x:v>
      </x:c>
      <x:c r="AM324" s="1"/>
      <x:c r="AN324" s="1"/>
      <x:c r="AO324" s="1"/>
      <x:c r="AP324" s="1"/>
      <x:c r="AQ324" s="1"/>
      <x:c r="AR324" s="1"/>
    </x:row>
    <x:row r="325">
      <x:c r="A325" s="1"/>
      <x:c r="B325" s="1"/>
      <x:c r="C325" s="1"/>
      <x:c r="D325" s="1"/>
      <x:c r="E325" s="1"/>
      <x:c r="F325" s="1"/>
      <x:c r="G325" s="1"/>
      <x:c r="H325" s="1"/>
      <x:c r="I325" s="1"/>
      <x:c r="J325" s="1"/>
      <x:c r="K325" s="1"/>
      <x:c r="L325" s="1"/>
      <x:c r="M325" s="1"/>
      <x:c r="N325" s="1"/>
      <x:c r="O325" s="1"/>
      <x:c r="P325" s="1"/>
      <x:c r="Q325" s="1"/>
      <x:c r="R325" s="1"/>
      <x:c r="S325" s="1"/>
      <x:c r="T325" s="1"/>
      <x:c r="U325" s="1"/>
      <x:c r="V325" s="1"/>
      <x:c r="W325" s="1"/>
      <x:c r="X325" s="1"/>
      <x:c r="Y325" s="1"/>
      <x:c r="Z325" s="1"/>
      <x:c r="AA325" s="1"/>
      <x:c r="AB325" s="1"/>
      <x:c r="AC325" s="1"/>
      <x:c r="AD325" s="1"/>
      <x:c r="AE325" s="1"/>
      <x:c r="AF325" s="1"/>
      <x:c r="AG325" s="1"/>
      <x:c r="AH325" s="1"/>
      <x:c r="AI325" s="1" t="s">
        <x:v>340</x:v>
      </x:c>
      <x:c r="AJ325" s="1" t="s">
        <x:v>31</x:v>
      </x:c>
      <x:c r="AK325" s="1">
        <x:v>7.0380000000000003</x:v>
      </x:c>
      <x:c r="AL325" s="1">
        <x:v>422080</x:v>
      </x:c>
      <x:c r="AM325" s="1"/>
      <x:c r="AN325" s="1"/>
      <x:c r="AO325" s="1"/>
      <x:c r="AP325" s="1"/>
      <x:c r="AQ325" s="1"/>
      <x:c r="AR325" s="1"/>
    </x:row>
    <x:row r="326">
      <x:c r="A326" s="1"/>
      <x:c r="B326" s="1"/>
      <x:c r="C326" s="1"/>
      <x:c r="D326" s="1"/>
      <x:c r="E326" s="1"/>
      <x:c r="F326" s="1"/>
      <x:c r="G326" s="1"/>
      <x:c r="H326" s="1"/>
      <x:c r="I326" s="1"/>
      <x:c r="J326" s="1"/>
      <x:c r="K326" s="1"/>
      <x:c r="L326" s="1"/>
      <x:c r="M326" s="1"/>
      <x:c r="N326" s="1"/>
      <x:c r="O326" s="1"/>
      <x:c r="P326" s="1"/>
      <x:c r="Q326" s="1"/>
      <x:c r="R326" s="1"/>
      <x:c r="S326" s="1"/>
      <x:c r="T326" s="1"/>
      <x:c r="U326" s="1"/>
      <x:c r="V326" s="1"/>
      <x:c r="W326" s="1"/>
      <x:c r="X326" s="1"/>
      <x:c r="Y326" s="1"/>
      <x:c r="Z326" s="1"/>
      <x:c r="AA326" s="1"/>
      <x:c r="AB326" s="1"/>
      <x:c r="AC326" s="1"/>
      <x:c r="AD326" s="1"/>
      <x:c r="AE326" s="1"/>
      <x:c r="AF326" s="1"/>
      <x:c r="AG326" s="1"/>
      <x:c r="AH326" s="1"/>
      <x:c r="AI326" s="1" t="s">
        <x:v>341</x:v>
      </x:c>
      <x:c r="AJ326" s="1" t="s">
        <x:v>35</x:v>
      </x:c>
      <x:c r="AK326" s="1">
        <x:v>6.8390000000000004</x:v>
      </x:c>
      <x:c r="AL326" s="1">
        <x:v>190680</x:v>
      </x:c>
      <x:c r="AM326" s="1"/>
      <x:c r="AN326" s="1"/>
      <x:c r="AO326" s="1"/>
      <x:c r="AP326" s="1"/>
      <x:c r="AQ326" s="1"/>
      <x:c r="AR326" s="1"/>
    </x:row>
    <x:row r="327">
      <x:c r="A327" s="1"/>
      <x:c r="B327" s="1"/>
      <x:c r="C327" s="1"/>
      <x:c r="D327" s="1"/>
      <x:c r="E327" s="1"/>
      <x:c r="F327" s="1"/>
      <x:c r="G327" s="1"/>
      <x:c r="H327" s="1"/>
      <x:c r="I327" s="1"/>
      <x:c r="J327" s="1"/>
      <x:c r="K327" s="1"/>
      <x:c r="L327" s="1"/>
      <x:c r="M327" s="1"/>
      <x:c r="N327" s="1"/>
      <x:c r="O327" s="1"/>
      <x:c r="P327" s="1"/>
      <x:c r="Q327" s="1"/>
      <x:c r="R327" s="1"/>
      <x:c r="S327" s="1"/>
      <x:c r="T327" s="1"/>
      <x:c r="U327" s="1"/>
      <x:c r="V327" s="1"/>
      <x:c r="W327" s="1"/>
      <x:c r="X327" s="1"/>
      <x:c r="Y327" s="1"/>
      <x:c r="Z327" s="1"/>
      <x:c r="AA327" s="1"/>
      <x:c r="AB327" s="1"/>
      <x:c r="AC327" s="1"/>
      <x:c r="AD327" s="1"/>
      <x:c r="AE327" s="1"/>
      <x:c r="AF327" s="1"/>
      <x:c r="AG327" s="1"/>
      <x:c r="AH327" s="1"/>
      <x:c r="AI327" s="1" t="s">
        <x:v>342</x:v>
      </x:c>
      <x:c r="AJ327" s="1" t="s">
        <x:v>39</x:v>
      </x:c>
      <x:c r="AK327" s="1">
        <x:v>6.7370000000000001</x:v>
      </x:c>
      <x:c r="AL327" s="1">
        <x:v>174550</x:v>
      </x:c>
      <x:c r="AM327" s="1"/>
      <x:c r="AN327" s="1"/>
      <x:c r="AO327" s="1"/>
      <x:c r="AP327" s="1"/>
      <x:c r="AQ327" s="1"/>
      <x:c r="AR327" s="1"/>
    </x:row>
    <x:row r="328">
      <x:c r="A328" s="1"/>
      <x:c r="B328" s="1"/>
      <x:c r="C328" s="1"/>
      <x:c r="D328" s="1"/>
      <x:c r="E328" s="1"/>
      <x:c r="F328" s="1"/>
      <x:c r="G328" s="1"/>
      <x:c r="H328" s="1"/>
      <x:c r="I328" s="1"/>
      <x:c r="J328" s="1"/>
      <x:c r="K328" s="1"/>
      <x:c r="L328" s="1"/>
      <x:c r="M328" s="1"/>
      <x:c r="N328" s="1"/>
      <x:c r="O328" s="1"/>
      <x:c r="P328" s="1"/>
      <x:c r="Q328" s="1"/>
      <x:c r="R328" s="1"/>
      <x:c r="S328" s="1"/>
      <x:c r="T328" s="1"/>
      <x:c r="U328" s="1"/>
      <x:c r="V328" s="1"/>
      <x:c r="W328" s="1"/>
      <x:c r="X328" s="1"/>
      <x:c r="Y328" s="1"/>
      <x:c r="Z328" s="1"/>
      <x:c r="AA328" s="1"/>
      <x:c r="AB328" s="1"/>
      <x:c r="AC328" s="1"/>
      <x:c r="AD328" s="1"/>
      <x:c r="AE328" s="1"/>
      <x:c r="AF328" s="1"/>
      <x:c r="AG328" s="1"/>
      <x:c r="AH328" s="1"/>
      <x:c r="AI328" s="1" t="s">
        <x:v>343</x:v>
      </x:c>
      <x:c r="AJ328" s="1" t="s">
        <x:v>43</x:v>
      </x:c>
      <x:c r="AK328" s="1">
        <x:v>6.4359999999999999</x:v>
      </x:c>
      <x:c r="AL328" s="1">
        <x:v>20600</x:v>
      </x:c>
      <x:c r="AM328" s="1"/>
      <x:c r="AN328" s="1"/>
      <x:c r="AO328" s="1"/>
      <x:c r="AP328" s="1"/>
      <x:c r="AQ328" s="1"/>
      <x:c r="AR328" s="1"/>
    </x:row>
    <x:row r="329">
      <x:c r="A329" s="1"/>
      <x:c r="B329" s="1"/>
      <x:c r="C329" s="1"/>
      <x:c r="D329" s="1"/>
      <x:c r="E329" s="1"/>
      <x:c r="F329" s="1"/>
      <x:c r="G329" s="1"/>
      <x:c r="H329" s="1"/>
      <x:c r="I329" s="1"/>
      <x:c r="J329" s="1"/>
      <x:c r="K329" s="1"/>
      <x:c r="L329" s="1"/>
      <x:c r="M329" s="1"/>
      <x:c r="N329" s="1"/>
      <x:c r="O329" s="1"/>
      <x:c r="P329" s="1"/>
      <x:c r="Q329" s="1"/>
      <x:c r="R329" s="1"/>
      <x:c r="S329" s="1"/>
      <x:c r="T329" s="1"/>
      <x:c r="U329" s="1"/>
      <x:c r="V329" s="1"/>
      <x:c r="W329" s="1"/>
      <x:c r="X329" s="1"/>
      <x:c r="Y329" s="1"/>
      <x:c r="Z329" s="1"/>
      <x:c r="AA329" s="1"/>
      <x:c r="AB329" s="1"/>
      <x:c r="AC329" s="1"/>
      <x:c r="AD329" s="1"/>
      <x:c r="AE329" s="1"/>
      <x:c r="AF329" s="1"/>
      <x:c r="AG329" s="1"/>
      <x:c r="AH329" s="1"/>
      <x:c r="AI329" s="1" t="s">
        <x:v>344</x:v>
      </x:c>
      <x:c r="AJ329" s="1" t="s">
        <x:v>55</x:v>
      </x:c>
      <x:c r="AK329" s="1">
        <x:v>6.2210000000000001</x:v>
      </x:c>
      <x:c r="AL329" s="1">
        <x:v>208370</x:v>
      </x:c>
      <x:c r="AM329" s="1"/>
      <x:c r="AN329" s="1"/>
      <x:c r="AO329" s="1"/>
      <x:c r="AP329" s="1"/>
      <x:c r="AQ329" s="1"/>
      <x:c r="AR329" s="1"/>
    </x:row>
    <x:row r="330">
      <x:c r="A330" s="1"/>
      <x:c r="B330" s="1"/>
      <x:c r="C330" s="1"/>
      <x:c r="D330" s="1"/>
      <x:c r="E330" s="1"/>
      <x:c r="F330" s="1"/>
      <x:c r="G330" s="1"/>
      <x:c r="H330" s="1"/>
      <x:c r="I330" s="1"/>
      <x:c r="J330" s="1"/>
      <x:c r="K330" s="1"/>
      <x:c r="L330" s="1"/>
      <x:c r="M330" s="1"/>
      <x:c r="N330" s="1"/>
      <x:c r="O330" s="1"/>
      <x:c r="P330" s="1"/>
      <x:c r="Q330" s="1"/>
      <x:c r="R330" s="1"/>
      <x:c r="S330" s="1"/>
      <x:c r="T330" s="1"/>
      <x:c r="U330" s="1"/>
      <x:c r="V330" s="1"/>
      <x:c r="W330" s="1"/>
      <x:c r="X330" s="1"/>
      <x:c r="Y330" s="1"/>
      <x:c r="Z330" s="1"/>
      <x:c r="AA330" s="1"/>
      <x:c r="AB330" s="1"/>
      <x:c r="AC330" s="1"/>
      <x:c r="AD330" s="1"/>
      <x:c r="AE330" s="1"/>
      <x:c r="AF330" s="1"/>
      <x:c r="AG330" s="1"/>
      <x:c r="AH330" s="1"/>
      <x:c r="AI330" s="1" t="s">
        <x:v>345</x:v>
      </x:c>
      <x:c r="AJ330" s="1" t="s">
        <x:v>51</x:v>
      </x:c>
      <x:c r="AK330" s="1">
        <x:v>6.07</x:v>
      </x:c>
      <x:c r="AL330" s="1">
        <x:v>374420</x:v>
      </x:c>
      <x:c r="AM330" s="1"/>
      <x:c r="AN330" s="1"/>
      <x:c r="AO330" s="1"/>
      <x:c r="AP330" s="1"/>
      <x:c r="AQ330" s="1"/>
      <x:c r="AR330" s="1"/>
    </x:row>
    <x:row r="331">
      <x:c r="A331" s="1"/>
      <x:c r="B331" s="1"/>
      <x:c r="C331" s="1"/>
      <x:c r="D331" s="1"/>
      <x:c r="E331" s="1"/>
      <x:c r="F331" s="1"/>
      <x:c r="G331" s="1"/>
      <x:c r="H331" s="1"/>
      <x:c r="I331" s="1"/>
      <x:c r="J331" s="1"/>
      <x:c r="K331" s="1"/>
      <x:c r="L331" s="1"/>
      <x:c r="M331" s="1"/>
      <x:c r="N331" s="1"/>
      <x:c r="O331" s="1"/>
      <x:c r="P331" s="1"/>
      <x:c r="Q331" s="1"/>
      <x:c r="R331" s="1"/>
      <x:c r="S331" s="1"/>
      <x:c r="T331" s="1"/>
      <x:c r="U331" s="1"/>
      <x:c r="V331" s="1"/>
      <x:c r="W331" s="1"/>
      <x:c r="X331" s="1"/>
      <x:c r="Y331" s="1"/>
      <x:c r="Z331" s="1"/>
      <x:c r="AA331" s="1"/>
      <x:c r="AB331" s="1"/>
      <x:c r="AC331" s="1"/>
      <x:c r="AD331" s="1"/>
      <x:c r="AE331" s="1"/>
      <x:c r="AF331" s="1"/>
      <x:c r="AG331" s="1"/>
      <x:c r="AH331" s="1"/>
      <x:c r="AI331" s="1" t="s">
        <x:v>520</x:v>
      </x:c>
      <x:c r="AJ331" s="1" t="s">
        <x:v>47</x:v>
      </x:c>
      <x:c r="AK331" s="1">
        <x:v>6.0540000000000003</x:v>
      </x:c>
      <x:c r="AL331" s="1">
        <x:v>329070</x:v>
      </x:c>
      <x:c r="AM331" s="1"/>
      <x:c r="AN331" s="1"/>
      <x:c r="AO331" s="1"/>
      <x:c r="AP331" s="1"/>
      <x:c r="AQ331" s="1"/>
      <x:c r="AR331" s="1"/>
    </x:row>
    <x:row r="332">
      <x:c r="A332" s="1"/>
      <x:c r="B332" s="1"/>
      <x:c r="C332" s="1"/>
      <x:c r="D332" s="1"/>
      <x:c r="E332" s="1"/>
      <x:c r="F332" s="1"/>
      <x:c r="G332" s="1"/>
      <x:c r="H332" s="1"/>
      <x:c r="I332" s="1"/>
      <x:c r="J332" s="1"/>
      <x:c r="K332" s="1"/>
      <x:c r="L332" s="1"/>
      <x:c r="M332" s="1"/>
      <x:c r="N332" s="1"/>
      <x:c r="O332" s="1"/>
      <x:c r="P332" s="1"/>
      <x:c r="Q332" s="1"/>
      <x:c r="R332" s="1"/>
      <x:c r="S332" s="1"/>
      <x:c r="T332" s="1"/>
      <x:c r="U332" s="1"/>
      <x:c r="V332" s="1"/>
      <x:c r="W332" s="1"/>
      <x:c r="X332" s="1"/>
      <x:c r="Y332" s="1"/>
      <x:c r="Z332" s="1"/>
      <x:c r="AA332" s="1"/>
      <x:c r="AB332" s="1"/>
      <x:c r="AC332" s="1"/>
      <x:c r="AD332" s="1"/>
      <x:c r="AE332" s="1"/>
      <x:c r="AF332" s="1"/>
      <x:c r="AG332" s="1"/>
      <x:c r="AH332" s="1"/>
      <x:c r="AI332" s="1" t="s">
        <x:v>521</x:v>
      </x:c>
      <x:c r="AJ332" s="1" t="s">
        <x:v>67</x:v>
      </x:c>
      <x:c r="AK332" s="1">
        <x:v>6.0380000000000003</x:v>
      </x:c>
      <x:c r="AL332" s="1">
        <x:v>12310</x:v>
      </x:c>
      <x:c r="AM332" s="1"/>
      <x:c r="AN332" s="1"/>
      <x:c r="AO332" s="1"/>
      <x:c r="AP332" s="1"/>
      <x:c r="AQ332" s="1"/>
      <x:c r="AR332" s="1"/>
    </x:row>
    <x:row r="333">
      <x:c r="A333" s="1"/>
      <x:c r="B333" s="1"/>
      <x:c r="C333" s="1"/>
      <x:c r="D333" s="1"/>
      <x:c r="E333" s="1"/>
      <x:c r="F333" s="1"/>
      <x:c r="G333" s="1"/>
      <x:c r="H333" s="1"/>
      <x:c r="I333" s="1"/>
      <x:c r="J333" s="1"/>
      <x:c r="K333" s="1"/>
      <x:c r="L333" s="1"/>
      <x:c r="M333" s="1"/>
      <x:c r="N333" s="1"/>
      <x:c r="O333" s="1"/>
      <x:c r="P333" s="1"/>
      <x:c r="Q333" s="1"/>
      <x:c r="R333" s="1"/>
      <x:c r="S333" s="1"/>
      <x:c r="T333" s="1"/>
      <x:c r="U333" s="1"/>
      <x:c r="V333" s="1"/>
      <x:c r="W333" s="1"/>
      <x:c r="X333" s="1"/>
      <x:c r="Y333" s="1"/>
      <x:c r="Z333" s="1"/>
      <x:c r="AA333" s="1"/>
      <x:c r="AB333" s="1"/>
      <x:c r="AC333" s="1"/>
      <x:c r="AD333" s="1"/>
      <x:c r="AE333" s="1"/>
      <x:c r="AF333" s="1"/>
      <x:c r="AG333" s="1"/>
      <x:c r="AH333" s="1"/>
      <x:c r="AI333" s="1" t="s">
        <x:v>522</x:v>
      </x:c>
      <x:c r="AJ333" s="1" t="s">
        <x:v>59</x:v>
      </x:c>
      <x:c r="AK333" s="1">
        <x:v>5.851</x:v>
      </x:c>
      <x:c r="AL333" s="1">
        <x:v>359310</x:v>
      </x:c>
      <x:c r="AM333" s="1"/>
      <x:c r="AN333" s="1"/>
      <x:c r="AO333" s="1"/>
      <x:c r="AP333" s="1"/>
      <x:c r="AQ333" s="1"/>
      <x:c r="AR333" s="1"/>
    </x:row>
    <x:row r="334">
      <x:c r="A334" s="1"/>
      <x:c r="B334" s="1"/>
      <x:c r="C334" s="1"/>
      <x:c r="D334" s="1"/>
      <x:c r="E334" s="1"/>
      <x:c r="F334" s="1"/>
      <x:c r="G334" s="1"/>
      <x:c r="H334" s="1"/>
      <x:c r="I334" s="1"/>
      <x:c r="J334" s="1"/>
      <x:c r="K334" s="1"/>
      <x:c r="L334" s="1"/>
      <x:c r="M334" s="1"/>
      <x:c r="N334" s="1"/>
      <x:c r="O334" s="1"/>
      <x:c r="P334" s="1"/>
      <x:c r="Q334" s="1"/>
      <x:c r="R334" s="1"/>
      <x:c r="S334" s="1"/>
      <x:c r="T334" s="1"/>
      <x:c r="U334" s="1"/>
      <x:c r="V334" s="1"/>
      <x:c r="W334" s="1"/>
      <x:c r="X334" s="1"/>
      <x:c r="Y334" s="1"/>
      <x:c r="Z334" s="1"/>
      <x:c r="AA334" s="1"/>
      <x:c r="AB334" s="1"/>
      <x:c r="AC334" s="1"/>
      <x:c r="AD334" s="1"/>
      <x:c r="AE334" s="1"/>
      <x:c r="AF334" s="1"/>
      <x:c r="AG334" s="1"/>
      <x:c r="AH334" s="1"/>
      <x:c r="AI334" s="1" t="s">
        <x:v>523</x:v>
      </x:c>
      <x:c r="AJ334" s="1" t="s">
        <x:v>63</x:v>
      </x:c>
      <x:c r="AK334" s="1">
        <x:v>5.59</x:v>
      </x:c>
      <x:c r="AL334" s="1">
        <x:v>457860</x:v>
      </x:c>
      <x:c r="AM334" s="1"/>
      <x:c r="AN334" s="1"/>
      <x:c r="AO334" s="1"/>
      <x:c r="AP334" s="1"/>
      <x:c r="AQ334" s="1"/>
      <x:c r="AR334" s="1"/>
    </x:row>
    <x:row r="335">
      <x:c r="A335" s="1"/>
      <x:c r="B335" s="1"/>
      <x:c r="C335" s="1"/>
      <x:c r="D335" s="1"/>
      <x:c r="E335" s="1"/>
      <x:c r="F335" s="1"/>
      <x:c r="G335" s="1"/>
      <x:c r="H335" s="1"/>
      <x:c r="I335" s="1"/>
      <x:c r="J335" s="1"/>
      <x:c r="K335" s="1"/>
      <x:c r="L335" s="1"/>
      <x:c r="M335" s="1"/>
      <x:c r="N335" s="1"/>
      <x:c r="O335" s="1"/>
      <x:c r="P335" s="1"/>
      <x:c r="Q335" s="1"/>
      <x:c r="R335" s="1"/>
      <x:c r="S335" s="1"/>
      <x:c r="T335" s="1"/>
      <x:c r="U335" s="1"/>
      <x:c r="V335" s="1"/>
      <x:c r="W335" s="1"/>
      <x:c r="X335" s="1"/>
      <x:c r="Y335" s="1"/>
      <x:c r="Z335" s="1"/>
      <x:c r="AA335" s="1"/>
      <x:c r="AB335" s="1"/>
      <x:c r="AC335" s="1"/>
      <x:c r="AD335" s="1"/>
      <x:c r="AE335" s="1"/>
      <x:c r="AF335" s="1"/>
      <x:c r="AG335" s="1"/>
      <x:c r="AH335" s="1"/>
      <x:c r="AI335" s="1" t="s">
        <x:v>524</x:v>
      </x:c>
      <x:c r="AJ335" s="1" t="s">
        <x:v>75</x:v>
      </x:c>
      <x:c r="AK335" s="1">
        <x:v>5.4</x:v>
      </x:c>
      <x:c r="AL335" s="1">
        <x:v>6440</x:v>
      </x:c>
      <x:c r="AM335" s="1"/>
      <x:c r="AN335" s="1"/>
      <x:c r="AO335" s="1"/>
      <x:c r="AP335" s="1"/>
      <x:c r="AQ335" s="1"/>
      <x:c r="AR335" s="1"/>
    </x:row>
    <x:row r="336">
      <x:c r="A336" s="1"/>
      <x:c r="B336" s="1"/>
      <x:c r="C336" s="1"/>
      <x:c r="D336" s="1"/>
      <x:c r="E336" s="1"/>
      <x:c r="F336" s="1"/>
      <x:c r="G336" s="1"/>
      <x:c r="H336" s="1"/>
      <x:c r="I336" s="1"/>
      <x:c r="J336" s="1"/>
      <x:c r="K336" s="1"/>
      <x:c r="L336" s="1"/>
      <x:c r="M336" s="1"/>
      <x:c r="N336" s="1"/>
      <x:c r="O336" s="1"/>
      <x:c r="P336" s="1"/>
      <x:c r="Q336" s="1"/>
      <x:c r="R336" s="1"/>
      <x:c r="S336" s="1"/>
      <x:c r="T336" s="1"/>
      <x:c r="U336" s="1"/>
      <x:c r="V336" s="1"/>
      <x:c r="W336" s="1"/>
      <x:c r="X336" s="1"/>
      <x:c r="Y336" s="1"/>
      <x:c r="Z336" s="1"/>
      <x:c r="AA336" s="1"/>
      <x:c r="AB336" s="1"/>
      <x:c r="AC336" s="1"/>
      <x:c r="AD336" s="1"/>
      <x:c r="AE336" s="1"/>
      <x:c r="AF336" s="1"/>
      <x:c r="AG336" s="1"/>
      <x:c r="AH336" s="1"/>
      <x:c r="AI336" s="1" t="s">
        <x:v>525</x:v>
      </x:c>
      <x:c r="AJ336" s="1" t="s">
        <x:v>71</x:v>
      </x:c>
      <x:c r="AK336" s="1">
        <x:v>5.37</x:v>
      </x:c>
      <x:c r="AL336" s="1">
        <x:v>676610</x:v>
      </x:c>
      <x:c r="AM336" s="1"/>
      <x:c r="AN336" s="1"/>
      <x:c r="AO336" s="1"/>
      <x:c r="AP336" s="1"/>
      <x:c r="AQ336" s="1"/>
      <x:c r="AR336" s="1"/>
    </x:row>
    <x:row r="337">
      <x:c r="A337" s="1"/>
      <x:c r="B337" s="1"/>
      <x:c r="C337" s="1"/>
      <x:c r="D337" s="1"/>
      <x:c r="E337" s="1"/>
      <x:c r="F337" s="1"/>
      <x:c r="G337" s="1"/>
      <x:c r="H337" s="1"/>
      <x:c r="I337" s="1"/>
      <x:c r="J337" s="1"/>
      <x:c r="K337" s="1"/>
      <x:c r="L337" s="1"/>
      <x:c r="M337" s="1"/>
      <x:c r="N337" s="1"/>
      <x:c r="O337" s="1"/>
      <x:c r="P337" s="1"/>
      <x:c r="Q337" s="1"/>
      <x:c r="R337" s="1"/>
      <x:c r="S337" s="1"/>
      <x:c r="T337" s="1"/>
      <x:c r="U337" s="1"/>
      <x:c r="V337" s="1"/>
      <x:c r="W337" s="1"/>
      <x:c r="X337" s="1"/>
      <x:c r="Y337" s="1"/>
      <x:c r="Z337" s="1"/>
      <x:c r="AA337" s="1"/>
      <x:c r="AB337" s="1"/>
      <x:c r="AC337" s="1"/>
      <x:c r="AD337" s="1"/>
      <x:c r="AE337" s="1"/>
      <x:c r="AF337" s="1"/>
      <x:c r="AG337" s="1"/>
      <x:c r="AH337" s="1"/>
      <x:c r="AI337" s="1" t="s">
        <x:v>526</x:v>
      </x:c>
      <x:c r="AJ337" s="1" t="s">
        <x:v>79</x:v>
      </x:c>
      <x:c r="AK337" s="1">
        <x:v>5.0919999999999996</x:v>
      </x:c>
      <x:c r="AL337" s="1">
        <x:v>199590</x:v>
      </x:c>
      <x:c r="AM337" s="1"/>
      <x:c r="AN337" s="1"/>
      <x:c r="AO337" s="1"/>
      <x:c r="AP337" s="1"/>
      <x:c r="AQ337" s="1"/>
      <x:c r="AR337" s="1"/>
    </x:row>
    <x:row r="338">
      <x:c r="A338" s="1"/>
      <x:c r="B338" s="1"/>
      <x:c r="C338" s="1"/>
      <x:c r="D338" s="1"/>
      <x:c r="E338" s="1"/>
      <x:c r="F338" s="1"/>
      <x:c r="G338" s="1"/>
      <x:c r="H338" s="1"/>
      <x:c r="I338" s="1"/>
      <x:c r="J338" s="1"/>
      <x:c r="K338" s="1"/>
      <x:c r="L338" s="1"/>
      <x:c r="M338" s="1"/>
      <x:c r="N338" s="1"/>
      <x:c r="O338" s="1"/>
      <x:c r="P338" s="1"/>
      <x:c r="Q338" s="1"/>
      <x:c r="R338" s="1"/>
      <x:c r="S338" s="1"/>
      <x:c r="T338" s="1"/>
      <x:c r="U338" s="1"/>
      <x:c r="V338" s="1"/>
      <x:c r="W338" s="1"/>
      <x:c r="X338" s="1"/>
      <x:c r="Y338" s="1"/>
      <x:c r="Z338" s="1"/>
      <x:c r="AA338" s="1"/>
      <x:c r="AB338" s="1"/>
      <x:c r="AC338" s="1"/>
      <x:c r="AD338" s="1"/>
      <x:c r="AE338" s="1"/>
      <x:c r="AF338" s="1"/>
      <x:c r="AG338" s="1"/>
      <x:c r="AH338" s="1"/>
      <x:c r="AI338" s="1" t="s">
        <x:v>527</x:v>
      </x:c>
      <x:c r="AJ338" s="1" t="s">
        <x:v>83</x:v>
      </x:c>
      <x:c r="AK338" s="1">
        <x:v>4.4729999999999999</x:v>
      </x:c>
      <x:c r="AL338" s="1">
        <x:v>154170</x:v>
      </x:c>
      <x:c r="AM338" s="1"/>
      <x:c r="AN338" s="1"/>
      <x:c r="AO338" s="1"/>
      <x:c r="AP338" s="1"/>
      <x:c r="AQ338" s="1"/>
      <x:c r="AR338" s="1"/>
    </x:row>
    <x:row r="339">
      <x:c r="A339" s="1"/>
      <x:c r="B339" s="1"/>
      <x:c r="C339" s="1"/>
      <x:c r="D339" s="1"/>
      <x:c r="E339" s="1"/>
      <x:c r="F339" s="1"/>
      <x:c r="G339" s="1"/>
      <x:c r="H339" s="1"/>
      <x:c r="I339" s="1"/>
      <x:c r="J339" s="1"/>
      <x:c r="K339" s="1"/>
      <x:c r="L339" s="1"/>
      <x:c r="M339" s="1"/>
      <x:c r="N339" s="1"/>
      <x:c r="O339" s="1"/>
      <x:c r="P339" s="1"/>
      <x:c r="Q339" s="1"/>
      <x:c r="R339" s="1"/>
      <x:c r="S339" s="1"/>
      <x:c r="T339" s="1"/>
      <x:c r="U339" s="1"/>
      <x:c r="V339" s="1"/>
      <x:c r="W339" s="1"/>
      <x:c r="X339" s="1"/>
      <x:c r="Y339" s="1"/>
      <x:c r="Z339" s="1"/>
      <x:c r="AA339" s="1"/>
      <x:c r="AB339" s="1"/>
      <x:c r="AC339" s="1"/>
      <x:c r="AD339" s="1"/>
      <x:c r="AE339" s="1"/>
      <x:c r="AF339" s="1"/>
      <x:c r="AG339" s="1"/>
      <x:c r="AH339" s="1"/>
      <x:c r="AI339" s="1" t="s">
        <x:v>346</x:v>
      </x:c>
      <x:c r="AJ339" s="1" t="s">
        <x:v>10</x:v>
      </x:c>
      <x:c r="AK339" s="1">
        <x:v>10.403</x:v>
      </x:c>
      <x:c r="AL339" s="1">
        <x:v>18670</x:v>
      </x:c>
      <x:c r="AM339" s="1"/>
      <x:c r="AN339" s="1"/>
      <x:c r="AO339" s="1"/>
      <x:c r="AP339" s="1"/>
      <x:c r="AQ339" s="1"/>
      <x:c r="AR339" s="1"/>
    </x:row>
    <x:row r="340">
      <x:c r="A340" s="1"/>
      <x:c r="B340" s="1"/>
      <x:c r="C340" s="1"/>
      <x:c r="D340" s="1"/>
      <x:c r="E340" s="1"/>
      <x:c r="F340" s="1"/>
      <x:c r="G340" s="1"/>
      <x:c r="H340" s="1"/>
      <x:c r="I340" s="1"/>
      <x:c r="J340" s="1"/>
      <x:c r="K340" s="1"/>
      <x:c r="L340" s="1"/>
      <x:c r="M340" s="1"/>
      <x:c r="N340" s="1"/>
      <x:c r="O340" s="1"/>
      <x:c r="P340" s="1"/>
      <x:c r="Q340" s="1"/>
      <x:c r="R340" s="1"/>
      <x:c r="S340" s="1"/>
      <x:c r="T340" s="1"/>
      <x:c r="U340" s="1"/>
      <x:c r="V340" s="1"/>
      <x:c r="W340" s="1"/>
      <x:c r="X340" s="1"/>
      <x:c r="Y340" s="1"/>
      <x:c r="Z340" s="1"/>
      <x:c r="AA340" s="1"/>
      <x:c r="AB340" s="1"/>
      <x:c r="AC340" s="1"/>
      <x:c r="AD340" s="1"/>
      <x:c r="AE340" s="1"/>
      <x:c r="AF340" s="1"/>
      <x:c r="AG340" s="1"/>
      <x:c r="AH340" s="1"/>
      <x:c r="AI340" s="1" t="s">
        <x:v>348</x:v>
      </x:c>
      <x:c r="AJ340" s="1" t="s">
        <x:v>14</x:v>
      </x:c>
      <x:c r="AK340" s="1">
        <x:v>9.8439999999999994</x:v>
      </x:c>
      <x:c r="AL340" s="1">
        <x:v>16500</x:v>
      </x:c>
      <x:c r="AM340" s="1"/>
      <x:c r="AN340" s="1"/>
      <x:c r="AO340" s="1"/>
      <x:c r="AP340" s="1"/>
      <x:c r="AQ340" s="1"/>
      <x:c r="AR340" s="1"/>
    </x:row>
    <x:row r="341">
      <x:c r="A341" s="1"/>
      <x:c r="B341" s="1"/>
      <x:c r="C341" s="1"/>
      <x:c r="D341" s="1"/>
      <x:c r="E341" s="1"/>
      <x:c r="F341" s="1"/>
      <x:c r="G341" s="1"/>
      <x:c r="H341" s="1"/>
      <x:c r="I341" s="1"/>
      <x:c r="J341" s="1"/>
      <x:c r="K341" s="1"/>
      <x:c r="L341" s="1"/>
      <x:c r="M341" s="1"/>
      <x:c r="N341" s="1"/>
      <x:c r="O341" s="1"/>
      <x:c r="P341" s="1"/>
      <x:c r="Q341" s="1"/>
      <x:c r="R341" s="1"/>
      <x:c r="S341" s="1"/>
      <x:c r="T341" s="1"/>
      <x:c r="U341" s="1"/>
      <x:c r="V341" s="1"/>
      <x:c r="W341" s="1"/>
      <x:c r="X341" s="1"/>
      <x:c r="Y341" s="1"/>
      <x:c r="Z341" s="1"/>
      <x:c r="AA341" s="1"/>
      <x:c r="AB341" s="1"/>
      <x:c r="AC341" s="1"/>
      <x:c r="AD341" s="1"/>
      <x:c r="AE341" s="1"/>
      <x:c r="AF341" s="1"/>
      <x:c r="AG341" s="1"/>
      <x:c r="AH341" s="1"/>
      <x:c r="AI341" s="1" t="s">
        <x:v>350</x:v>
      </x:c>
      <x:c r="AJ341" s="1" t="s">
        <x:v>20</x:v>
      </x:c>
      <x:c r="AK341" s="1">
        <x:v>8.3330000000000002</x:v>
      </x:c>
      <x:c r="AL341" s="1">
        <x:v>38040</x:v>
      </x:c>
      <x:c r="AM341" s="1"/>
      <x:c r="AN341" s="1"/>
      <x:c r="AO341" s="1"/>
      <x:c r="AP341" s="1"/>
      <x:c r="AQ341" s="1"/>
      <x:c r="AR341" s="1"/>
    </x:row>
    <x:row r="342">
      <x:c r="A342" s="1"/>
      <x:c r="B342" s="1"/>
      <x:c r="C342" s="1"/>
      <x:c r="D342" s="1"/>
      <x:c r="E342" s="1"/>
      <x:c r="F342" s="1"/>
      <x:c r="G342" s="1"/>
      <x:c r="H342" s="1"/>
      <x:c r="I342" s="1"/>
      <x:c r="J342" s="1"/>
      <x:c r="K342" s="1"/>
      <x:c r="L342" s="1"/>
      <x:c r="M342" s="1"/>
      <x:c r="N342" s="1"/>
      <x:c r="O342" s="1"/>
      <x:c r="P342" s="1"/>
      <x:c r="Q342" s="1"/>
      <x:c r="R342" s="1"/>
      <x:c r="S342" s="1"/>
      <x:c r="T342" s="1"/>
      <x:c r="U342" s="1"/>
      <x:c r="V342" s="1"/>
      <x:c r="W342" s="1"/>
      <x:c r="X342" s="1"/>
      <x:c r="Y342" s="1"/>
      <x:c r="Z342" s="1"/>
      <x:c r="AA342" s="1"/>
      <x:c r="AB342" s="1"/>
      <x:c r="AC342" s="1"/>
      <x:c r="AD342" s="1"/>
      <x:c r="AE342" s="1"/>
      <x:c r="AF342" s="1"/>
      <x:c r="AG342" s="1"/>
      <x:c r="AH342" s="1"/>
      <x:c r="AI342" s="1" t="s">
        <x:v>352</x:v>
      </x:c>
      <x:c r="AJ342" s="1" t="s">
        <x:v>27</x:v>
      </x:c>
      <x:c r="AK342" s="1">
        <x:v>8.0210000000000008</x:v>
      </x:c>
      <x:c r="AL342" s="1">
        <x:v>207850</x:v>
      </x:c>
      <x:c r="AM342" s="1"/>
      <x:c r="AN342" s="1"/>
      <x:c r="AO342" s="1"/>
      <x:c r="AP342" s="1"/>
      <x:c r="AQ342" s="1"/>
      <x:c r="AR342" s="1"/>
    </x:row>
    <x:row r="343">
      <x:c r="A343" s="1"/>
      <x:c r="B343" s="1"/>
      <x:c r="C343" s="1"/>
      <x:c r="D343" s="1"/>
      <x:c r="E343" s="1"/>
      <x:c r="F343" s="1"/>
      <x:c r="G343" s="1"/>
      <x:c r="H343" s="1"/>
      <x:c r="I343" s="1"/>
      <x:c r="J343" s="1"/>
      <x:c r="K343" s="1"/>
      <x:c r="L343" s="1"/>
      <x:c r="M343" s="1"/>
      <x:c r="N343" s="1"/>
      <x:c r="O343" s="1"/>
      <x:c r="P343" s="1"/>
      <x:c r="Q343" s="1"/>
      <x:c r="R343" s="1"/>
      <x:c r="S343" s="1"/>
      <x:c r="T343" s="1"/>
      <x:c r="U343" s="1"/>
      <x:c r="V343" s="1"/>
      <x:c r="W343" s="1"/>
      <x:c r="X343" s="1"/>
      <x:c r="Y343" s="1"/>
      <x:c r="Z343" s="1"/>
      <x:c r="AA343" s="1"/>
      <x:c r="AB343" s="1"/>
      <x:c r="AC343" s="1"/>
      <x:c r="AD343" s="1"/>
      <x:c r="AE343" s="1"/>
      <x:c r="AF343" s="1"/>
      <x:c r="AG343" s="1"/>
      <x:c r="AH343" s="1"/>
      <x:c r="AI343" s="1" t="s">
        <x:v>354</x:v>
      </x:c>
      <x:c r="AJ343" s="1" t="s">
        <x:v>35</x:v>
      </x:c>
      <x:c r="AK343" s="1">
        <x:v>7.7309999999999999</x:v>
      </x:c>
      <x:c r="AL343" s="1">
        <x:v>105040</x:v>
      </x:c>
      <x:c r="AM343" s="1"/>
      <x:c r="AN343" s="1"/>
      <x:c r="AO343" s="1"/>
      <x:c r="AP343" s="1"/>
      <x:c r="AQ343" s="1"/>
      <x:c r="AR343" s="1"/>
    </x:row>
    <x:row r="344">
      <x:c r="A344" s="1"/>
      <x:c r="B344" s="1"/>
      <x:c r="C344" s="1"/>
      <x:c r="D344" s="1"/>
      <x:c r="E344" s="1"/>
      <x:c r="F344" s="1"/>
      <x:c r="G344" s="1"/>
      <x:c r="H344" s="1"/>
      <x:c r="I344" s="1"/>
      <x:c r="J344" s="1"/>
      <x:c r="K344" s="1"/>
      <x:c r="L344" s="1"/>
      <x:c r="M344" s="1"/>
      <x:c r="N344" s="1"/>
      <x:c r="O344" s="1"/>
      <x:c r="P344" s="1"/>
      <x:c r="Q344" s="1"/>
      <x:c r="R344" s="1"/>
      <x:c r="S344" s="1"/>
      <x:c r="T344" s="1"/>
      <x:c r="U344" s="1"/>
      <x:c r="V344" s="1"/>
      <x:c r="W344" s="1"/>
      <x:c r="X344" s="1"/>
      <x:c r="Y344" s="1"/>
      <x:c r="Z344" s="1"/>
      <x:c r="AA344" s="1"/>
      <x:c r="AB344" s="1"/>
      <x:c r="AC344" s="1"/>
      <x:c r="AD344" s="1"/>
      <x:c r="AE344" s="1"/>
      <x:c r="AF344" s="1"/>
      <x:c r="AG344" s="1"/>
      <x:c r="AH344" s="1"/>
      <x:c r="AI344" s="1" t="s">
        <x:v>356</x:v>
      </x:c>
      <x:c r="AJ344" s="1" t="s">
        <x:v>31</x:v>
      </x:c>
      <x:c r="AK344" s="1">
        <x:v>7.7039999999999997</x:v>
      </x:c>
      <x:c r="AL344" s="1">
        <x:v>225080</x:v>
      </x:c>
      <x:c r="AM344" s="1"/>
      <x:c r="AN344" s="1"/>
      <x:c r="AO344" s="1"/>
      <x:c r="AP344" s="1"/>
      <x:c r="AQ344" s="1"/>
      <x:c r="AR344" s="1"/>
    </x:row>
    <x:row r="345">
      <x:c r="A345" s="1"/>
      <x:c r="B345" s="1"/>
      <x:c r="C345" s="1"/>
      <x:c r="D345" s="1"/>
      <x:c r="E345" s="1"/>
      <x:c r="F345" s="1"/>
      <x:c r="G345" s="1"/>
      <x:c r="H345" s="1"/>
      <x:c r="I345" s="1"/>
      <x:c r="J345" s="1"/>
      <x:c r="K345" s="1"/>
      <x:c r="L345" s="1"/>
      <x:c r="M345" s="1"/>
      <x:c r="N345" s="1"/>
      <x:c r="O345" s="1"/>
      <x:c r="P345" s="1"/>
      <x:c r="Q345" s="1"/>
      <x:c r="R345" s="1"/>
      <x:c r="S345" s="1"/>
      <x:c r="T345" s="1"/>
      <x:c r="U345" s="1"/>
      <x:c r="V345" s="1"/>
      <x:c r="W345" s="1"/>
      <x:c r="X345" s="1"/>
      <x:c r="Y345" s="1"/>
      <x:c r="Z345" s="1"/>
      <x:c r="AA345" s="1"/>
      <x:c r="AB345" s="1"/>
      <x:c r="AC345" s="1"/>
      <x:c r="AD345" s="1"/>
      <x:c r="AE345" s="1"/>
      <x:c r="AF345" s="1"/>
      <x:c r="AG345" s="1"/>
      <x:c r="AH345" s="1"/>
      <x:c r="AI345" s="1" t="s">
        <x:v>358</x:v>
      </x:c>
      <x:c r="AJ345" s="1" t="s">
        <x:v>39</x:v>
      </x:c>
      <x:c r="AK345" s="1">
        <x:v>7.6790000000000003</x:v>
      </x:c>
      <x:c r="AL345" s="1">
        <x:v>96480</x:v>
      </x:c>
      <x:c r="AM345" s="1"/>
      <x:c r="AN345" s="1"/>
      <x:c r="AO345" s="1"/>
      <x:c r="AP345" s="1"/>
      <x:c r="AQ345" s="1"/>
      <x:c r="AR345" s="1"/>
    </x:row>
    <x:row r="346">
      <x:c r="A346" s="1"/>
      <x:c r="B346" s="1"/>
      <x:c r="C346" s="1"/>
      <x:c r="D346" s="1"/>
      <x:c r="E346" s="1"/>
      <x:c r="F346" s="1"/>
      <x:c r="G346" s="1"/>
      <x:c r="H346" s="1"/>
      <x:c r="I346" s="1"/>
      <x:c r="J346" s="1"/>
      <x:c r="K346" s="1"/>
      <x:c r="L346" s="1"/>
      <x:c r="M346" s="1"/>
      <x:c r="N346" s="1"/>
      <x:c r="O346" s="1"/>
      <x:c r="P346" s="1"/>
      <x:c r="Q346" s="1"/>
      <x:c r="R346" s="1"/>
      <x:c r="S346" s="1"/>
      <x:c r="T346" s="1"/>
      <x:c r="U346" s="1"/>
      <x:c r="V346" s="1"/>
      <x:c r="W346" s="1"/>
      <x:c r="X346" s="1"/>
      <x:c r="Y346" s="1"/>
      <x:c r="Z346" s="1"/>
      <x:c r="AA346" s="1"/>
      <x:c r="AB346" s="1"/>
      <x:c r="AC346" s="1"/>
      <x:c r="AD346" s="1"/>
      <x:c r="AE346" s="1"/>
      <x:c r="AF346" s="1"/>
      <x:c r="AG346" s="1"/>
      <x:c r="AH346" s="1"/>
      <x:c r="AI346" s="1" t="s">
        <x:v>360</x:v>
      </x:c>
      <x:c r="AJ346" s="1" t="s">
        <x:v>43</x:v>
      </x:c>
      <x:c r="AK346" s="1">
        <x:v>7.4729999999999999</x:v>
      </x:c>
      <x:c r="AL346" s="1">
        <x:v>11700</x:v>
      </x:c>
      <x:c r="AM346" s="1"/>
      <x:c r="AN346" s="1"/>
      <x:c r="AO346" s="1"/>
      <x:c r="AP346" s="1"/>
      <x:c r="AQ346" s="1"/>
      <x:c r="AR346" s="1"/>
    </x:row>
    <x:row r="347">
      <x:c r="A347" s="1"/>
      <x:c r="B347" s="1"/>
      <x:c r="C347" s="1"/>
      <x:c r="D347" s="1"/>
      <x:c r="E347" s="1"/>
      <x:c r="F347" s="1"/>
      <x:c r="G347" s="1"/>
      <x:c r="H347" s="1"/>
      <x:c r="I347" s="1"/>
      <x:c r="J347" s="1"/>
      <x:c r="K347" s="1"/>
      <x:c r="L347" s="1"/>
      <x:c r="M347" s="1"/>
      <x:c r="N347" s="1"/>
      <x:c r="O347" s="1"/>
      <x:c r="P347" s="1"/>
      <x:c r="Q347" s="1"/>
      <x:c r="R347" s="1"/>
      <x:c r="S347" s="1"/>
      <x:c r="T347" s="1"/>
      <x:c r="U347" s="1"/>
      <x:c r="V347" s="1"/>
      <x:c r="W347" s="1"/>
      <x:c r="X347" s="1"/>
      <x:c r="Y347" s="1"/>
      <x:c r="Z347" s="1"/>
      <x:c r="AA347" s="1"/>
      <x:c r="AB347" s="1"/>
      <x:c r="AC347" s="1"/>
      <x:c r="AD347" s="1"/>
      <x:c r="AE347" s="1"/>
      <x:c r="AF347" s="1"/>
      <x:c r="AG347" s="1"/>
      <x:c r="AH347" s="1"/>
      <x:c r="AI347" s="1" t="s">
        <x:v>362</x:v>
      </x:c>
      <x:c r="AJ347" s="1" t="s">
        <x:v>55</x:v>
      </x:c>
      <x:c r="AK347" s="1">
        <x:v>7.125</x:v>
      </x:c>
      <x:c r="AL347" s="1">
        <x:v>115610</x:v>
      </x:c>
      <x:c r="AM347" s="1"/>
      <x:c r="AN347" s="1"/>
      <x:c r="AO347" s="1"/>
      <x:c r="AP347" s="1"/>
      <x:c r="AQ347" s="1"/>
      <x:c r="AR347" s="1"/>
    </x:row>
    <x:row r="348">
      <x:c r="A348" s="1"/>
      <x:c r="B348" s="1"/>
      <x:c r="C348" s="1"/>
      <x:c r="D348" s="1"/>
      <x:c r="E348" s="1"/>
      <x:c r="F348" s="1"/>
      <x:c r="G348" s="1"/>
      <x:c r="H348" s="1"/>
      <x:c r="I348" s="1"/>
      <x:c r="J348" s="1"/>
      <x:c r="K348" s="1"/>
      <x:c r="L348" s="1"/>
      <x:c r="M348" s="1"/>
      <x:c r="N348" s="1"/>
      <x:c r="O348" s="1"/>
      <x:c r="P348" s="1"/>
      <x:c r="Q348" s="1"/>
      <x:c r="R348" s="1"/>
      <x:c r="S348" s="1"/>
      <x:c r="T348" s="1"/>
      <x:c r="U348" s="1"/>
      <x:c r="V348" s="1"/>
      <x:c r="W348" s="1"/>
      <x:c r="X348" s="1"/>
      <x:c r="Y348" s="1"/>
      <x:c r="Z348" s="1"/>
      <x:c r="AA348" s="1"/>
      <x:c r="AB348" s="1"/>
      <x:c r="AC348" s="1"/>
      <x:c r="AD348" s="1"/>
      <x:c r="AE348" s="1"/>
      <x:c r="AF348" s="1"/>
      <x:c r="AG348" s="1"/>
      <x:c r="AH348" s="1"/>
      <x:c r="AI348" s="1" t="s">
        <x:v>363</x:v>
      </x:c>
      <x:c r="AJ348" s="1" t="s">
        <x:v>51</x:v>
      </x:c>
      <x:c r="AK348" s="1">
        <x:v>7.0860000000000003</x:v>
      </x:c>
      <x:c r="AL348" s="1">
        <x:v>211490</x:v>
      </x:c>
      <x:c r="AM348" s="1"/>
      <x:c r="AN348" s="1"/>
      <x:c r="AO348" s="1"/>
      <x:c r="AP348" s="1"/>
      <x:c r="AQ348" s="1"/>
      <x:c r="AR348" s="1"/>
    </x:row>
    <x:row r="349">
      <x:c r="A349" s="1"/>
      <x:c r="B349" s="1"/>
      <x:c r="C349" s="1"/>
      <x:c r="D349" s="1"/>
      <x:c r="E349" s="1"/>
      <x:c r="F349" s="1"/>
      <x:c r="G349" s="1"/>
      <x:c r="H349" s="1"/>
      <x:c r="I349" s="1"/>
      <x:c r="J349" s="1"/>
      <x:c r="K349" s="1"/>
      <x:c r="L349" s="1"/>
      <x:c r="M349" s="1"/>
      <x:c r="N349" s="1"/>
      <x:c r="O349" s="1"/>
      <x:c r="P349" s="1"/>
      <x:c r="Q349" s="1"/>
      <x:c r="R349" s="1"/>
      <x:c r="S349" s="1"/>
      <x:c r="T349" s="1"/>
      <x:c r="U349" s="1"/>
      <x:c r="V349" s="1"/>
      <x:c r="W349" s="1"/>
      <x:c r="X349" s="1"/>
      <x:c r="Y349" s="1"/>
      <x:c r="Z349" s="1"/>
      <x:c r="AA349" s="1"/>
      <x:c r="AB349" s="1"/>
      <x:c r="AC349" s="1"/>
      <x:c r="AD349" s="1"/>
      <x:c r="AE349" s="1"/>
      <x:c r="AF349" s="1"/>
      <x:c r="AG349" s="1"/>
      <x:c r="AH349" s="1"/>
      <x:c r="AI349" s="1" t="s">
        <x:v>528</x:v>
      </x:c>
      <x:c r="AJ349" s="1" t="s">
        <x:v>47</x:v>
      </x:c>
      <x:c r="AK349" s="1">
        <x:v>6.99</x:v>
      </x:c>
      <x:c r="AL349" s="1">
        <x:v>183980</x:v>
      </x:c>
      <x:c r="AM349" s="1"/>
      <x:c r="AN349" s="1"/>
      <x:c r="AO349" s="1"/>
      <x:c r="AP349" s="1"/>
      <x:c r="AQ349" s="1"/>
      <x:c r="AR349" s="1"/>
    </x:row>
    <x:row r="350">
      <x:c r="A350" s="1"/>
      <x:c r="B350" s="1"/>
      <x:c r="C350" s="1"/>
      <x:c r="D350" s="1"/>
      <x:c r="E350" s="1"/>
      <x:c r="F350" s="1"/>
      <x:c r="G350" s="1"/>
      <x:c r="H350" s="1"/>
      <x:c r="I350" s="1"/>
      <x:c r="J350" s="1"/>
      <x:c r="K350" s="1"/>
      <x:c r="L350" s="1"/>
      <x:c r="M350" s="1"/>
      <x:c r="N350" s="1"/>
      <x:c r="O350" s="1"/>
      <x:c r="P350" s="1"/>
      <x:c r="Q350" s="1"/>
      <x:c r="R350" s="1"/>
      <x:c r="S350" s="1"/>
      <x:c r="T350" s="1"/>
      <x:c r="U350" s="1"/>
      <x:c r="V350" s="1"/>
      <x:c r="W350" s="1"/>
      <x:c r="X350" s="1"/>
      <x:c r="Y350" s="1"/>
      <x:c r="Z350" s="1"/>
      <x:c r="AA350" s="1"/>
      <x:c r="AB350" s="1"/>
      <x:c r="AC350" s="1"/>
      <x:c r="AD350" s="1"/>
      <x:c r="AE350" s="1"/>
      <x:c r="AF350" s="1"/>
      <x:c r="AG350" s="1"/>
      <x:c r="AH350" s="1"/>
      <x:c r="AI350" s="1" t="s">
        <x:v>529</x:v>
      </x:c>
      <x:c r="AJ350" s="1" t="s">
        <x:v>59</x:v>
      </x:c>
      <x:c r="AK350" s="1">
        <x:v>6.8079999999999998</x:v>
      </x:c>
      <x:c r="AL350" s="1">
        <x:v>203320</x:v>
      </x:c>
      <x:c r="AM350" s="1"/>
      <x:c r="AN350" s="1"/>
      <x:c r="AO350" s="1"/>
      <x:c r="AP350" s="1"/>
      <x:c r="AQ350" s="1"/>
      <x:c r="AR350" s="1"/>
    </x:row>
    <x:row r="351">
      <x:c r="A351" s="1"/>
      <x:c r="B351" s="1"/>
      <x:c r="C351" s="1"/>
      <x:c r="D351" s="1"/>
      <x:c r="E351" s="1"/>
      <x:c r="F351" s="1"/>
      <x:c r="G351" s="1"/>
      <x:c r="H351" s="1"/>
      <x:c r="I351" s="1"/>
      <x:c r="J351" s="1"/>
      <x:c r="K351" s="1"/>
      <x:c r="L351" s="1"/>
      <x:c r="M351" s="1"/>
      <x:c r="N351" s="1"/>
      <x:c r="O351" s="1"/>
      <x:c r="P351" s="1"/>
      <x:c r="Q351" s="1"/>
      <x:c r="R351" s="1"/>
      <x:c r="S351" s="1"/>
      <x:c r="T351" s="1"/>
      <x:c r="U351" s="1"/>
      <x:c r="V351" s="1"/>
      <x:c r="W351" s="1"/>
      <x:c r="X351" s="1"/>
      <x:c r="Y351" s="1"/>
      <x:c r="Z351" s="1"/>
      <x:c r="AA351" s="1"/>
      <x:c r="AB351" s="1"/>
      <x:c r="AC351" s="1"/>
      <x:c r="AD351" s="1"/>
      <x:c r="AE351" s="1"/>
      <x:c r="AF351" s="1"/>
      <x:c r="AG351" s="1"/>
      <x:c r="AH351" s="1"/>
      <x:c r="AI351" s="1" t="s">
        <x:v>530</x:v>
      </x:c>
      <x:c r="AJ351" s="1" t="s">
        <x:v>63</x:v>
      </x:c>
      <x:c r="AK351" s="1">
        <x:v>6.3579999999999997</x:v>
      </x:c>
      <x:c r="AL351" s="1">
        <x:v>254350</x:v>
      </x:c>
      <x:c r="AM351" s="1"/>
      <x:c r="AN351" s="1"/>
      <x:c r="AO351" s="1"/>
      <x:c r="AP351" s="1"/>
      <x:c r="AQ351" s="1"/>
      <x:c r="AR351" s="1"/>
    </x:row>
    <x:row r="352">
      <x:c r="A352" s="1"/>
      <x:c r="B352" s="1"/>
      <x:c r="C352" s="1"/>
      <x:c r="D352" s="1"/>
      <x:c r="E352" s="1"/>
      <x:c r="F352" s="1"/>
      <x:c r="G352" s="1"/>
      <x:c r="H352" s="1"/>
      <x:c r="I352" s="1"/>
      <x:c r="J352" s="1"/>
      <x:c r="K352" s="1"/>
      <x:c r="L352" s="1"/>
      <x:c r="M352" s="1"/>
      <x:c r="N352" s="1"/>
      <x:c r="O352" s="1"/>
      <x:c r="P352" s="1"/>
      <x:c r="Q352" s="1"/>
      <x:c r="R352" s="1"/>
      <x:c r="S352" s="1"/>
      <x:c r="T352" s="1"/>
      <x:c r="U352" s="1"/>
      <x:c r="V352" s="1"/>
      <x:c r="W352" s="1"/>
      <x:c r="X352" s="1"/>
      <x:c r="Y352" s="1"/>
      <x:c r="Z352" s="1"/>
      <x:c r="AA352" s="1"/>
      <x:c r="AB352" s="1"/>
      <x:c r="AC352" s="1"/>
      <x:c r="AD352" s="1"/>
      <x:c r="AE352" s="1"/>
      <x:c r="AF352" s="1"/>
      <x:c r="AG352" s="1"/>
      <x:c r="AH352" s="1"/>
      <x:c r="AI352" s="1" t="s">
        <x:v>531</x:v>
      </x:c>
      <x:c r="AJ352" s="1" t="s">
        <x:v>71</x:v>
      </x:c>
      <x:c r="AK352" s="1">
        <x:v>6.0869999999999997</x:v>
      </x:c>
      <x:c r="AL352" s="1">
        <x:v>374380</x:v>
      </x:c>
      <x:c r="AM352" s="1"/>
      <x:c r="AN352" s="1"/>
      <x:c r="AO352" s="1"/>
      <x:c r="AP352" s="1"/>
      <x:c r="AQ352" s="1"/>
      <x:c r="AR352" s="1"/>
    </x:row>
    <x:row r="353">
      <x:c r="A353" s="1"/>
      <x:c r="B353" s="1"/>
      <x:c r="C353" s="1"/>
      <x:c r="D353" s="1"/>
      <x:c r="E353" s="1"/>
      <x:c r="F353" s="1"/>
      <x:c r="G353" s="1"/>
      <x:c r="H353" s="1"/>
      <x:c r="I353" s="1"/>
      <x:c r="J353" s="1"/>
      <x:c r="K353" s="1"/>
      <x:c r="L353" s="1"/>
      <x:c r="M353" s="1"/>
      <x:c r="N353" s="1"/>
      <x:c r="O353" s="1"/>
      <x:c r="P353" s="1"/>
      <x:c r="Q353" s="1"/>
      <x:c r="R353" s="1"/>
      <x:c r="S353" s="1"/>
      <x:c r="T353" s="1"/>
      <x:c r="U353" s="1"/>
      <x:c r="V353" s="1"/>
      <x:c r="W353" s="1"/>
      <x:c r="X353" s="1"/>
      <x:c r="Y353" s="1"/>
      <x:c r="Z353" s="1"/>
      <x:c r="AA353" s="1"/>
      <x:c r="AB353" s="1"/>
      <x:c r="AC353" s="1"/>
      <x:c r="AD353" s="1"/>
      <x:c r="AE353" s="1"/>
      <x:c r="AF353" s="1"/>
      <x:c r="AG353" s="1"/>
      <x:c r="AH353" s="1"/>
      <x:c r="AI353" s="1" t="s">
        <x:v>532</x:v>
      </x:c>
      <x:c r="AJ353" s="1" t="s">
        <x:v>79</x:v>
      </x:c>
      <x:c r="AK353" s="1">
        <x:v>5.9279999999999999</x:v>
      </x:c>
      <x:c r="AL353" s="1">
        <x:v>113410</x:v>
      </x:c>
      <x:c r="AM353" s="1"/>
      <x:c r="AN353" s="1"/>
      <x:c r="AO353" s="1"/>
      <x:c r="AP353" s="1"/>
      <x:c r="AQ353" s="1"/>
      <x:c r="AR353" s="1"/>
    </x:row>
    <x:row r="354">
      <x:c r="A354" s="1"/>
      <x:c r="B354" s="1"/>
      <x:c r="C354" s="1"/>
      <x:c r="D354" s="1"/>
      <x:c r="E354" s="1"/>
      <x:c r="F354" s="1"/>
      <x:c r="G354" s="1"/>
      <x:c r="H354" s="1"/>
      <x:c r="I354" s="1"/>
      <x:c r="J354" s="1"/>
      <x:c r="K354" s="1"/>
      <x:c r="L354" s="1"/>
      <x:c r="M354" s="1"/>
      <x:c r="N354" s="1"/>
      <x:c r="O354" s="1"/>
      <x:c r="P354" s="1"/>
      <x:c r="Q354" s="1"/>
      <x:c r="R354" s="1"/>
      <x:c r="S354" s="1"/>
      <x:c r="T354" s="1"/>
      <x:c r="U354" s="1"/>
      <x:c r="V354" s="1"/>
      <x:c r="W354" s="1"/>
      <x:c r="X354" s="1"/>
      <x:c r="Y354" s="1"/>
      <x:c r="Z354" s="1"/>
      <x:c r="AA354" s="1"/>
      <x:c r="AB354" s="1"/>
      <x:c r="AC354" s="1"/>
      <x:c r="AD354" s="1"/>
      <x:c r="AE354" s="1"/>
      <x:c r="AF354" s="1"/>
      <x:c r="AG354" s="1"/>
      <x:c r="AH354" s="1"/>
      <x:c r="AI354" s="1" t="s">
        <x:v>533</x:v>
      </x:c>
      <x:c r="AJ354" s="1" t="s">
        <x:v>67</x:v>
      </x:c>
      <x:c r="AK354" s="1">
        <x:v>5.7409999999999997</x:v>
      </x:c>
      <x:c r="AL354" s="1">
        <x:v>5490</x:v>
      </x:c>
      <x:c r="AM354" s="1"/>
      <x:c r="AN354" s="1"/>
      <x:c r="AO354" s="1"/>
      <x:c r="AP354" s="1"/>
      <x:c r="AQ354" s="1"/>
      <x:c r="AR354" s="1"/>
    </x:row>
    <x:row r="355">
      <x:c r="A355" s="1"/>
      <x:c r="B355" s="1"/>
      <x:c r="C355" s="1"/>
      <x:c r="D355" s="1"/>
      <x:c r="E355" s="1"/>
      <x:c r="F355" s="1"/>
      <x:c r="G355" s="1"/>
      <x:c r="H355" s="1"/>
      <x:c r="I355" s="1"/>
      <x:c r="J355" s="1"/>
      <x:c r="K355" s="1"/>
      <x:c r="L355" s="1"/>
      <x:c r="M355" s="1"/>
      <x:c r="N355" s="1"/>
      <x:c r="O355" s="1"/>
      <x:c r="P355" s="1"/>
      <x:c r="Q355" s="1"/>
      <x:c r="R355" s="1"/>
      <x:c r="S355" s="1"/>
      <x:c r="T355" s="1"/>
      <x:c r="U355" s="1"/>
      <x:c r="V355" s="1"/>
      <x:c r="W355" s="1"/>
      <x:c r="X355" s="1"/>
      <x:c r="Y355" s="1"/>
      <x:c r="Z355" s="1"/>
      <x:c r="AA355" s="1"/>
      <x:c r="AB355" s="1"/>
      <x:c r="AC355" s="1"/>
      <x:c r="AD355" s="1"/>
      <x:c r="AE355" s="1"/>
      <x:c r="AF355" s="1"/>
      <x:c r="AG355" s="1"/>
      <x:c r="AH355" s="1"/>
      <x:c r="AI355" s="1" t="s">
        <x:v>534</x:v>
      </x:c>
      <x:c r="AJ355" s="1" t="s">
        <x:v>75</x:v>
      </x:c>
      <x:c r="AK355" s="1">
        <x:v>5.3360000000000003</x:v>
      </x:c>
      <x:c r="AL355" s="1">
        <x:v>2930</x:v>
      </x:c>
      <x:c r="AM355" s="1"/>
      <x:c r="AN355" s="1"/>
      <x:c r="AO355" s="1"/>
      <x:c r="AP355" s="1"/>
      <x:c r="AQ355" s="1"/>
      <x:c r="AR355" s="1"/>
    </x:row>
    <x:row r="356">
      <x:c r="A356" s="1"/>
      <x:c r="B356" s="1"/>
      <x:c r="C356" s="1"/>
      <x:c r="D356" s="1"/>
      <x:c r="E356" s="1"/>
      <x:c r="F356" s="1"/>
      <x:c r="G356" s="1"/>
      <x:c r="H356" s="1"/>
      <x:c r="I356" s="1"/>
      <x:c r="J356" s="1"/>
      <x:c r="K356" s="1"/>
      <x:c r="L356" s="1"/>
      <x:c r="M356" s="1"/>
      <x:c r="N356" s="1"/>
      <x:c r="O356" s="1"/>
      <x:c r="P356" s="1"/>
      <x:c r="Q356" s="1"/>
      <x:c r="R356" s="1"/>
      <x:c r="S356" s="1"/>
      <x:c r="T356" s="1"/>
      <x:c r="U356" s="1"/>
      <x:c r="V356" s="1"/>
      <x:c r="W356" s="1"/>
      <x:c r="X356" s="1"/>
      <x:c r="Y356" s="1"/>
      <x:c r="Z356" s="1"/>
      <x:c r="AA356" s="1"/>
      <x:c r="AB356" s="1"/>
      <x:c r="AC356" s="1"/>
      <x:c r="AD356" s="1"/>
      <x:c r="AE356" s="1"/>
      <x:c r="AF356" s="1"/>
      <x:c r="AG356" s="1"/>
      <x:c r="AH356" s="1"/>
      <x:c r="AI356" s="1" t="s">
        <x:v>535</x:v>
      </x:c>
      <x:c r="AJ356" s="1" t="s">
        <x:v>83</x:v>
      </x:c>
      <x:c r="AK356" s="1">
        <x:v>5.2610000000000001</x:v>
      </x:c>
      <x:c r="AL356" s="1">
        <x:v>88150</x:v>
      </x:c>
      <x:c r="AM356" s="1"/>
      <x:c r="AN356" s="1"/>
      <x:c r="AO356" s="1"/>
      <x:c r="AP356" s="1"/>
      <x:c r="AQ356" s="1"/>
      <x:c r="AR356" s="1"/>
    </x:row>
    <x:row r="357">
      <x:c r="A357" s="1"/>
      <x:c r="B357" s="1"/>
      <x:c r="C357" s="1"/>
      <x:c r="D357" s="1"/>
      <x:c r="E357" s="1"/>
      <x:c r="F357" s="1"/>
      <x:c r="G357" s="1"/>
      <x:c r="H357" s="1"/>
      <x:c r="I357" s="1"/>
      <x:c r="J357" s="1"/>
      <x:c r="K357" s="1"/>
      <x:c r="L357" s="1"/>
      <x:c r="M357" s="1"/>
      <x:c r="N357" s="1"/>
      <x:c r="O357" s="1"/>
      <x:c r="P357" s="1"/>
      <x:c r="Q357" s="1"/>
      <x:c r="R357" s="1"/>
      <x:c r="S357" s="1"/>
      <x:c r="T357" s="1"/>
      <x:c r="U357" s="1"/>
      <x:c r="V357" s="1"/>
      <x:c r="W357" s="1"/>
      <x:c r="X357" s="1"/>
      <x:c r="Y357" s="1"/>
      <x:c r="Z357" s="1"/>
      <x:c r="AA357" s="1"/>
      <x:c r="AB357" s="1"/>
      <x:c r="AC357" s="1"/>
      <x:c r="AD357" s="1"/>
      <x:c r="AE357" s="1"/>
      <x:c r="AF357" s="1"/>
      <x:c r="AG357" s="1"/>
      <x:c r="AH357" s="1"/>
      <x:c r="AI357" s="1" t="s">
        <x:v>364</x:v>
      </x:c>
      <x:c r="AJ357" s="1" t="s">
        <x:v>10</x:v>
      </x:c>
      <x:c r="AK357" s="1">
        <x:v>11.839</x:v>
      </x:c>
      <x:c r="AL357" s="1">
        <x:v>25320</x:v>
      </x:c>
      <x:c r="AM357" s="1"/>
      <x:c r="AN357" s="1"/>
      <x:c r="AO357" s="1"/>
      <x:c r="AP357" s="1"/>
      <x:c r="AQ357" s="1"/>
      <x:c r="AR357" s="1"/>
    </x:row>
    <x:row r="358">
      <x:c r="A358" s="1"/>
      <x:c r="B358" s="1"/>
      <x:c r="C358" s="1"/>
      <x:c r="D358" s="1"/>
      <x:c r="E358" s="1"/>
      <x:c r="F358" s="1"/>
      <x:c r="G358" s="1"/>
      <x:c r="H358" s="1"/>
      <x:c r="I358" s="1"/>
      <x:c r="J358" s="1"/>
      <x:c r="K358" s="1"/>
      <x:c r="L358" s="1"/>
      <x:c r="M358" s="1"/>
      <x:c r="N358" s="1"/>
      <x:c r="O358" s="1"/>
      <x:c r="P358" s="1"/>
      <x:c r="Q358" s="1"/>
      <x:c r="R358" s="1"/>
      <x:c r="S358" s="1"/>
      <x:c r="T358" s="1"/>
      <x:c r="U358" s="1"/>
      <x:c r="V358" s="1"/>
      <x:c r="W358" s="1"/>
      <x:c r="X358" s="1"/>
      <x:c r="Y358" s="1"/>
      <x:c r="Z358" s="1"/>
      <x:c r="AA358" s="1"/>
      <x:c r="AB358" s="1"/>
      <x:c r="AC358" s="1"/>
      <x:c r="AD358" s="1"/>
      <x:c r="AE358" s="1"/>
      <x:c r="AF358" s="1"/>
      <x:c r="AG358" s="1"/>
      <x:c r="AH358" s="1"/>
      <x:c r="AI358" s="1" t="s">
        <x:v>365</x:v>
      </x:c>
      <x:c r="AJ358" s="1" t="s">
        <x:v>14</x:v>
      </x:c>
      <x:c r="AK358" s="1">
        <x:v>10.852</x:v>
      </x:c>
      <x:c r="AL358" s="1">
        <x:v>21840</x:v>
      </x:c>
      <x:c r="AM358" s="1"/>
      <x:c r="AN358" s="1"/>
      <x:c r="AO358" s="1"/>
      <x:c r="AP358" s="1"/>
      <x:c r="AQ358" s="1"/>
      <x:c r="AR358" s="1"/>
    </x:row>
    <x:row r="359">
      <x:c r="A359" s="1"/>
      <x:c r="B359" s="1"/>
      <x:c r="C359" s="1"/>
      <x:c r="D359" s="1"/>
      <x:c r="E359" s="1"/>
      <x:c r="F359" s="1"/>
      <x:c r="G359" s="1"/>
      <x:c r="H359" s="1"/>
      <x:c r="I359" s="1"/>
      <x:c r="J359" s="1"/>
      <x:c r="K359" s="1"/>
      <x:c r="L359" s="1"/>
      <x:c r="M359" s="1"/>
      <x:c r="N359" s="1"/>
      <x:c r="O359" s="1"/>
      <x:c r="P359" s="1"/>
      <x:c r="Q359" s="1"/>
      <x:c r="R359" s="1"/>
      <x:c r="S359" s="1"/>
      <x:c r="T359" s="1"/>
      <x:c r="U359" s="1"/>
      <x:c r="V359" s="1"/>
      <x:c r="W359" s="1"/>
      <x:c r="X359" s="1"/>
      <x:c r="Y359" s="1"/>
      <x:c r="Z359" s="1"/>
      <x:c r="AA359" s="1"/>
      <x:c r="AB359" s="1"/>
      <x:c r="AC359" s="1"/>
      <x:c r="AD359" s="1"/>
      <x:c r="AE359" s="1"/>
      <x:c r="AF359" s="1"/>
      <x:c r="AG359" s="1"/>
      <x:c r="AH359" s="1"/>
      <x:c r="AI359" s="1" t="s">
        <x:v>366</x:v>
      </x:c>
      <x:c r="AJ359" s="1" t="s">
        <x:v>20</x:v>
      </x:c>
      <x:c r="AK359" s="1">
        <x:v>9.1929999999999996</x:v>
      </x:c>
      <x:c r="AL359" s="1">
        <x:v>44680</x:v>
      </x:c>
      <x:c r="AM359" s="1"/>
      <x:c r="AN359" s="1"/>
      <x:c r="AO359" s="1"/>
      <x:c r="AP359" s="1"/>
      <x:c r="AQ359" s="1"/>
      <x:c r="AR359" s="1"/>
    </x:row>
    <x:row r="360">
      <x:c r="A360" s="1"/>
      <x:c r="B360" s="1"/>
      <x:c r="C360" s="1"/>
      <x:c r="D360" s="1"/>
      <x:c r="E360" s="1"/>
      <x:c r="F360" s="1"/>
      <x:c r="G360" s="1"/>
      <x:c r="H360" s="1"/>
      <x:c r="I360" s="1"/>
      <x:c r="J360" s="1"/>
      <x:c r="K360" s="1"/>
      <x:c r="L360" s="1"/>
      <x:c r="M360" s="1"/>
      <x:c r="N360" s="1"/>
      <x:c r="O360" s="1"/>
      <x:c r="P360" s="1"/>
      <x:c r="Q360" s="1"/>
      <x:c r="R360" s="1"/>
      <x:c r="S360" s="1"/>
      <x:c r="T360" s="1"/>
      <x:c r="U360" s="1"/>
      <x:c r="V360" s="1"/>
      <x:c r="W360" s="1"/>
      <x:c r="X360" s="1"/>
      <x:c r="Y360" s="1"/>
      <x:c r="Z360" s="1"/>
      <x:c r="AA360" s="1"/>
      <x:c r="AB360" s="1"/>
      <x:c r="AC360" s="1"/>
      <x:c r="AD360" s="1"/>
      <x:c r="AE360" s="1"/>
      <x:c r="AF360" s="1"/>
      <x:c r="AG360" s="1"/>
      <x:c r="AH360" s="1"/>
      <x:c r="AI360" s="1" t="s">
        <x:v>367</x:v>
      </x:c>
      <x:c r="AJ360" s="1" t="s">
        <x:v>31</x:v>
      </x:c>
      <x:c r="AK360" s="1">
        <x:v>6.4059999999999997</x:v>
      </x:c>
      <x:c r="AL360" s="1">
        <x:v>197000</x:v>
      </x:c>
      <x:c r="AM360" s="1"/>
      <x:c r="AN360" s="1"/>
      <x:c r="AO360" s="1"/>
      <x:c r="AP360" s="1"/>
      <x:c r="AQ360" s="1"/>
      <x:c r="AR360" s="1"/>
    </x:row>
    <x:row r="361">
      <x:c r="A361" s="1"/>
      <x:c r="B361" s="1"/>
      <x:c r="C361" s="1"/>
      <x:c r="D361" s="1"/>
      <x:c r="E361" s="1"/>
      <x:c r="F361" s="1"/>
      <x:c r="G361" s="1"/>
      <x:c r="H361" s="1"/>
      <x:c r="I361" s="1"/>
      <x:c r="J361" s="1"/>
      <x:c r="K361" s="1"/>
      <x:c r="L361" s="1"/>
      <x:c r="M361" s="1"/>
      <x:c r="N361" s="1"/>
      <x:c r="O361" s="1"/>
      <x:c r="P361" s="1"/>
      <x:c r="Q361" s="1"/>
      <x:c r="R361" s="1"/>
      <x:c r="S361" s="1"/>
      <x:c r="T361" s="1"/>
      <x:c r="U361" s="1"/>
      <x:c r="V361" s="1"/>
      <x:c r="W361" s="1"/>
      <x:c r="X361" s="1"/>
      <x:c r="Y361" s="1"/>
      <x:c r="Z361" s="1"/>
      <x:c r="AA361" s="1"/>
      <x:c r="AB361" s="1"/>
      <x:c r="AC361" s="1"/>
      <x:c r="AD361" s="1"/>
      <x:c r="AE361" s="1"/>
      <x:c r="AF361" s="1"/>
      <x:c r="AG361" s="1"/>
      <x:c r="AH361" s="1"/>
      <x:c r="AI361" s="1" t="s">
        <x:v>368</x:v>
      </x:c>
      <x:c r="AJ361" s="1" t="s">
        <x:v>27</x:v>
      </x:c>
      <x:c r="AK361" s="1">
        <x:v>6.3540000000000001</x:v>
      </x:c>
      <x:c r="AL361" s="1">
        <x:v>174370</x:v>
      </x:c>
      <x:c r="AM361" s="1"/>
      <x:c r="AN361" s="1"/>
      <x:c r="AO361" s="1"/>
      <x:c r="AP361" s="1"/>
      <x:c r="AQ361" s="1"/>
      <x:c r="AR361" s="1"/>
    </x:row>
    <x:row r="362">
      <x:c r="A362" s="1"/>
      <x:c r="B362" s="1"/>
      <x:c r="C362" s="1"/>
      <x:c r="D362" s="1"/>
      <x:c r="E362" s="1"/>
      <x:c r="F362" s="1"/>
      <x:c r="G362" s="1"/>
      <x:c r="H362" s="1"/>
      <x:c r="I362" s="1"/>
      <x:c r="J362" s="1"/>
      <x:c r="K362" s="1"/>
      <x:c r="L362" s="1"/>
      <x:c r="M362" s="1"/>
      <x:c r="N362" s="1"/>
      <x:c r="O362" s="1"/>
      <x:c r="P362" s="1"/>
      <x:c r="Q362" s="1"/>
      <x:c r="R362" s="1"/>
      <x:c r="S362" s="1"/>
      <x:c r="T362" s="1"/>
      <x:c r="U362" s="1"/>
      <x:c r="V362" s="1"/>
      <x:c r="W362" s="1"/>
      <x:c r="X362" s="1"/>
      <x:c r="Y362" s="1"/>
      <x:c r="Z362" s="1"/>
      <x:c r="AA362" s="1"/>
      <x:c r="AB362" s="1"/>
      <x:c r="AC362" s="1"/>
      <x:c r="AD362" s="1"/>
      <x:c r="AE362" s="1"/>
      <x:c r="AF362" s="1"/>
      <x:c r="AG362" s="1"/>
      <x:c r="AH362" s="1"/>
      <x:c r="AI362" s="1" t="s">
        <x:v>369</x:v>
      </x:c>
      <x:c r="AJ362" s="1" t="s">
        <x:v>67</x:v>
      </x:c>
      <x:c r="AK362" s="1">
        <x:v>6.3019999999999996</x:v>
      </x:c>
      <x:c r="AL362" s="1">
        <x:v>6810</x:v>
      </x:c>
      <x:c r="AM362" s="1"/>
      <x:c r="AN362" s="1"/>
      <x:c r="AO362" s="1"/>
      <x:c r="AP362" s="1"/>
      <x:c r="AQ362" s="1"/>
      <x:c r="AR362" s="1"/>
    </x:row>
    <x:row r="363">
      <x:c r="A363" s="1"/>
      <x:c r="B363" s="1"/>
      <x:c r="C363" s="1"/>
      <x:c r="D363" s="1"/>
      <x:c r="E363" s="1"/>
      <x:c r="F363" s="1"/>
      <x:c r="G363" s="1"/>
      <x:c r="H363" s="1"/>
      <x:c r="I363" s="1"/>
      <x:c r="J363" s="1"/>
      <x:c r="K363" s="1"/>
      <x:c r="L363" s="1"/>
      <x:c r="M363" s="1"/>
      <x:c r="N363" s="1"/>
      <x:c r="O363" s="1"/>
      <x:c r="P363" s="1"/>
      <x:c r="Q363" s="1"/>
      <x:c r="R363" s="1"/>
      <x:c r="S363" s="1"/>
      <x:c r="T363" s="1"/>
      <x:c r="U363" s="1"/>
      <x:c r="V363" s="1"/>
      <x:c r="W363" s="1"/>
      <x:c r="X363" s="1"/>
      <x:c r="Y363" s="1"/>
      <x:c r="Z363" s="1"/>
      <x:c r="AA363" s="1"/>
      <x:c r="AB363" s="1"/>
      <x:c r="AC363" s="1"/>
      <x:c r="AD363" s="1"/>
      <x:c r="AE363" s="1"/>
      <x:c r="AF363" s="1"/>
      <x:c r="AG363" s="1"/>
      <x:c r="AH363" s="1"/>
      <x:c r="AI363" s="1" t="s">
        <x:v>370</x:v>
      </x:c>
      <x:c r="AJ363" s="1" t="s">
        <x:v>35</x:v>
      </x:c>
      <x:c r="AK363" s="1">
        <x:v>5.9909999999999997</x:v>
      </x:c>
      <x:c r="AL363" s="1">
        <x:v>85640</x:v>
      </x:c>
      <x:c r="AM363" s="1"/>
      <x:c r="AN363" s="1"/>
      <x:c r="AO363" s="1"/>
      <x:c r="AP363" s="1"/>
      <x:c r="AQ363" s="1"/>
      <x:c r="AR363" s="1"/>
    </x:row>
    <x:row r="364">
      <x:c r="A364" s="1"/>
      <x:c r="B364" s="1"/>
      <x:c r="C364" s="1"/>
      <x:c r="D364" s="1"/>
      <x:c r="E364" s="1"/>
      <x:c r="F364" s="1"/>
      <x:c r="G364" s="1"/>
      <x:c r="H364" s="1"/>
      <x:c r="I364" s="1"/>
      <x:c r="J364" s="1"/>
      <x:c r="K364" s="1"/>
      <x:c r="L364" s="1"/>
      <x:c r="M364" s="1"/>
      <x:c r="N364" s="1"/>
      <x:c r="O364" s="1"/>
      <x:c r="P364" s="1"/>
      <x:c r="Q364" s="1"/>
      <x:c r="R364" s="1"/>
      <x:c r="S364" s="1"/>
      <x:c r="T364" s="1"/>
      <x:c r="U364" s="1"/>
      <x:c r="V364" s="1"/>
      <x:c r="W364" s="1"/>
      <x:c r="X364" s="1"/>
      <x:c r="Y364" s="1"/>
      <x:c r="Z364" s="1"/>
      <x:c r="AA364" s="1"/>
      <x:c r="AB364" s="1"/>
      <x:c r="AC364" s="1"/>
      <x:c r="AD364" s="1"/>
      <x:c r="AE364" s="1"/>
      <x:c r="AF364" s="1"/>
      <x:c r="AG364" s="1"/>
      <x:c r="AH364" s="1"/>
      <x:c r="AI364" s="1" t="s">
        <x:v>371</x:v>
      </x:c>
      <x:c r="AJ364" s="1" t="s">
        <x:v>39</x:v>
      </x:c>
      <x:c r="AK364" s="1">
        <x:v>5.851</x:v>
      </x:c>
      <x:c r="AL364" s="1">
        <x:v>78070</x:v>
      </x:c>
      <x:c r="AM364" s="1"/>
      <x:c r="AN364" s="1"/>
      <x:c r="AO364" s="1"/>
      <x:c r="AP364" s="1"/>
      <x:c r="AQ364" s="1"/>
      <x:c r="AR364" s="1"/>
    </x:row>
    <x:row r="365">
      <x:c r="A365" s="1"/>
      <x:c r="B365" s="1"/>
      <x:c r="C365" s="1"/>
      <x:c r="D365" s="1"/>
      <x:c r="E365" s="1"/>
      <x:c r="F365" s="1"/>
      <x:c r="G365" s="1"/>
      <x:c r="H365" s="1"/>
      <x:c r="I365" s="1"/>
      <x:c r="J365" s="1"/>
      <x:c r="K365" s="1"/>
      <x:c r="L365" s="1"/>
      <x:c r="M365" s="1"/>
      <x:c r="N365" s="1"/>
      <x:c r="O365" s="1"/>
      <x:c r="P365" s="1"/>
      <x:c r="Q365" s="1"/>
      <x:c r="R365" s="1"/>
      <x:c r="S365" s="1"/>
      <x:c r="T365" s="1"/>
      <x:c r="U365" s="1"/>
      <x:c r="V365" s="1"/>
      <x:c r="W365" s="1"/>
      <x:c r="X365" s="1"/>
      <x:c r="Y365" s="1"/>
      <x:c r="Z365" s="1"/>
      <x:c r="AA365" s="1"/>
      <x:c r="AB365" s="1"/>
      <x:c r="AC365" s="1"/>
      <x:c r="AD365" s="1"/>
      <x:c r="AE365" s="1"/>
      <x:c r="AF365" s="1"/>
      <x:c r="AG365" s="1"/>
      <x:c r="AH365" s="1"/>
      <x:c r="AI365" s="1" t="s">
        <x:v>372</x:v>
      </x:c>
      <x:c r="AJ365" s="1" t="s">
        <x:v>75</x:v>
      </x:c>
      <x:c r="AK365" s="1">
        <x:v>5.4550000000000001</x:v>
      </x:c>
      <x:c r="AL365" s="1">
        <x:v>3510</x:v>
      </x:c>
      <x:c r="AM365" s="1"/>
      <x:c r="AN365" s="1"/>
      <x:c r="AO365" s="1"/>
      <x:c r="AP365" s="1"/>
      <x:c r="AQ365" s="1"/>
      <x:c r="AR365" s="1"/>
    </x:row>
    <x:row r="366">
      <x:c r="A366" s="1"/>
      <x:c r="B366" s="1"/>
      <x:c r="C366" s="1"/>
      <x:c r="D366" s="1"/>
      <x:c r="E366" s="1"/>
      <x:c r="F366" s="1"/>
      <x:c r="G366" s="1"/>
      <x:c r="H366" s="1"/>
      <x:c r="I366" s="1"/>
      <x:c r="J366" s="1"/>
      <x:c r="K366" s="1"/>
      <x:c r="L366" s="1"/>
      <x:c r="M366" s="1"/>
      <x:c r="N366" s="1"/>
      <x:c r="O366" s="1"/>
      <x:c r="P366" s="1"/>
      <x:c r="Q366" s="1"/>
      <x:c r="R366" s="1"/>
      <x:c r="S366" s="1"/>
      <x:c r="T366" s="1"/>
      <x:c r="U366" s="1"/>
      <x:c r="V366" s="1"/>
      <x:c r="W366" s="1"/>
      <x:c r="X366" s="1"/>
      <x:c r="Y366" s="1"/>
      <x:c r="Z366" s="1"/>
      <x:c r="AA366" s="1"/>
      <x:c r="AB366" s="1"/>
      <x:c r="AC366" s="1"/>
      <x:c r="AD366" s="1"/>
      <x:c r="AE366" s="1"/>
      <x:c r="AF366" s="1"/>
      <x:c r="AG366" s="1"/>
      <x:c r="AH366" s="1"/>
      <x:c r="AI366" s="1" t="s">
        <x:v>374</x:v>
      </x:c>
      <x:c r="AJ366" s="1" t="s">
        <x:v>43</x:v>
      </x:c>
      <x:c r="AK366" s="1">
        <x:v>5.444</x:v>
      </x:c>
      <x:c r="AL366" s="1">
        <x:v>8900</x:v>
      </x:c>
      <x:c r="AM366" s="1"/>
      <x:c r="AN366" s="1"/>
      <x:c r="AO366" s="1"/>
      <x:c r="AP366" s="1"/>
      <x:c r="AQ366" s="1"/>
      <x:c r="AR366" s="1"/>
    </x:row>
    <x:row r="367">
      <x:c r="A367" s="1"/>
      <x:c r="B367" s="1"/>
      <x:c r="C367" s="1"/>
      <x:c r="D367" s="1"/>
      <x:c r="E367" s="1"/>
      <x:c r="F367" s="1"/>
      <x:c r="G367" s="1"/>
      <x:c r="H367" s="1"/>
      <x:c r="I367" s="1"/>
      <x:c r="J367" s="1"/>
      <x:c r="K367" s="1"/>
      <x:c r="L367" s="1"/>
      <x:c r="M367" s="1"/>
      <x:c r="N367" s="1"/>
      <x:c r="O367" s="1"/>
      <x:c r="P367" s="1"/>
      <x:c r="Q367" s="1"/>
      <x:c r="R367" s="1"/>
      <x:c r="S367" s="1"/>
      <x:c r="T367" s="1"/>
      <x:c r="U367" s="1"/>
      <x:c r="V367" s="1"/>
      <x:c r="W367" s="1"/>
      <x:c r="X367" s="1"/>
      <x:c r="Y367" s="1"/>
      <x:c r="Z367" s="1"/>
      <x:c r="AA367" s="1"/>
      <x:c r="AB367" s="1"/>
      <x:c r="AC367" s="1"/>
      <x:c r="AD367" s="1"/>
      <x:c r="AE367" s="1"/>
      <x:c r="AF367" s="1"/>
      <x:c r="AG367" s="1"/>
      <x:c r="AH367" s="1"/>
      <x:c r="AI367" s="1" t="s">
        <x:v>536</x:v>
      </x:c>
      <x:c r="AJ367" s="1" t="s">
        <x:v>55</x:v>
      </x:c>
      <x:c r="AK367" s="1">
        <x:v>5.3719999999999999</x:v>
      </x:c>
      <x:c r="AL367" s="1">
        <x:v>92760</x:v>
      </x:c>
      <x:c r="AM367" s="1"/>
      <x:c r="AN367" s="1"/>
      <x:c r="AO367" s="1"/>
      <x:c r="AP367" s="1"/>
      <x:c r="AQ367" s="1"/>
      <x:c r="AR367" s="1"/>
    </x:row>
    <x:row r="368">
      <x:c r="A368" s="1"/>
      <x:c r="B368" s="1"/>
      <x:c r="C368" s="1"/>
      <x:c r="D368" s="1"/>
      <x:c r="E368" s="1"/>
      <x:c r="F368" s="1"/>
      <x:c r="G368" s="1"/>
      <x:c r="H368" s="1"/>
      <x:c r="I368" s="1"/>
      <x:c r="J368" s="1"/>
      <x:c r="K368" s="1"/>
      <x:c r="L368" s="1"/>
      <x:c r="M368" s="1"/>
      <x:c r="N368" s="1"/>
      <x:c r="O368" s="1"/>
      <x:c r="P368" s="1"/>
      <x:c r="Q368" s="1"/>
      <x:c r="R368" s="1"/>
      <x:c r="S368" s="1"/>
      <x:c r="T368" s="1"/>
      <x:c r="U368" s="1"/>
      <x:c r="V368" s="1"/>
      <x:c r="W368" s="1"/>
      <x:c r="X368" s="1"/>
      <x:c r="Y368" s="1"/>
      <x:c r="Z368" s="1"/>
      <x:c r="AA368" s="1"/>
      <x:c r="AB368" s="1"/>
      <x:c r="AC368" s="1"/>
      <x:c r="AD368" s="1"/>
      <x:c r="AE368" s="1"/>
      <x:c r="AF368" s="1"/>
      <x:c r="AG368" s="1"/>
      <x:c r="AH368" s="1"/>
      <x:c r="AI368" s="1" t="s">
        <x:v>537</x:v>
      </x:c>
      <x:c r="AJ368" s="1" t="s">
        <x:v>47</x:v>
      </x:c>
      <x:c r="AK368" s="1">
        <x:v>5.1749999999999998</x:v>
      </x:c>
      <x:c r="AL368" s="1">
        <x:v>145090</x:v>
      </x:c>
      <x:c r="AM368" s="1"/>
      <x:c r="AN368" s="1"/>
      <x:c r="AO368" s="1"/>
      <x:c r="AP368" s="1"/>
      <x:c r="AQ368" s="1"/>
      <x:c r="AR368" s="1"/>
    </x:row>
    <x:row r="369">
      <x:c r="A369" s="1"/>
      <x:c r="B369" s="1"/>
      <x:c r="C369" s="1"/>
      <x:c r="D369" s="1"/>
      <x:c r="E369" s="1"/>
      <x:c r="F369" s="1"/>
      <x:c r="G369" s="1"/>
      <x:c r="H369" s="1"/>
      <x:c r="I369" s="1"/>
      <x:c r="J369" s="1"/>
      <x:c r="K369" s="1"/>
      <x:c r="L369" s="1"/>
      <x:c r="M369" s="1"/>
      <x:c r="N369" s="1"/>
      <x:c r="O369" s="1"/>
      <x:c r="P369" s="1"/>
      <x:c r="Q369" s="1"/>
      <x:c r="R369" s="1"/>
      <x:c r="S369" s="1"/>
      <x:c r="T369" s="1"/>
      <x:c r="U369" s="1"/>
      <x:c r="V369" s="1"/>
      <x:c r="W369" s="1"/>
      <x:c r="X369" s="1"/>
      <x:c r="Y369" s="1"/>
      <x:c r="Z369" s="1"/>
      <x:c r="AA369" s="1"/>
      <x:c r="AB369" s="1"/>
      <x:c r="AC369" s="1"/>
      <x:c r="AD369" s="1"/>
      <x:c r="AE369" s="1"/>
      <x:c r="AF369" s="1"/>
      <x:c r="AG369" s="1"/>
      <x:c r="AH369" s="1"/>
      <x:c r="AI369" s="1" t="s">
        <x:v>538</x:v>
      </x:c>
      <x:c r="AJ369" s="1" t="s">
        <x:v>51</x:v>
      </x:c>
      <x:c r="AK369" s="1">
        <x:v>5.1180000000000003</x:v>
      </x:c>
      <x:c r="AL369" s="1">
        <x:v>162930</x:v>
      </x:c>
      <x:c r="AM369" s="1"/>
      <x:c r="AN369" s="1"/>
      <x:c r="AO369" s="1"/>
      <x:c r="AP369" s="1"/>
      <x:c r="AQ369" s="1"/>
      <x:c r="AR369" s="1"/>
    </x:row>
    <x:row r="370">
      <x:c r="A370" s="1"/>
      <x:c r="B370" s="1"/>
      <x:c r="C370" s="1"/>
      <x:c r="D370" s="1"/>
      <x:c r="E370" s="1"/>
      <x:c r="F370" s="1"/>
      <x:c r="G370" s="1"/>
      <x:c r="H370" s="1"/>
      <x:c r="I370" s="1"/>
      <x:c r="J370" s="1"/>
      <x:c r="K370" s="1"/>
      <x:c r="L370" s="1"/>
      <x:c r="M370" s="1"/>
      <x:c r="N370" s="1"/>
      <x:c r="O370" s="1"/>
      <x:c r="P370" s="1"/>
      <x:c r="Q370" s="1"/>
      <x:c r="R370" s="1"/>
      <x:c r="S370" s="1"/>
      <x:c r="T370" s="1"/>
      <x:c r="U370" s="1"/>
      <x:c r="V370" s="1"/>
      <x:c r="W370" s="1"/>
      <x:c r="X370" s="1"/>
      <x:c r="Y370" s="1"/>
      <x:c r="Z370" s="1"/>
      <x:c r="AA370" s="1"/>
      <x:c r="AB370" s="1"/>
      <x:c r="AC370" s="1"/>
      <x:c r="AD370" s="1"/>
      <x:c r="AE370" s="1"/>
      <x:c r="AF370" s="1"/>
      <x:c r="AG370" s="1"/>
      <x:c r="AH370" s="1"/>
      <x:c r="AI370" s="1" t="s">
        <x:v>539</x:v>
      </x:c>
      <x:c r="AJ370" s="1" t="s">
        <x:v>59</x:v>
      </x:c>
      <x:c r="AK370" s="1">
        <x:v>4.9450000000000003</x:v>
      </x:c>
      <x:c r="AL370" s="1">
        <x:v>156000</x:v>
      </x:c>
      <x:c r="AM370" s="1"/>
      <x:c r="AN370" s="1"/>
      <x:c r="AO370" s="1"/>
      <x:c r="AP370" s="1"/>
      <x:c r="AQ370" s="1"/>
      <x:c r="AR370" s="1"/>
    </x:row>
    <x:row r="371">
      <x:c r="A371" s="1"/>
      <x:c r="B371" s="1"/>
      <x:c r="C371" s="1"/>
      <x:c r="D371" s="1"/>
      <x:c r="E371" s="1"/>
      <x:c r="F371" s="1"/>
      <x:c r="G371" s="1"/>
      <x:c r="H371" s="1"/>
      <x:c r="I371" s="1"/>
      <x:c r="J371" s="1"/>
      <x:c r="K371" s="1"/>
      <x:c r="L371" s="1"/>
      <x:c r="M371" s="1"/>
      <x:c r="N371" s="1"/>
      <x:c r="O371" s="1"/>
      <x:c r="P371" s="1"/>
      <x:c r="Q371" s="1"/>
      <x:c r="R371" s="1"/>
      <x:c r="S371" s="1"/>
      <x:c r="T371" s="1"/>
      <x:c r="U371" s="1"/>
      <x:c r="V371" s="1"/>
      <x:c r="W371" s="1"/>
      <x:c r="X371" s="1"/>
      <x:c r="Y371" s="1"/>
      <x:c r="Z371" s="1"/>
      <x:c r="AA371" s="1"/>
      <x:c r="AB371" s="1"/>
      <x:c r="AC371" s="1"/>
      <x:c r="AD371" s="1"/>
      <x:c r="AE371" s="1"/>
      <x:c r="AF371" s="1"/>
      <x:c r="AG371" s="1"/>
      <x:c r="AH371" s="1"/>
      <x:c r="AI371" s="1" t="s">
        <x:v>540</x:v>
      </x:c>
      <x:c r="AJ371" s="1" t="s">
        <x:v>63</x:v>
      </x:c>
      <x:c r="AK371" s="1">
        <x:v>4.8559999999999999</x:v>
      </x:c>
      <x:c r="AL371" s="1">
        <x:v>203510</x:v>
      </x:c>
      <x:c r="AM371" s="1"/>
      <x:c r="AN371" s="1"/>
      <x:c r="AO371" s="1"/>
      <x:c r="AP371" s="1"/>
      <x:c r="AQ371" s="1"/>
      <x:c r="AR371" s="1"/>
    </x:row>
    <x:row r="372">
      <x:c r="A372" s="1"/>
      <x:c r="B372" s="1"/>
      <x:c r="C372" s="1"/>
      <x:c r="D372" s="1"/>
      <x:c r="E372" s="1"/>
      <x:c r="F372" s="1"/>
      <x:c r="G372" s="1"/>
      <x:c r="H372" s="1"/>
      <x:c r="I372" s="1"/>
      <x:c r="J372" s="1"/>
      <x:c r="K372" s="1"/>
      <x:c r="L372" s="1"/>
      <x:c r="M372" s="1"/>
      <x:c r="N372" s="1"/>
      <x:c r="O372" s="1"/>
      <x:c r="P372" s="1"/>
      <x:c r="Q372" s="1"/>
      <x:c r="R372" s="1"/>
      <x:c r="S372" s="1"/>
      <x:c r="T372" s="1"/>
      <x:c r="U372" s="1"/>
      <x:c r="V372" s="1"/>
      <x:c r="W372" s="1"/>
      <x:c r="X372" s="1"/>
      <x:c r="Y372" s="1"/>
      <x:c r="Z372" s="1"/>
      <x:c r="AA372" s="1"/>
      <x:c r="AB372" s="1"/>
      <x:c r="AC372" s="1"/>
      <x:c r="AD372" s="1"/>
      <x:c r="AE372" s="1"/>
      <x:c r="AF372" s="1"/>
      <x:c r="AG372" s="1"/>
      <x:c r="AH372" s="1"/>
      <x:c r="AI372" s="1" t="s">
        <x:v>541</x:v>
      </x:c>
      <x:c r="AJ372" s="1" t="s">
        <x:v>71</x:v>
      </x:c>
      <x:c r="AK372" s="1">
        <x:v>4.6870000000000003</x:v>
      </x:c>
      <x:c r="AL372" s="1">
        <x:v>302230</x:v>
      </x:c>
      <x:c r="AM372" s="1"/>
      <x:c r="AN372" s="1"/>
      <x:c r="AO372" s="1"/>
      <x:c r="AP372" s="1"/>
      <x:c r="AQ372" s="1"/>
      <x:c r="AR372" s="1"/>
    </x:row>
    <x:row r="373">
      <x:c r="A373" s="1"/>
      <x:c r="B373" s="1"/>
      <x:c r="C373" s="1"/>
      <x:c r="D373" s="1"/>
      <x:c r="E373" s="1"/>
      <x:c r="F373" s="1"/>
      <x:c r="G373" s="1"/>
      <x:c r="H373" s="1"/>
      <x:c r="I373" s="1"/>
      <x:c r="J373" s="1"/>
      <x:c r="K373" s="1"/>
      <x:c r="L373" s="1"/>
      <x:c r="M373" s="1"/>
      <x:c r="N373" s="1"/>
      <x:c r="O373" s="1"/>
      <x:c r="P373" s="1"/>
      <x:c r="Q373" s="1"/>
      <x:c r="R373" s="1"/>
      <x:c r="S373" s="1"/>
      <x:c r="T373" s="1"/>
      <x:c r="U373" s="1"/>
      <x:c r="V373" s="1"/>
      <x:c r="W373" s="1"/>
      <x:c r="X373" s="1"/>
      <x:c r="Y373" s="1"/>
      <x:c r="Z373" s="1"/>
      <x:c r="AA373" s="1"/>
      <x:c r="AB373" s="1"/>
      <x:c r="AC373" s="1"/>
      <x:c r="AD373" s="1"/>
      <x:c r="AE373" s="1"/>
      <x:c r="AF373" s="1"/>
      <x:c r="AG373" s="1"/>
      <x:c r="AH373" s="1"/>
      <x:c r="AI373" s="1" t="s">
        <x:v>542</x:v>
      </x:c>
      <x:c r="AJ373" s="1" t="s">
        <x:v>79</x:v>
      </x:c>
      <x:c r="AK373" s="1">
        <x:v>4.2960000000000003</x:v>
      </x:c>
      <x:c r="AL373" s="1">
        <x:v>86190</x:v>
      </x:c>
      <x:c r="AM373" s="1"/>
      <x:c r="AN373" s="1"/>
      <x:c r="AO373" s="1"/>
      <x:c r="AP373" s="1"/>
      <x:c r="AQ373" s="1"/>
      <x:c r="AR373" s="1"/>
    </x:row>
    <x:row r="374">
      <x:c r="A374" s="1"/>
      <x:c r="B374" s="1"/>
      <x:c r="C374" s="1"/>
      <x:c r="D374" s="1"/>
      <x:c r="E374" s="1"/>
      <x:c r="F374" s="1"/>
      <x:c r="G374" s="1"/>
      <x:c r="H374" s="1"/>
      <x:c r="I374" s="1"/>
      <x:c r="J374" s="1"/>
      <x:c r="K374" s="1"/>
      <x:c r="L374" s="1"/>
      <x:c r="M374" s="1"/>
      <x:c r="N374" s="1"/>
      <x:c r="O374" s="1"/>
      <x:c r="P374" s="1"/>
      <x:c r="Q374" s="1"/>
      <x:c r="R374" s="1"/>
      <x:c r="S374" s="1"/>
      <x:c r="T374" s="1"/>
      <x:c r="U374" s="1"/>
      <x:c r="V374" s="1"/>
      <x:c r="W374" s="1"/>
      <x:c r="X374" s="1"/>
      <x:c r="Y374" s="1"/>
      <x:c r="Z374" s="1"/>
      <x:c r="AA374" s="1"/>
      <x:c r="AB374" s="1"/>
      <x:c r="AC374" s="1"/>
      <x:c r="AD374" s="1"/>
      <x:c r="AE374" s="1"/>
      <x:c r="AF374" s="1"/>
      <x:c r="AG374" s="1"/>
      <x:c r="AH374" s="1"/>
      <x:c r="AI374" s="1" t="s">
        <x:v>543</x:v>
      </x:c>
      <x:c r="AJ374" s="1" t="s">
        <x:v>83</x:v>
      </x:c>
      <x:c r="AK374" s="1">
        <x:v>3.7280000000000002</x:v>
      </x:c>
      <x:c r="AL374" s="1">
        <x:v>66010</x:v>
      </x:c>
      <x:c r="AM374" s="1"/>
      <x:c r="AN374" s="1"/>
      <x:c r="AO374" s="1"/>
      <x:c r="AP374" s="1"/>
      <x:c r="AQ374" s="1"/>
      <x:c r="AR374" s="1"/>
    </x:row>
    <x:row r="375">
      <x:c r="A375" s="1"/>
      <x:c r="B375" s="1"/>
      <x:c r="C375" s="1"/>
      <x:c r="D375" s="1"/>
      <x:c r="E375" s="1"/>
      <x:c r="F375" s="1"/>
      <x:c r="G375" s="1"/>
      <x:c r="H375" s="1"/>
      <x:c r="I375" s="1"/>
      <x:c r="J375" s="1"/>
      <x:c r="K375" s="1"/>
      <x:c r="L375" s="1"/>
      <x:c r="M375" s="1"/>
      <x:c r="N375" s="1"/>
      <x:c r="O375" s="1"/>
      <x:c r="P375" s="1"/>
      <x:c r="Q375" s="1"/>
      <x:c r="R375" s="1"/>
      <x:c r="S375" s="1"/>
      <x:c r="T375" s="1"/>
      <x:c r="U375" s="1"/>
      <x:c r="V375" s="1"/>
      <x:c r="W375" s="1"/>
      <x:c r="X375" s="1"/>
      <x:c r="Y375" s="1"/>
      <x:c r="Z375" s="1"/>
      <x:c r="AA375" s="1"/>
      <x:c r="AB375" s="1"/>
      <x:c r="AC375" s="1"/>
      <x:c r="AD375" s="1"/>
      <x:c r="AE375" s="1"/>
      <x:c r="AF375" s="1"/>
      <x:c r="AG375" s="1"/>
      <x:c r="AH375" s="1"/>
      <x:c r="AI375" s="1" t="s">
        <x:v>376</x:v>
      </x:c>
      <x:c r="AJ375" s="1" t="s">
        <x:v>10</x:v>
      </x:c>
      <x:c r="AK375" s="1">
        <x:v>11.125</x:v>
      </x:c>
      <x:c r="AL375" s="1">
        <x:v>44560</x:v>
      </x:c>
      <x:c r="AM375" s="1"/>
      <x:c r="AN375" s="1"/>
      <x:c r="AO375" s="1"/>
      <x:c r="AP375" s="1"/>
      <x:c r="AQ375" s="1"/>
      <x:c r="AR375" s="1"/>
    </x:row>
    <x:row r="376">
      <x:c r="A376" s="1"/>
      <x:c r="B376" s="1"/>
      <x:c r="C376" s="1"/>
      <x:c r="D376" s="1"/>
      <x:c r="E376" s="1"/>
      <x:c r="F376" s="1"/>
      <x:c r="G376" s="1"/>
      <x:c r="H376" s="1"/>
      <x:c r="I376" s="1"/>
      <x:c r="J376" s="1"/>
      <x:c r="K376" s="1"/>
      <x:c r="L376" s="1"/>
      <x:c r="M376" s="1"/>
      <x:c r="N376" s="1"/>
      <x:c r="O376" s="1"/>
      <x:c r="P376" s="1"/>
      <x:c r="Q376" s="1"/>
      <x:c r="R376" s="1"/>
      <x:c r="S376" s="1"/>
      <x:c r="T376" s="1"/>
      <x:c r="U376" s="1"/>
      <x:c r="V376" s="1"/>
      <x:c r="W376" s="1"/>
      <x:c r="X376" s="1"/>
      <x:c r="Y376" s="1"/>
      <x:c r="Z376" s="1"/>
      <x:c r="AA376" s="1"/>
      <x:c r="AB376" s="1"/>
      <x:c r="AC376" s="1"/>
      <x:c r="AD376" s="1"/>
      <x:c r="AE376" s="1"/>
      <x:c r="AF376" s="1"/>
      <x:c r="AG376" s="1"/>
      <x:c r="AH376" s="1"/>
      <x:c r="AI376" s="1" t="s">
        <x:v>378</x:v>
      </x:c>
      <x:c r="AJ376" s="1" t="s">
        <x:v>14</x:v>
      </x:c>
      <x:c r="AK376" s="1">
        <x:v>10.395</x:v>
      </x:c>
      <x:c r="AL376" s="1">
        <x:v>38950</x:v>
      </x:c>
      <x:c r="AM376" s="1"/>
      <x:c r="AN376" s="1"/>
      <x:c r="AO376" s="1"/>
      <x:c r="AP376" s="1"/>
      <x:c r="AQ376" s="1"/>
      <x:c r="AR376" s="1"/>
    </x:row>
    <x:row r="377">
      <x:c r="A377" s="1"/>
      <x:c r="B377" s="1"/>
      <x:c r="C377" s="1"/>
      <x:c r="D377" s="1"/>
      <x:c r="E377" s="1"/>
      <x:c r="F377" s="1"/>
      <x:c r="G377" s="1"/>
      <x:c r="H377" s="1"/>
      <x:c r="I377" s="1"/>
      <x:c r="J377" s="1"/>
      <x:c r="K377" s="1"/>
      <x:c r="L377" s="1"/>
      <x:c r="M377" s="1"/>
      <x:c r="N377" s="1"/>
      <x:c r="O377" s="1"/>
      <x:c r="P377" s="1"/>
      <x:c r="Q377" s="1"/>
      <x:c r="R377" s="1"/>
      <x:c r="S377" s="1"/>
      <x:c r="T377" s="1"/>
      <x:c r="U377" s="1"/>
      <x:c r="V377" s="1"/>
      <x:c r="W377" s="1"/>
      <x:c r="X377" s="1"/>
      <x:c r="Y377" s="1"/>
      <x:c r="Z377" s="1"/>
      <x:c r="AA377" s="1"/>
      <x:c r="AB377" s="1"/>
      <x:c r="AC377" s="1"/>
      <x:c r="AD377" s="1"/>
      <x:c r="AE377" s="1"/>
      <x:c r="AF377" s="1"/>
      <x:c r="AG377" s="1"/>
      <x:c r="AH377" s="1"/>
      <x:c r="AI377" s="1" t="s">
        <x:v>380</x:v>
      </x:c>
      <x:c r="AJ377" s="1" t="s">
        <x:v>20</x:v>
      </x:c>
      <x:c r="AK377" s="1">
        <x:v>8.92</x:v>
      </x:c>
      <x:c r="AL377" s="1">
        <x:v>85000</x:v>
      </x:c>
      <x:c r="AM377" s="1"/>
      <x:c r="AN377" s="1"/>
      <x:c r="AO377" s="1"/>
      <x:c r="AP377" s="1"/>
      <x:c r="AQ377" s="1"/>
      <x:c r="AR377" s="1"/>
    </x:row>
    <x:row r="378">
      <x:c r="A378" s="1"/>
      <x:c r="B378" s="1"/>
      <x:c r="C378" s="1"/>
      <x:c r="D378" s="1"/>
      <x:c r="E378" s="1"/>
      <x:c r="F378" s="1"/>
      <x:c r="G378" s="1"/>
      <x:c r="H378" s="1"/>
      <x:c r="I378" s="1"/>
      <x:c r="J378" s="1"/>
      <x:c r="K378" s="1"/>
      <x:c r="L378" s="1"/>
      <x:c r="M378" s="1"/>
      <x:c r="N378" s="1"/>
      <x:c r="O378" s="1"/>
      <x:c r="P378" s="1"/>
      <x:c r="Q378" s="1"/>
      <x:c r="R378" s="1"/>
      <x:c r="S378" s="1"/>
      <x:c r="T378" s="1"/>
      <x:c r="U378" s="1"/>
      <x:c r="V378" s="1"/>
      <x:c r="W378" s="1"/>
      <x:c r="X378" s="1"/>
      <x:c r="Y378" s="1"/>
      <x:c r="Z378" s="1"/>
      <x:c r="AA378" s="1"/>
      <x:c r="AB378" s="1"/>
      <x:c r="AC378" s="1"/>
      <x:c r="AD378" s="1"/>
      <x:c r="AE378" s="1"/>
      <x:c r="AF378" s="1"/>
      <x:c r="AG378" s="1"/>
      <x:c r="AH378" s="1"/>
      <x:c r="AI378" s="1" t="s">
        <x:v>382</x:v>
      </x:c>
      <x:c r="AJ378" s="1" t="s">
        <x:v>27</x:v>
      </x:c>
      <x:c r="AK378" s="1">
        <x:v>7.3129999999999997</x:v>
      </x:c>
      <x:c r="AL378" s="1">
        <x:v>390520</x:v>
      </x:c>
      <x:c r="AM378" s="1"/>
      <x:c r="AN378" s="1"/>
      <x:c r="AO378" s="1"/>
      <x:c r="AP378" s="1"/>
      <x:c r="AQ378" s="1"/>
      <x:c r="AR378" s="1"/>
    </x:row>
    <x:row r="379">
      <x:c r="A379" s="1"/>
      <x:c r="B379" s="1"/>
      <x:c r="C379" s="1"/>
      <x:c r="D379" s="1"/>
      <x:c r="E379" s="1"/>
      <x:c r="F379" s="1"/>
      <x:c r="G379" s="1"/>
      <x:c r="H379" s="1"/>
      <x:c r="I379" s="1"/>
      <x:c r="J379" s="1"/>
      <x:c r="K379" s="1"/>
      <x:c r="L379" s="1"/>
      <x:c r="M379" s="1"/>
      <x:c r="N379" s="1"/>
      <x:c r="O379" s="1"/>
      <x:c r="P379" s="1"/>
      <x:c r="Q379" s="1"/>
      <x:c r="R379" s="1"/>
      <x:c r="S379" s="1"/>
      <x:c r="T379" s="1"/>
      <x:c r="U379" s="1"/>
      <x:c r="V379" s="1"/>
      <x:c r="W379" s="1"/>
      <x:c r="X379" s="1"/>
      <x:c r="Y379" s="1"/>
      <x:c r="Z379" s="1"/>
      <x:c r="AA379" s="1"/>
      <x:c r="AB379" s="1"/>
      <x:c r="AC379" s="1"/>
      <x:c r="AD379" s="1"/>
      <x:c r="AE379" s="1"/>
      <x:c r="AF379" s="1"/>
      <x:c r="AG379" s="1"/>
      <x:c r="AH379" s="1"/>
      <x:c r="AI379" s="1" t="s">
        <x:v>384</x:v>
      </x:c>
      <x:c r="AJ379" s="1" t="s">
        <x:v>31</x:v>
      </x:c>
      <x:c r="AK379" s="1">
        <x:v>7.1970000000000001</x:v>
      </x:c>
      <x:c r="AL379" s="1">
        <x:v>431600</x:v>
      </x:c>
      <x:c r="AM379" s="1"/>
      <x:c r="AN379" s="1"/>
      <x:c r="AO379" s="1"/>
      <x:c r="AP379" s="1"/>
      <x:c r="AQ379" s="1"/>
      <x:c r="AR379" s="1"/>
    </x:row>
    <x:row r="380">
      <x:c r="A380" s="1"/>
      <x:c r="B380" s="1"/>
      <x:c r="C380" s="1"/>
      <x:c r="D380" s="1"/>
      <x:c r="E380" s="1"/>
      <x:c r="F380" s="1"/>
      <x:c r="G380" s="1"/>
      <x:c r="H380" s="1"/>
      <x:c r="I380" s="1"/>
      <x:c r="J380" s="1"/>
      <x:c r="K380" s="1"/>
      <x:c r="L380" s="1"/>
      <x:c r="M380" s="1"/>
      <x:c r="N380" s="1"/>
      <x:c r="O380" s="1"/>
      <x:c r="P380" s="1"/>
      <x:c r="Q380" s="1"/>
      <x:c r="R380" s="1"/>
      <x:c r="S380" s="1"/>
      <x:c r="T380" s="1"/>
      <x:c r="U380" s="1"/>
      <x:c r="V380" s="1"/>
      <x:c r="W380" s="1"/>
      <x:c r="X380" s="1"/>
      <x:c r="Y380" s="1"/>
      <x:c r="Z380" s="1"/>
      <x:c r="AA380" s="1"/>
      <x:c r="AB380" s="1"/>
      <x:c r="AC380" s="1"/>
      <x:c r="AD380" s="1"/>
      <x:c r="AE380" s="1"/>
      <x:c r="AF380" s="1"/>
      <x:c r="AG380" s="1"/>
      <x:c r="AH380" s="1"/>
      <x:c r="AI380" s="1" t="s">
        <x:v>386</x:v>
      </x:c>
      <x:c r="AJ380" s="1" t="s">
        <x:v>35</x:v>
      </x:c>
      <x:c r="AK380" s="1">
        <x:v>6.9989999999999997</x:v>
      </x:c>
      <x:c r="AL380" s="1">
        <x:v>195470</x:v>
      </x:c>
      <x:c r="AM380" s="1"/>
      <x:c r="AN380" s="1"/>
      <x:c r="AO380" s="1"/>
      <x:c r="AP380" s="1"/>
      <x:c r="AQ380" s="1"/>
      <x:c r="AR380" s="1"/>
    </x:row>
    <x:row r="381">
      <x:c r="A381" s="1"/>
      <x:c r="B381" s="1"/>
      <x:c r="C381" s="1"/>
      <x:c r="D381" s="1"/>
      <x:c r="E381" s="1"/>
      <x:c r="F381" s="1"/>
      <x:c r="G381" s="1"/>
      <x:c r="H381" s="1"/>
      <x:c r="I381" s="1"/>
      <x:c r="J381" s="1"/>
      <x:c r="K381" s="1"/>
      <x:c r="L381" s="1"/>
      <x:c r="M381" s="1"/>
      <x:c r="N381" s="1"/>
      <x:c r="O381" s="1"/>
      <x:c r="P381" s="1"/>
      <x:c r="Q381" s="1"/>
      <x:c r="R381" s="1"/>
      <x:c r="S381" s="1"/>
      <x:c r="T381" s="1"/>
      <x:c r="U381" s="1"/>
      <x:c r="V381" s="1"/>
      <x:c r="W381" s="1"/>
      <x:c r="X381" s="1"/>
      <x:c r="Y381" s="1"/>
      <x:c r="Z381" s="1"/>
      <x:c r="AA381" s="1"/>
      <x:c r="AB381" s="1"/>
      <x:c r="AC381" s="1"/>
      <x:c r="AD381" s="1"/>
      <x:c r="AE381" s="1"/>
      <x:c r="AF381" s="1"/>
      <x:c r="AG381" s="1"/>
      <x:c r="AH381" s="1"/>
      <x:c r="AI381" s="1" t="s">
        <x:v>388</x:v>
      </x:c>
      <x:c r="AJ381" s="1" t="s">
        <x:v>39</x:v>
      </x:c>
      <x:c r="AK381" s="1">
        <x:v>6.8570000000000002</x:v>
      </x:c>
      <x:c r="AL381" s="1">
        <x:v>178670</x:v>
      </x:c>
      <x:c r="AM381" s="1"/>
      <x:c r="AN381" s="1"/>
      <x:c r="AO381" s="1"/>
      <x:c r="AP381" s="1"/>
      <x:c r="AQ381" s="1"/>
      <x:c r="AR381" s="1"/>
    </x:row>
    <x:row r="382">
      <x:c r="A382" s="1"/>
      <x:c r="B382" s="1"/>
      <x:c r="C382" s="1"/>
      <x:c r="D382" s="1"/>
      <x:c r="E382" s="1"/>
      <x:c r="F382" s="1"/>
      <x:c r="G382" s="1"/>
      <x:c r="H382" s="1"/>
      <x:c r="I382" s="1"/>
      <x:c r="J382" s="1"/>
      <x:c r="K382" s="1"/>
      <x:c r="L382" s="1"/>
      <x:c r="M382" s="1"/>
      <x:c r="N382" s="1"/>
      <x:c r="O382" s="1"/>
      <x:c r="P382" s="1"/>
      <x:c r="Q382" s="1"/>
      <x:c r="R382" s="1"/>
      <x:c r="S382" s="1"/>
      <x:c r="T382" s="1"/>
      <x:c r="U382" s="1"/>
      <x:c r="V382" s="1"/>
      <x:c r="W382" s="1"/>
      <x:c r="X382" s="1"/>
      <x:c r="Y382" s="1"/>
      <x:c r="Z382" s="1"/>
      <x:c r="AA382" s="1"/>
      <x:c r="AB382" s="1"/>
      <x:c r="AC382" s="1"/>
      <x:c r="AD382" s="1"/>
      <x:c r="AE382" s="1"/>
      <x:c r="AF382" s="1"/>
      <x:c r="AG382" s="1"/>
      <x:c r="AH382" s="1"/>
      <x:c r="AI382" s="1" t="s">
        <x:v>389</x:v>
      </x:c>
      <x:c r="AJ382" s="1" t="s">
        <x:v>43</x:v>
      </x:c>
      <x:c r="AK382" s="1">
        <x:v>6.6040000000000001</x:v>
      </x:c>
      <x:c r="AL382" s="1">
        <x:v>21100</x:v>
      </x:c>
      <x:c r="AM382" s="1"/>
      <x:c r="AN382" s="1"/>
      <x:c r="AO382" s="1"/>
      <x:c r="AP382" s="1"/>
      <x:c r="AQ382" s="1"/>
      <x:c r="AR382" s="1"/>
    </x:row>
    <x:row r="383">
      <x:c r="A383" s="1"/>
      <x:c r="B383" s="1"/>
      <x:c r="C383" s="1"/>
      <x:c r="D383" s="1"/>
      <x:c r="E383" s="1"/>
      <x:c r="F383" s="1"/>
      <x:c r="G383" s="1"/>
      <x:c r="H383" s="1"/>
      <x:c r="I383" s="1"/>
      <x:c r="J383" s="1"/>
      <x:c r="K383" s="1"/>
      <x:c r="L383" s="1"/>
      <x:c r="M383" s="1"/>
      <x:c r="N383" s="1"/>
      <x:c r="O383" s="1"/>
      <x:c r="P383" s="1"/>
      <x:c r="Q383" s="1"/>
      <x:c r="R383" s="1"/>
      <x:c r="S383" s="1"/>
      <x:c r="T383" s="1"/>
      <x:c r="U383" s="1"/>
      <x:c r="V383" s="1"/>
      <x:c r="W383" s="1"/>
      <x:c r="X383" s="1"/>
      <x:c r="Y383" s="1"/>
      <x:c r="Z383" s="1"/>
      <x:c r="AA383" s="1"/>
      <x:c r="AB383" s="1"/>
      <x:c r="AC383" s="1"/>
      <x:c r="AD383" s="1"/>
      <x:c r="AE383" s="1"/>
      <x:c r="AF383" s="1"/>
      <x:c r="AG383" s="1"/>
      <x:c r="AH383" s="1"/>
      <x:c r="AI383" s="1" t="s">
        <x:v>390</x:v>
      </x:c>
      <x:c r="AJ383" s="1" t="s">
        <x:v>55</x:v>
      </x:c>
      <x:c r="AK383" s="1">
        <x:v>6.37</x:v>
      </x:c>
      <x:c r="AL383" s="1">
        <x:v>214280</x:v>
      </x:c>
      <x:c r="AM383" s="1"/>
      <x:c r="AN383" s="1"/>
      <x:c r="AO383" s="1"/>
      <x:c r="AP383" s="1"/>
      <x:c r="AQ383" s="1"/>
      <x:c r="AR383" s="1"/>
    </x:row>
    <x:row r="384">
      <x:c r="A384" s="1"/>
      <x:c r="B384" s="1"/>
      <x:c r="C384" s="1"/>
      <x:c r="D384" s="1"/>
      <x:c r="E384" s="1"/>
      <x:c r="F384" s="1"/>
      <x:c r="G384" s="1"/>
      <x:c r="H384" s="1"/>
      <x:c r="I384" s="1"/>
      <x:c r="J384" s="1"/>
      <x:c r="K384" s="1"/>
      <x:c r="L384" s="1"/>
      <x:c r="M384" s="1"/>
      <x:c r="N384" s="1"/>
      <x:c r="O384" s="1"/>
      <x:c r="P384" s="1"/>
      <x:c r="Q384" s="1"/>
      <x:c r="R384" s="1"/>
      <x:c r="S384" s="1"/>
      <x:c r="T384" s="1"/>
      <x:c r="U384" s="1"/>
      <x:c r="V384" s="1"/>
      <x:c r="W384" s="1"/>
      <x:c r="X384" s="1"/>
      <x:c r="Y384" s="1"/>
      <x:c r="Z384" s="1"/>
      <x:c r="AA384" s="1"/>
      <x:c r="AB384" s="1"/>
      <x:c r="AC384" s="1"/>
      <x:c r="AD384" s="1"/>
      <x:c r="AE384" s="1"/>
      <x:c r="AF384" s="1"/>
      <x:c r="AG384" s="1"/>
      <x:c r="AH384" s="1"/>
      <x:c r="AI384" s="1" t="s">
        <x:v>391</x:v>
      </x:c>
      <x:c r="AJ384" s="1" t="s">
        <x:v>51</x:v>
      </x:c>
      <x:c r="AK384" s="1">
        <x:v>6.1829999999999998</x:v>
      </x:c>
      <x:c r="AL384" s="1">
        <x:v>384530</x:v>
      </x:c>
      <x:c r="AM384" s="1"/>
      <x:c r="AN384" s="1"/>
      <x:c r="AO384" s="1"/>
      <x:c r="AP384" s="1"/>
      <x:c r="AQ384" s="1"/>
      <x:c r="AR384" s="1"/>
    </x:row>
    <x:row r="385">
      <x:c r="A385" s="1"/>
      <x:c r="B385" s="1"/>
      <x:c r="C385" s="1"/>
      <x:c r="D385" s="1"/>
      <x:c r="E385" s="1"/>
      <x:c r="F385" s="1"/>
      <x:c r="G385" s="1"/>
      <x:c r="H385" s="1"/>
      <x:c r="I385" s="1"/>
      <x:c r="J385" s="1"/>
      <x:c r="K385" s="1"/>
      <x:c r="L385" s="1"/>
      <x:c r="M385" s="1"/>
      <x:c r="N385" s="1"/>
      <x:c r="O385" s="1"/>
      <x:c r="P385" s="1"/>
      <x:c r="Q385" s="1"/>
      <x:c r="R385" s="1"/>
      <x:c r="S385" s="1"/>
      <x:c r="T385" s="1"/>
      <x:c r="U385" s="1"/>
      <x:c r="V385" s="1"/>
      <x:c r="W385" s="1"/>
      <x:c r="X385" s="1"/>
      <x:c r="Y385" s="1"/>
      <x:c r="Z385" s="1"/>
      <x:c r="AA385" s="1"/>
      <x:c r="AB385" s="1"/>
      <x:c r="AC385" s="1"/>
      <x:c r="AD385" s="1"/>
      <x:c r="AE385" s="1"/>
      <x:c r="AF385" s="1"/>
      <x:c r="AG385" s="1"/>
      <x:c r="AH385" s="1"/>
      <x:c r="AI385" s="1" t="s">
        <x:v>544</x:v>
      </x:c>
      <x:c r="AJ385" s="1" t="s">
        <x:v>67</x:v>
      </x:c>
      <x:c r="AK385" s="1">
        <x:v>6.165</x:v>
      </x:c>
      <x:c r="AL385" s="1">
        <x:v>12710</x:v>
      </x:c>
      <x:c r="AM385" s="1"/>
      <x:c r="AN385" s="1"/>
      <x:c r="AO385" s="1"/>
      <x:c r="AP385" s="1"/>
      <x:c r="AQ385" s="1"/>
      <x:c r="AR385" s="1"/>
    </x:row>
    <x:row r="386">
      <x:c r="A386" s="1"/>
      <x:c r="B386" s="1"/>
      <x:c r="C386" s="1"/>
      <x:c r="D386" s="1"/>
      <x:c r="E386" s="1"/>
      <x:c r="F386" s="1"/>
      <x:c r="G386" s="1"/>
      <x:c r="H386" s="1"/>
      <x:c r="I386" s="1"/>
      <x:c r="J386" s="1"/>
      <x:c r="K386" s="1"/>
      <x:c r="L386" s="1"/>
      <x:c r="M386" s="1"/>
      <x:c r="N386" s="1"/>
      <x:c r="O386" s="1"/>
      <x:c r="P386" s="1"/>
      <x:c r="Q386" s="1"/>
      <x:c r="R386" s="1"/>
      <x:c r="S386" s="1"/>
      <x:c r="T386" s="1"/>
      <x:c r="U386" s="1"/>
      <x:c r="V386" s="1"/>
      <x:c r="W386" s="1"/>
      <x:c r="X386" s="1"/>
      <x:c r="Y386" s="1"/>
      <x:c r="Z386" s="1"/>
      <x:c r="AA386" s="1"/>
      <x:c r="AB386" s="1"/>
      <x:c r="AC386" s="1"/>
      <x:c r="AD386" s="1"/>
      <x:c r="AE386" s="1"/>
      <x:c r="AF386" s="1"/>
      <x:c r="AG386" s="1"/>
      <x:c r="AH386" s="1"/>
      <x:c r="AI386" s="1" t="s">
        <x:v>545</x:v>
      </x:c>
      <x:c r="AJ386" s="1" t="s">
        <x:v>47</x:v>
      </x:c>
      <x:c r="AK386" s="1">
        <x:v>6.1619999999999999</x:v>
      </x:c>
      <x:c r="AL386" s="1">
        <x:v>336400</x:v>
      </x:c>
      <x:c r="AM386" s="1"/>
      <x:c r="AN386" s="1"/>
      <x:c r="AO386" s="1"/>
      <x:c r="AP386" s="1"/>
      <x:c r="AQ386" s="1"/>
      <x:c r="AR386" s="1"/>
    </x:row>
    <x:row r="387">
      <x:c r="A387" s="1"/>
      <x:c r="B387" s="1"/>
      <x:c r="C387" s="1"/>
      <x:c r="D387" s="1"/>
      <x:c r="E387" s="1"/>
      <x:c r="F387" s="1"/>
      <x:c r="G387" s="1"/>
      <x:c r="H387" s="1"/>
      <x:c r="I387" s="1"/>
      <x:c r="J387" s="1"/>
      <x:c r="K387" s="1"/>
      <x:c r="L387" s="1"/>
      <x:c r="M387" s="1"/>
      <x:c r="N387" s="1"/>
      <x:c r="O387" s="1"/>
      <x:c r="P387" s="1"/>
      <x:c r="Q387" s="1"/>
      <x:c r="R387" s="1"/>
      <x:c r="S387" s="1"/>
      <x:c r="T387" s="1"/>
      <x:c r="U387" s="1"/>
      <x:c r="V387" s="1"/>
      <x:c r="W387" s="1"/>
      <x:c r="X387" s="1"/>
      <x:c r="Y387" s="1"/>
      <x:c r="Z387" s="1"/>
      <x:c r="AA387" s="1"/>
      <x:c r="AB387" s="1"/>
      <x:c r="AC387" s="1"/>
      <x:c r="AD387" s="1"/>
      <x:c r="AE387" s="1"/>
      <x:c r="AF387" s="1"/>
      <x:c r="AG387" s="1"/>
      <x:c r="AH387" s="1"/>
      <x:c r="AI387" s="1" t="s">
        <x:v>546</x:v>
      </x:c>
      <x:c r="AJ387" s="1" t="s">
        <x:v>59</x:v>
      </x:c>
      <x:c r="AK387" s="1">
        <x:v>5.9690000000000003</x:v>
      </x:c>
      <x:c r="AL387" s="1">
        <x:v>369610</x:v>
      </x:c>
      <x:c r="AM387" s="1"/>
      <x:c r="AN387" s="1"/>
      <x:c r="AO387" s="1"/>
      <x:c r="AP387" s="1"/>
      <x:c r="AQ387" s="1"/>
      <x:c r="AR387" s="1"/>
    </x:row>
    <x:row r="388">
      <x:c r="A388" s="1"/>
      <x:c r="B388" s="1"/>
      <x:c r="C388" s="1"/>
      <x:c r="D388" s="1"/>
      <x:c r="E388" s="1"/>
      <x:c r="F388" s="1"/>
      <x:c r="G388" s="1"/>
      <x:c r="H388" s="1"/>
      <x:c r="I388" s="1"/>
      <x:c r="J388" s="1"/>
      <x:c r="K388" s="1"/>
      <x:c r="L388" s="1"/>
      <x:c r="M388" s="1"/>
      <x:c r="N388" s="1"/>
      <x:c r="O388" s="1"/>
      <x:c r="P388" s="1"/>
      <x:c r="Q388" s="1"/>
      <x:c r="R388" s="1"/>
      <x:c r="S388" s="1"/>
      <x:c r="T388" s="1"/>
      <x:c r="U388" s="1"/>
      <x:c r="V388" s="1"/>
      <x:c r="W388" s="1"/>
      <x:c r="X388" s="1"/>
      <x:c r="Y388" s="1"/>
      <x:c r="Z388" s="1"/>
      <x:c r="AA388" s="1"/>
      <x:c r="AB388" s="1"/>
      <x:c r="AC388" s="1"/>
      <x:c r="AD388" s="1"/>
      <x:c r="AE388" s="1"/>
      <x:c r="AF388" s="1"/>
      <x:c r="AG388" s="1"/>
      <x:c r="AH388" s="1"/>
      <x:c r="AI388" s="1" t="s">
        <x:v>547</x:v>
      </x:c>
      <x:c r="AJ388" s="1" t="s">
        <x:v>63</x:v>
      </x:c>
      <x:c r="AK388" s="1">
        <x:v>5.6980000000000004</x:v>
      </x:c>
      <x:c r="AL388" s="1">
        <x:v>468500</x:v>
      </x:c>
      <x:c r="AM388" s="1"/>
      <x:c r="AN388" s="1"/>
      <x:c r="AO388" s="1"/>
      <x:c r="AP388" s="1"/>
      <x:c r="AQ388" s="1"/>
      <x:c r="AR388" s="1"/>
    </x:row>
    <x:row r="389">
      <x:c r="A389" s="1"/>
      <x:c r="B389" s="1"/>
      <x:c r="C389" s="1"/>
      <x:c r="D389" s="1"/>
      <x:c r="E389" s="1"/>
      <x:c r="F389" s="1"/>
      <x:c r="G389" s="1"/>
      <x:c r="H389" s="1"/>
      <x:c r="I389" s="1"/>
      <x:c r="J389" s="1"/>
      <x:c r="K389" s="1"/>
      <x:c r="L389" s="1"/>
      <x:c r="M389" s="1"/>
      <x:c r="N389" s="1"/>
      <x:c r="O389" s="1"/>
      <x:c r="P389" s="1"/>
      <x:c r="Q389" s="1"/>
      <x:c r="R389" s="1"/>
      <x:c r="S389" s="1"/>
      <x:c r="T389" s="1"/>
      <x:c r="U389" s="1"/>
      <x:c r="V389" s="1"/>
      <x:c r="W389" s="1"/>
      <x:c r="X389" s="1"/>
      <x:c r="Y389" s="1"/>
      <x:c r="Z389" s="1"/>
      <x:c r="AA389" s="1"/>
      <x:c r="AB389" s="1"/>
      <x:c r="AC389" s="1"/>
      <x:c r="AD389" s="1"/>
      <x:c r="AE389" s="1"/>
      <x:c r="AF389" s="1"/>
      <x:c r="AG389" s="1"/>
      <x:c r="AH389" s="1"/>
      <x:c r="AI389" s="1" t="s">
        <x:v>548</x:v>
      </x:c>
      <x:c r="AJ389" s="1" t="s">
        <x:v>71</x:v>
      </x:c>
      <x:c r="AK389" s="1">
        <x:v>5.5439999999999996</x:v>
      </x:c>
      <x:c r="AL389" s="1">
        <x:v>694790</x:v>
      </x:c>
      <x:c r="AM389" s="1"/>
      <x:c r="AN389" s="1"/>
      <x:c r="AO389" s="1"/>
      <x:c r="AP389" s="1"/>
      <x:c r="AQ389" s="1"/>
      <x:c r="AR389" s="1"/>
    </x:row>
    <x:row r="390">
      <x:c r="A390" s="1"/>
      <x:c r="B390" s="1"/>
      <x:c r="C390" s="1"/>
      <x:c r="D390" s="1"/>
      <x:c r="E390" s="1"/>
      <x:c r="F390" s="1"/>
      <x:c r="G390" s="1"/>
      <x:c r="H390" s="1"/>
      <x:c r="I390" s="1"/>
      <x:c r="J390" s="1"/>
      <x:c r="K390" s="1"/>
      <x:c r="L390" s="1"/>
      <x:c r="M390" s="1"/>
      <x:c r="N390" s="1"/>
      <x:c r="O390" s="1"/>
      <x:c r="P390" s="1"/>
      <x:c r="Q390" s="1"/>
      <x:c r="R390" s="1"/>
      <x:c r="S390" s="1"/>
      <x:c r="T390" s="1"/>
      <x:c r="U390" s="1"/>
      <x:c r="V390" s="1"/>
      <x:c r="W390" s="1"/>
      <x:c r="X390" s="1"/>
      <x:c r="Y390" s="1"/>
      <x:c r="Z390" s="1"/>
      <x:c r="AA390" s="1"/>
      <x:c r="AB390" s="1"/>
      <x:c r="AC390" s="1"/>
      <x:c r="AD390" s="1"/>
      <x:c r="AE390" s="1"/>
      <x:c r="AF390" s="1"/>
      <x:c r="AG390" s="1"/>
      <x:c r="AH390" s="1"/>
      <x:c r="AI390" s="1" t="s">
        <x:v>549</x:v>
      </x:c>
      <x:c r="AJ390" s="1" t="s">
        <x:v>75</x:v>
      </x:c>
      <x:c r="AK390" s="1">
        <x:v>5.3460000000000001</x:v>
      </x:c>
      <x:c r="AL390" s="1">
        <x:v>6890</x:v>
      </x:c>
      <x:c r="AM390" s="1"/>
      <x:c r="AN390" s="1"/>
      <x:c r="AO390" s="1"/>
      <x:c r="AP390" s="1"/>
      <x:c r="AQ390" s="1"/>
      <x:c r="AR390" s="1"/>
    </x:row>
    <x:row r="391">
      <x:c r="A391" s="1"/>
      <x:c r="B391" s="1"/>
      <x:c r="C391" s="1"/>
      <x:c r="D391" s="1"/>
      <x:c r="E391" s="1"/>
      <x:c r="F391" s="1"/>
      <x:c r="G391" s="1"/>
      <x:c r="H391" s="1"/>
      <x:c r="I391" s="1"/>
      <x:c r="J391" s="1"/>
      <x:c r="K391" s="1"/>
      <x:c r="L391" s="1"/>
      <x:c r="M391" s="1"/>
      <x:c r="N391" s="1"/>
      <x:c r="O391" s="1"/>
      <x:c r="P391" s="1"/>
      <x:c r="Q391" s="1"/>
      <x:c r="R391" s="1"/>
      <x:c r="S391" s="1"/>
      <x:c r="T391" s="1"/>
      <x:c r="U391" s="1"/>
      <x:c r="V391" s="1"/>
      <x:c r="W391" s="1"/>
      <x:c r="X391" s="1"/>
      <x:c r="Y391" s="1"/>
      <x:c r="Z391" s="1"/>
      <x:c r="AA391" s="1"/>
      <x:c r="AB391" s="1"/>
      <x:c r="AC391" s="1"/>
      <x:c r="AD391" s="1"/>
      <x:c r="AE391" s="1"/>
      <x:c r="AF391" s="1"/>
      <x:c r="AG391" s="1"/>
      <x:c r="AH391" s="1"/>
      <x:c r="AI391" s="1" t="s">
        <x:v>550</x:v>
      </x:c>
      <x:c r="AJ391" s="1" t="s">
        <x:v>79</x:v>
      </x:c>
      <x:c r="AK391" s="1">
        <x:v>5.2149999999999999</x:v>
      </x:c>
      <x:c r="AL391" s="1">
        <x:v>206160</x:v>
      </x:c>
      <x:c r="AM391" s="1"/>
      <x:c r="AN391" s="1"/>
      <x:c r="AO391" s="1"/>
      <x:c r="AP391" s="1"/>
      <x:c r="AQ391" s="1"/>
      <x:c r="AR391" s="1"/>
    </x:row>
    <x:row r="392">
      <x:c r="A392" s="1"/>
      <x:c r="B392" s="1"/>
      <x:c r="C392" s="1"/>
      <x:c r="D392" s="1"/>
      <x:c r="E392" s="1"/>
      <x:c r="F392" s="1"/>
      <x:c r="G392" s="1"/>
      <x:c r="H392" s="1"/>
      <x:c r="I392" s="1"/>
      <x:c r="J392" s="1"/>
      <x:c r="K392" s="1"/>
      <x:c r="L392" s="1"/>
      <x:c r="M392" s="1"/>
      <x:c r="N392" s="1"/>
      <x:c r="O392" s="1"/>
      <x:c r="P392" s="1"/>
      <x:c r="Q392" s="1"/>
      <x:c r="R392" s="1"/>
      <x:c r="S392" s="1"/>
      <x:c r="T392" s="1"/>
      <x:c r="U392" s="1"/>
      <x:c r="V392" s="1"/>
      <x:c r="W392" s="1"/>
      <x:c r="X392" s="1"/>
      <x:c r="Y392" s="1"/>
      <x:c r="Z392" s="1"/>
      <x:c r="AA392" s="1"/>
      <x:c r="AB392" s="1"/>
      <x:c r="AC392" s="1"/>
      <x:c r="AD392" s="1"/>
      <x:c r="AE392" s="1"/>
      <x:c r="AF392" s="1"/>
      <x:c r="AG392" s="1"/>
      <x:c r="AH392" s="1"/>
      <x:c r="AI392" s="1" t="s">
        <x:v>551</x:v>
      </x:c>
      <x:c r="AJ392" s="1" t="s">
        <x:v>83</x:v>
      </x:c>
      <x:c r="AK392" s="1">
        <x:v>4.5810000000000004</x:v>
      </x:c>
      <x:c r="AL392" s="1">
        <x:v>159710</x:v>
      </x:c>
      <x:c r="AM392" s="1"/>
      <x:c r="AN392" s="1"/>
      <x:c r="AO392" s="1"/>
      <x:c r="AP392" s="1"/>
      <x:c r="AQ392" s="1"/>
      <x:c r="AR392" s="1"/>
    </x:row>
    <x:row r="393">
      <x:c r="A393" s="1"/>
      <x:c r="B393" s="1"/>
      <x:c r="C393" s="1"/>
      <x:c r="D393" s="1"/>
      <x:c r="E393" s="1"/>
      <x:c r="F393" s="1"/>
      <x:c r="G393" s="1"/>
      <x:c r="H393" s="1"/>
      <x:c r="I393" s="1"/>
      <x:c r="J393" s="1"/>
      <x:c r="K393" s="1"/>
      <x:c r="L393" s="1"/>
      <x:c r="M393" s="1"/>
      <x:c r="N393" s="1"/>
      <x:c r="O393" s="1"/>
      <x:c r="P393" s="1"/>
      <x:c r="Q393" s="1"/>
      <x:c r="R393" s="1"/>
      <x:c r="S393" s="1"/>
      <x:c r="T393" s="1"/>
      <x:c r="U393" s="1"/>
      <x:c r="V393" s="1"/>
      <x:c r="W393" s="1"/>
      <x:c r="X393" s="1"/>
      <x:c r="Y393" s="1"/>
      <x:c r="Z393" s="1"/>
      <x:c r="AA393" s="1"/>
      <x:c r="AB393" s="1"/>
      <x:c r="AC393" s="1"/>
      <x:c r="AD393" s="1"/>
      <x:c r="AE393" s="1"/>
      <x:c r="AF393" s="1"/>
      <x:c r="AG393" s="1"/>
      <x:c r="AH393" s="1"/>
      <x:c r="AI393" s="1" t="s">
        <x:v>392</x:v>
      </x:c>
      <x:c r="AJ393" s="1" t="s">
        <x:v>10</x:v>
      </x:c>
      <x:c r="AK393" s="1">
        <x:v>10.313000000000001</x:v>
      </x:c>
      <x:c r="AL393" s="1">
        <x:v>18910</x:v>
      </x:c>
      <x:c r="AM393" s="1"/>
      <x:c r="AN393" s="1"/>
      <x:c r="AO393" s="1"/>
      <x:c r="AP393" s="1"/>
      <x:c r="AQ393" s="1"/>
      <x:c r="AR393" s="1"/>
    </x:row>
    <x:row r="394">
      <x:c r="A394" s="1"/>
      <x:c r="B394" s="1"/>
      <x:c r="C394" s="1"/>
      <x:c r="D394" s="1"/>
      <x:c r="E394" s="1"/>
      <x:c r="F394" s="1"/>
      <x:c r="G394" s="1"/>
      <x:c r="H394" s="1"/>
      <x:c r="I394" s="1"/>
      <x:c r="J394" s="1"/>
      <x:c r="K394" s="1"/>
      <x:c r="L394" s="1"/>
      <x:c r="M394" s="1"/>
      <x:c r="N394" s="1"/>
      <x:c r="O394" s="1"/>
      <x:c r="P394" s="1"/>
      <x:c r="Q394" s="1"/>
      <x:c r="R394" s="1"/>
      <x:c r="S394" s="1"/>
      <x:c r="T394" s="1"/>
      <x:c r="U394" s="1"/>
      <x:c r="V394" s="1"/>
      <x:c r="W394" s="1"/>
      <x:c r="X394" s="1"/>
      <x:c r="Y394" s="1"/>
      <x:c r="Z394" s="1"/>
      <x:c r="AA394" s="1"/>
      <x:c r="AB394" s="1"/>
      <x:c r="AC394" s="1"/>
      <x:c r="AD394" s="1"/>
      <x:c r="AE394" s="1"/>
      <x:c r="AF394" s="1"/>
      <x:c r="AG394" s="1"/>
      <x:c r="AH394" s="1"/>
      <x:c r="AI394" s="1" t="s">
        <x:v>393</x:v>
      </x:c>
      <x:c r="AJ394" s="1" t="s">
        <x:v>14</x:v>
      </x:c>
      <x:c r="AK394" s="1">
        <x:v>9.8019999999999996</x:v>
      </x:c>
      <x:c r="AL394" s="1">
        <x:v>16800</x:v>
      </x:c>
      <x:c r="AM394" s="1"/>
      <x:c r="AN394" s="1"/>
      <x:c r="AO394" s="1"/>
      <x:c r="AP394" s="1"/>
      <x:c r="AQ394" s="1"/>
      <x:c r="AR394" s="1"/>
    </x:row>
    <x:row r="395">
      <x:c r="A395" s="1"/>
      <x:c r="B395" s="1"/>
      <x:c r="C395" s="1"/>
      <x:c r="D395" s="1"/>
      <x:c r="E395" s="1"/>
      <x:c r="F395" s="1"/>
      <x:c r="G395" s="1"/>
      <x:c r="H395" s="1"/>
      <x:c r="I395" s="1"/>
      <x:c r="J395" s="1"/>
      <x:c r="K395" s="1"/>
      <x:c r="L395" s="1"/>
      <x:c r="M395" s="1"/>
      <x:c r="N395" s="1"/>
      <x:c r="O395" s="1"/>
      <x:c r="P395" s="1"/>
      <x:c r="Q395" s="1"/>
      <x:c r="R395" s="1"/>
      <x:c r="S395" s="1"/>
      <x:c r="T395" s="1"/>
      <x:c r="U395" s="1"/>
      <x:c r="V395" s="1"/>
      <x:c r="W395" s="1"/>
      <x:c r="X395" s="1"/>
      <x:c r="Y395" s="1"/>
      <x:c r="Z395" s="1"/>
      <x:c r="AA395" s="1"/>
      <x:c r="AB395" s="1"/>
      <x:c r="AC395" s="1"/>
      <x:c r="AD395" s="1"/>
      <x:c r="AE395" s="1"/>
      <x:c r="AF395" s="1"/>
      <x:c r="AG395" s="1"/>
      <x:c r="AH395" s="1"/>
      <x:c r="AI395" s="1" t="s">
        <x:v>394</x:v>
      </x:c>
      <x:c r="AJ395" s="1" t="s">
        <x:v>20</x:v>
      </x:c>
      <x:c r="AK395" s="1">
        <x:v>8.5</x:v>
      </x:c>
      <x:c r="AL395" s="1">
        <x:v>39220</x:v>
      </x:c>
      <x:c r="AM395" s="1"/>
      <x:c r="AN395" s="1"/>
      <x:c r="AO395" s="1"/>
      <x:c r="AP395" s="1"/>
      <x:c r="AQ395" s="1"/>
      <x:c r="AR395" s="1"/>
    </x:row>
    <x:row r="396">
      <x:c r="A396" s="1"/>
      <x:c r="B396" s="1"/>
      <x:c r="C396" s="1"/>
      <x:c r="D396" s="1"/>
      <x:c r="E396" s="1"/>
      <x:c r="F396" s="1"/>
      <x:c r="G396" s="1"/>
      <x:c r="H396" s="1"/>
      <x:c r="I396" s="1"/>
      <x:c r="J396" s="1"/>
      <x:c r="K396" s="1"/>
      <x:c r="L396" s="1"/>
      <x:c r="M396" s="1"/>
      <x:c r="N396" s="1"/>
      <x:c r="O396" s="1"/>
      <x:c r="P396" s="1"/>
      <x:c r="Q396" s="1"/>
      <x:c r="R396" s="1"/>
      <x:c r="S396" s="1"/>
      <x:c r="T396" s="1"/>
      <x:c r="U396" s="1"/>
      <x:c r="V396" s="1"/>
      <x:c r="W396" s="1"/>
      <x:c r="X396" s="1"/>
      <x:c r="Y396" s="1"/>
      <x:c r="Z396" s="1"/>
      <x:c r="AA396" s="1"/>
      <x:c r="AB396" s="1"/>
      <x:c r="AC396" s="1"/>
      <x:c r="AD396" s="1"/>
      <x:c r="AE396" s="1"/>
      <x:c r="AF396" s="1"/>
      <x:c r="AG396" s="1"/>
      <x:c r="AH396" s="1"/>
      <x:c r="AI396" s="1" t="s">
        <x:v>395</x:v>
      </x:c>
      <x:c r="AJ396" s="1" t="s">
        <x:v>27</x:v>
      </x:c>
      <x:c r="AK396" s="1">
        <x:v>8.202</x:v>
      </x:c>
      <x:c r="AL396" s="1">
        <x:v>212440</x:v>
      </x:c>
      <x:c r="AM396" s="1"/>
      <x:c r="AN396" s="1"/>
      <x:c r="AO396" s="1"/>
      <x:c r="AP396" s="1"/>
      <x:c r="AQ396" s="1"/>
      <x:c r="AR396" s="1"/>
    </x:row>
    <x:row r="397">
      <x:c r="A397" s="1"/>
      <x:c r="B397" s="1"/>
      <x:c r="C397" s="1"/>
      <x:c r="D397" s="1"/>
      <x:c r="E397" s="1"/>
      <x:c r="F397" s="1"/>
      <x:c r="G397" s="1"/>
      <x:c r="H397" s="1"/>
      <x:c r="I397" s="1"/>
      <x:c r="J397" s="1"/>
      <x:c r="K397" s="1"/>
      <x:c r="L397" s="1"/>
      <x:c r="M397" s="1"/>
      <x:c r="N397" s="1"/>
      <x:c r="O397" s="1"/>
      <x:c r="P397" s="1"/>
      <x:c r="Q397" s="1"/>
      <x:c r="R397" s="1"/>
      <x:c r="S397" s="1"/>
      <x:c r="T397" s="1"/>
      <x:c r="U397" s="1"/>
      <x:c r="V397" s="1"/>
      <x:c r="W397" s="1"/>
      <x:c r="X397" s="1"/>
      <x:c r="Y397" s="1"/>
      <x:c r="Z397" s="1"/>
      <x:c r="AA397" s="1"/>
      <x:c r="AB397" s="1"/>
      <x:c r="AC397" s="1"/>
      <x:c r="AD397" s="1"/>
      <x:c r="AE397" s="1"/>
      <x:c r="AF397" s="1"/>
      <x:c r="AG397" s="1"/>
      <x:c r="AH397" s="1"/>
      <x:c r="AI397" s="1" t="s">
        <x:v>396</x:v>
      </x:c>
      <x:c r="AJ397" s="1" t="s">
        <x:v>35</x:v>
      </x:c>
      <x:c r="AK397" s="1">
        <x:v>7.9379999999999997</x:v>
      </x:c>
      <x:c r="AL397" s="1">
        <x:v>107840</x:v>
      </x:c>
      <x:c r="AM397" s="1"/>
      <x:c r="AN397" s="1"/>
      <x:c r="AO397" s="1"/>
      <x:c r="AP397" s="1"/>
      <x:c r="AQ397" s="1"/>
      <x:c r="AR397" s="1"/>
    </x:row>
    <x:row r="398">
      <x:c r="A398" s="1"/>
      <x:c r="B398" s="1"/>
      <x:c r="C398" s="1"/>
      <x:c r="D398" s="1"/>
      <x:c r="E398" s="1"/>
      <x:c r="F398" s="1"/>
      <x:c r="G398" s="1"/>
      <x:c r="H398" s="1"/>
      <x:c r="I398" s="1"/>
      <x:c r="J398" s="1"/>
      <x:c r="K398" s="1"/>
      <x:c r="L398" s="1"/>
      <x:c r="M398" s="1"/>
      <x:c r="N398" s="1"/>
      <x:c r="O398" s="1"/>
      <x:c r="P398" s="1"/>
      <x:c r="Q398" s="1"/>
      <x:c r="R398" s="1"/>
      <x:c r="S398" s="1"/>
      <x:c r="T398" s="1"/>
      <x:c r="U398" s="1"/>
      <x:c r="V398" s="1"/>
      <x:c r="W398" s="1"/>
      <x:c r="X398" s="1"/>
      <x:c r="Y398" s="1"/>
      <x:c r="Z398" s="1"/>
      <x:c r="AA398" s="1"/>
      <x:c r="AB398" s="1"/>
      <x:c r="AC398" s="1"/>
      <x:c r="AD398" s="1"/>
      <x:c r="AE398" s="1"/>
      <x:c r="AF398" s="1"/>
      <x:c r="AG398" s="1"/>
      <x:c r="AH398" s="1"/>
      <x:c r="AI398" s="1" t="s">
        <x:v>397</x:v>
      </x:c>
      <x:c r="AJ398" s="1" t="s">
        <x:v>31</x:v>
      </x:c>
      <x:c r="AK398" s="1">
        <x:v>7.8949999999999996</x:v>
      </x:c>
      <x:c r="AL398" s="1">
        <x:v>230390</x:v>
      </x:c>
      <x:c r="AM398" s="1"/>
      <x:c r="AN398" s="1"/>
      <x:c r="AO398" s="1"/>
      <x:c r="AP398" s="1"/>
      <x:c r="AQ398" s="1"/>
      <x:c r="AR398" s="1"/>
    </x:row>
    <x:row r="399">
      <x:c r="A399" s="1"/>
      <x:c r="B399" s="1"/>
      <x:c r="C399" s="1"/>
      <x:c r="D399" s="1"/>
      <x:c r="E399" s="1"/>
      <x:c r="F399" s="1"/>
      <x:c r="G399" s="1"/>
      <x:c r="H399" s="1"/>
      <x:c r="I399" s="1"/>
      <x:c r="J399" s="1"/>
      <x:c r="K399" s="1"/>
      <x:c r="L399" s="1"/>
      <x:c r="M399" s="1"/>
      <x:c r="N399" s="1"/>
      <x:c r="O399" s="1"/>
      <x:c r="P399" s="1"/>
      <x:c r="Q399" s="1"/>
      <x:c r="R399" s="1"/>
      <x:c r="S399" s="1"/>
      <x:c r="T399" s="1"/>
      <x:c r="U399" s="1"/>
      <x:c r="V399" s="1"/>
      <x:c r="W399" s="1"/>
      <x:c r="X399" s="1"/>
      <x:c r="Y399" s="1"/>
      <x:c r="Z399" s="1"/>
      <x:c r="AA399" s="1"/>
      <x:c r="AB399" s="1"/>
      <x:c r="AC399" s="1"/>
      <x:c r="AD399" s="1"/>
      <x:c r="AE399" s="1"/>
      <x:c r="AF399" s="1"/>
      <x:c r="AG399" s="1"/>
      <x:c r="AH399" s="1"/>
      <x:c r="AI399" s="1" t="s">
        <x:v>398</x:v>
      </x:c>
      <x:c r="AJ399" s="1" t="s">
        <x:v>39</x:v>
      </x:c>
      <x:c r="AK399" s="1">
        <x:v>7.8239999999999998</x:v>
      </x:c>
      <x:c r="AL399" s="1">
        <x:v>98750</x:v>
      </x:c>
      <x:c r="AM399" s="1"/>
      <x:c r="AN399" s="1"/>
      <x:c r="AO399" s="1"/>
      <x:c r="AP399" s="1"/>
      <x:c r="AQ399" s="1"/>
      <x:c r="AR399" s="1"/>
    </x:row>
    <x:row r="400">
      <x:c r="A400" s="1"/>
      <x:c r="B400" s="1"/>
      <x:c r="C400" s="1"/>
      <x:c r="D400" s="1"/>
      <x:c r="E400" s="1"/>
      <x:c r="F400" s="1"/>
      <x:c r="G400" s="1"/>
      <x:c r="H400" s="1"/>
      <x:c r="I400" s="1"/>
      <x:c r="J400" s="1"/>
      <x:c r="K400" s="1"/>
      <x:c r="L400" s="1"/>
      <x:c r="M400" s="1"/>
      <x:c r="N400" s="1"/>
      <x:c r="O400" s="1"/>
      <x:c r="P400" s="1"/>
      <x:c r="Q400" s="1"/>
      <x:c r="R400" s="1"/>
      <x:c r="S400" s="1"/>
      <x:c r="T400" s="1"/>
      <x:c r="U400" s="1"/>
      <x:c r="V400" s="1"/>
      <x:c r="W400" s="1"/>
      <x:c r="X400" s="1"/>
      <x:c r="Y400" s="1"/>
      <x:c r="Z400" s="1"/>
      <x:c r="AA400" s="1"/>
      <x:c r="AB400" s="1"/>
      <x:c r="AC400" s="1"/>
      <x:c r="AD400" s="1"/>
      <x:c r="AE400" s="1"/>
      <x:c r="AF400" s="1"/>
      <x:c r="AG400" s="1"/>
      <x:c r="AH400" s="1"/>
      <x:c r="AI400" s="1" t="s">
        <x:v>400</x:v>
      </x:c>
      <x:c r="AJ400" s="1" t="s">
        <x:v>43</x:v>
      </x:c>
      <x:c r="AK400" s="1">
        <x:v>7.7439999999999998</x:v>
      </x:c>
      <x:c r="AL400" s="1">
        <x:v>12020</x:v>
      </x:c>
      <x:c r="AM400" s="1"/>
      <x:c r="AN400" s="1"/>
      <x:c r="AO400" s="1"/>
      <x:c r="AP400" s="1"/>
      <x:c r="AQ400" s="1"/>
      <x:c r="AR400" s="1"/>
    </x:row>
    <x:row r="401">
      <x:c r="A401" s="1"/>
      <x:c r="B401" s="1"/>
      <x:c r="C401" s="1"/>
      <x:c r="D401" s="1"/>
      <x:c r="E401" s="1"/>
      <x:c r="F401" s="1"/>
      <x:c r="G401" s="1"/>
      <x:c r="H401" s="1"/>
      <x:c r="I401" s="1"/>
      <x:c r="J401" s="1"/>
      <x:c r="K401" s="1"/>
      <x:c r="L401" s="1"/>
      <x:c r="M401" s="1"/>
      <x:c r="N401" s="1"/>
      <x:c r="O401" s="1"/>
      <x:c r="P401" s="1"/>
      <x:c r="Q401" s="1"/>
      <x:c r="R401" s="1"/>
      <x:c r="S401" s="1"/>
      <x:c r="T401" s="1"/>
      <x:c r="U401" s="1"/>
      <x:c r="V401" s="1"/>
      <x:c r="W401" s="1"/>
      <x:c r="X401" s="1"/>
      <x:c r="Y401" s="1"/>
      <x:c r="Z401" s="1"/>
      <x:c r="AA401" s="1"/>
      <x:c r="AB401" s="1"/>
      <x:c r="AC401" s="1"/>
      <x:c r="AD401" s="1"/>
      <x:c r="AE401" s="1"/>
      <x:c r="AF401" s="1"/>
      <x:c r="AG401" s="1"/>
      <x:c r="AH401" s="1"/>
      <x:c r="AI401" s="1" t="s">
        <x:v>402</x:v>
      </x:c>
      <x:c r="AJ401" s="1" t="s">
        <x:v>55</x:v>
      </x:c>
      <x:c r="AK401" s="1">
        <x:v>7.306</x:v>
      </x:c>
      <x:c r="AL401" s="1">
        <x:v>118980</x:v>
      </x:c>
      <x:c r="AM401" s="1"/>
      <x:c r="AN401" s="1"/>
      <x:c r="AO401" s="1"/>
      <x:c r="AP401" s="1"/>
      <x:c r="AQ401" s="1"/>
      <x:c r="AR401" s="1"/>
    </x:row>
    <x:row r="402">
      <x:c r="A402" s="1"/>
      <x:c r="B402" s="1"/>
      <x:c r="C402" s="1"/>
      <x:c r="D402" s="1"/>
      <x:c r="E402" s="1"/>
      <x:c r="F402" s="1"/>
      <x:c r="G402" s="1"/>
      <x:c r="H402" s="1"/>
      <x:c r="I402" s="1"/>
      <x:c r="J402" s="1"/>
      <x:c r="K402" s="1"/>
      <x:c r="L402" s="1"/>
      <x:c r="M402" s="1"/>
      <x:c r="N402" s="1"/>
      <x:c r="O402" s="1"/>
      <x:c r="P402" s="1"/>
      <x:c r="Q402" s="1"/>
      <x:c r="R402" s="1"/>
      <x:c r="S402" s="1"/>
      <x:c r="T402" s="1"/>
      <x:c r="U402" s="1"/>
      <x:c r="V402" s="1"/>
      <x:c r="W402" s="1"/>
      <x:c r="X402" s="1"/>
      <x:c r="Y402" s="1"/>
      <x:c r="Z402" s="1"/>
      <x:c r="AA402" s="1"/>
      <x:c r="AB402" s="1"/>
      <x:c r="AC402" s="1"/>
      <x:c r="AD402" s="1"/>
      <x:c r="AE402" s="1"/>
      <x:c r="AF402" s="1"/>
      <x:c r="AG402" s="1"/>
      <x:c r="AH402" s="1"/>
      <x:c r="AI402" s="1" t="s">
        <x:v>404</x:v>
      </x:c>
      <x:c r="AJ402" s="1" t="s">
        <x:v>51</x:v>
      </x:c>
      <x:c r="AK402" s="1">
        <x:v>7.2359999999999998</x:v>
      </x:c>
      <x:c r="AL402" s="1">
        <x:v>217500</x:v>
      </x:c>
      <x:c r="AM402" s="1"/>
      <x:c r="AN402" s="1"/>
      <x:c r="AO402" s="1"/>
      <x:c r="AP402" s="1"/>
      <x:c r="AQ402" s="1"/>
      <x:c r="AR402" s="1"/>
    </x:row>
    <x:row r="403">
      <x:c r="A403" s="1"/>
      <x:c r="B403" s="1"/>
      <x:c r="C403" s="1"/>
      <x:c r="D403" s="1"/>
      <x:c r="E403" s="1"/>
      <x:c r="F403" s="1"/>
      <x:c r="G403" s="1"/>
      <x:c r="H403" s="1"/>
      <x:c r="I403" s="1"/>
      <x:c r="J403" s="1"/>
      <x:c r="K403" s="1"/>
      <x:c r="L403" s="1"/>
      <x:c r="M403" s="1"/>
      <x:c r="N403" s="1"/>
      <x:c r="O403" s="1"/>
      <x:c r="P403" s="1"/>
      <x:c r="Q403" s="1"/>
      <x:c r="R403" s="1"/>
      <x:c r="S403" s="1"/>
      <x:c r="T403" s="1"/>
      <x:c r="U403" s="1"/>
      <x:c r="V403" s="1"/>
      <x:c r="W403" s="1"/>
      <x:c r="X403" s="1"/>
      <x:c r="Y403" s="1"/>
      <x:c r="Z403" s="1"/>
      <x:c r="AA403" s="1"/>
      <x:c r="AB403" s="1"/>
      <x:c r="AC403" s="1"/>
      <x:c r="AD403" s="1"/>
      <x:c r="AE403" s="1"/>
      <x:c r="AF403" s="1"/>
      <x:c r="AG403" s="1"/>
      <x:c r="AH403" s="1"/>
      <x:c r="AI403" s="1" t="s">
        <x:v>552</x:v>
      </x:c>
      <x:c r="AJ403" s="1" t="s">
        <x:v>47</x:v>
      </x:c>
      <x:c r="AK403" s="1">
        <x:v>7.1479999999999997</x:v>
      </x:c>
      <x:c r="AL403" s="1">
        <x:v>187990</x:v>
      </x:c>
      <x:c r="AM403" s="1"/>
      <x:c r="AN403" s="1"/>
      <x:c r="AO403" s="1"/>
      <x:c r="AP403" s="1"/>
      <x:c r="AQ403" s="1"/>
      <x:c r="AR403" s="1"/>
    </x:row>
    <x:row r="404">
      <x:c r="A404" s="1"/>
      <x:c r="B404" s="1"/>
      <x:c r="C404" s="1"/>
      <x:c r="D404" s="1"/>
      <x:c r="E404" s="1"/>
      <x:c r="F404" s="1"/>
      <x:c r="G404" s="1"/>
      <x:c r="H404" s="1"/>
      <x:c r="I404" s="1"/>
      <x:c r="J404" s="1"/>
      <x:c r="K404" s="1"/>
      <x:c r="L404" s="1"/>
      <x:c r="M404" s="1"/>
      <x:c r="N404" s="1"/>
      <x:c r="O404" s="1"/>
      <x:c r="P404" s="1"/>
      <x:c r="Q404" s="1"/>
      <x:c r="R404" s="1"/>
      <x:c r="S404" s="1"/>
      <x:c r="T404" s="1"/>
      <x:c r="U404" s="1"/>
      <x:c r="V404" s="1"/>
      <x:c r="W404" s="1"/>
      <x:c r="X404" s="1"/>
      <x:c r="Y404" s="1"/>
      <x:c r="Z404" s="1"/>
      <x:c r="AA404" s="1"/>
      <x:c r="AB404" s="1"/>
      <x:c r="AC404" s="1"/>
      <x:c r="AD404" s="1"/>
      <x:c r="AE404" s="1"/>
      <x:c r="AF404" s="1"/>
      <x:c r="AG404" s="1"/>
      <x:c r="AH404" s="1"/>
      <x:c r="AI404" s="1" t="s">
        <x:v>553</x:v>
      </x:c>
      <x:c r="AJ404" s="1" t="s">
        <x:v>59</x:v>
      </x:c>
      <x:c r="AK404" s="1">
        <x:v>6.9640000000000004</x:v>
      </x:c>
      <x:c r="AL404" s="1">
        <x:v>209130</x:v>
      </x:c>
      <x:c r="AM404" s="1"/>
      <x:c r="AN404" s="1"/>
      <x:c r="AO404" s="1"/>
      <x:c r="AP404" s="1"/>
      <x:c r="AQ404" s="1"/>
      <x:c r="AR404" s="1"/>
    </x:row>
    <x:row r="405">
      <x:c r="A405" s="1"/>
      <x:c r="B405" s="1"/>
      <x:c r="C405" s="1"/>
      <x:c r="D405" s="1"/>
      <x:c r="E405" s="1"/>
      <x:c r="F405" s="1"/>
      <x:c r="G405" s="1"/>
      <x:c r="H405" s="1"/>
      <x:c r="I405" s="1"/>
      <x:c r="J405" s="1"/>
      <x:c r="K405" s="1"/>
      <x:c r="L405" s="1"/>
      <x:c r="M405" s="1"/>
      <x:c r="N405" s="1"/>
      <x:c r="O405" s="1"/>
      <x:c r="P405" s="1"/>
      <x:c r="Q405" s="1"/>
      <x:c r="R405" s="1"/>
      <x:c r="S405" s="1"/>
      <x:c r="T405" s="1"/>
      <x:c r="U405" s="1"/>
      <x:c r="V405" s="1"/>
      <x:c r="W405" s="1"/>
      <x:c r="X405" s="1"/>
      <x:c r="Y405" s="1"/>
      <x:c r="Z405" s="1"/>
      <x:c r="AA405" s="1"/>
      <x:c r="AB405" s="1"/>
      <x:c r="AC405" s="1"/>
      <x:c r="AD405" s="1"/>
      <x:c r="AE405" s="1"/>
      <x:c r="AF405" s="1"/>
      <x:c r="AG405" s="1"/>
      <x:c r="AH405" s="1"/>
      <x:c r="AI405" s="1" t="s">
        <x:v>554</x:v>
      </x:c>
      <x:c r="AJ405" s="1" t="s">
        <x:v>63</x:v>
      </x:c>
      <x:c r="AK405" s="1">
        <x:v>6.5019999999999998</x:v>
      </x:c>
      <x:c r="AL405" s="1">
        <x:v>260300</x:v>
      </x:c>
      <x:c r="AM405" s="1"/>
      <x:c r="AN405" s="1"/>
      <x:c r="AO405" s="1"/>
      <x:c r="AP405" s="1"/>
      <x:c r="AQ405" s="1"/>
      <x:c r="AR405" s="1"/>
    </x:row>
    <x:row r="406">
      <x:c r="A406" s="1"/>
      <x:c r="B406" s="1"/>
      <x:c r="C406" s="1"/>
      <x:c r="D406" s="1"/>
      <x:c r="E406" s="1"/>
      <x:c r="F406" s="1"/>
      <x:c r="G406" s="1"/>
      <x:c r="H406" s="1"/>
      <x:c r="I406" s="1"/>
      <x:c r="J406" s="1"/>
      <x:c r="K406" s="1"/>
      <x:c r="L406" s="1"/>
      <x:c r="M406" s="1"/>
      <x:c r="N406" s="1"/>
      <x:c r="O406" s="1"/>
      <x:c r="P406" s="1"/>
      <x:c r="Q406" s="1"/>
      <x:c r="R406" s="1"/>
      <x:c r="S406" s="1"/>
      <x:c r="T406" s="1"/>
      <x:c r="U406" s="1"/>
      <x:c r="V406" s="1"/>
      <x:c r="W406" s="1"/>
      <x:c r="X406" s="1"/>
      <x:c r="Y406" s="1"/>
      <x:c r="Z406" s="1"/>
      <x:c r="AA406" s="1"/>
      <x:c r="AB406" s="1"/>
      <x:c r="AC406" s="1"/>
      <x:c r="AD406" s="1"/>
      <x:c r="AE406" s="1"/>
      <x:c r="AF406" s="1"/>
      <x:c r="AG406" s="1"/>
      <x:c r="AH406" s="1"/>
      <x:c r="AI406" s="1" t="s">
        <x:v>555</x:v>
      </x:c>
      <x:c r="AJ406" s="1" t="s">
        <x:v>71</x:v>
      </x:c>
      <x:c r="AK406" s="1">
        <x:v>6.3019999999999996</x:v>
      </x:c>
      <x:c r="AL406" s="1">
        <x:v>383430</x:v>
      </x:c>
      <x:c r="AM406" s="1"/>
      <x:c r="AN406" s="1"/>
      <x:c r="AO406" s="1"/>
      <x:c r="AP406" s="1"/>
      <x:c r="AQ406" s="1"/>
      <x:c r="AR406" s="1"/>
    </x:row>
    <x:row r="407">
      <x:c r="A407" s="1"/>
      <x:c r="B407" s="1"/>
      <x:c r="C407" s="1"/>
      <x:c r="D407" s="1"/>
      <x:c r="E407" s="1"/>
      <x:c r="F407" s="1"/>
      <x:c r="G407" s="1"/>
      <x:c r="H407" s="1"/>
      <x:c r="I407" s="1"/>
      <x:c r="J407" s="1"/>
      <x:c r="K407" s="1"/>
      <x:c r="L407" s="1"/>
      <x:c r="M407" s="1"/>
      <x:c r="N407" s="1"/>
      <x:c r="O407" s="1"/>
      <x:c r="P407" s="1"/>
      <x:c r="Q407" s="1"/>
      <x:c r="R407" s="1"/>
      <x:c r="S407" s="1"/>
      <x:c r="T407" s="1"/>
      <x:c r="U407" s="1"/>
      <x:c r="V407" s="1"/>
      <x:c r="W407" s="1"/>
      <x:c r="X407" s="1"/>
      <x:c r="Y407" s="1"/>
      <x:c r="Z407" s="1"/>
      <x:c r="AA407" s="1"/>
      <x:c r="AB407" s="1"/>
      <x:c r="AC407" s="1"/>
      <x:c r="AD407" s="1"/>
      <x:c r="AE407" s="1"/>
      <x:c r="AF407" s="1"/>
      <x:c r="AG407" s="1"/>
      <x:c r="AH407" s="1"/>
      <x:c r="AI407" s="1" t="s">
        <x:v>556</x:v>
      </x:c>
      <x:c r="AJ407" s="1" t="s">
        <x:v>79</x:v>
      </x:c>
      <x:c r="AK407" s="1">
        <x:v>6.0780000000000003</x:v>
      </x:c>
      <x:c r="AL407" s="1">
        <x:v>117140</x:v>
      </x:c>
      <x:c r="AM407" s="1"/>
      <x:c r="AN407" s="1"/>
      <x:c r="AO407" s="1"/>
      <x:c r="AP407" s="1"/>
      <x:c r="AQ407" s="1"/>
      <x:c r="AR407" s="1"/>
    </x:row>
    <x:row r="408">
      <x:c r="A408" s="1"/>
      <x:c r="B408" s="1"/>
      <x:c r="C408" s="1"/>
      <x:c r="D408" s="1"/>
      <x:c r="E408" s="1"/>
      <x:c r="F408" s="1"/>
      <x:c r="G408" s="1"/>
      <x:c r="H408" s="1"/>
      <x:c r="I408" s="1"/>
      <x:c r="J408" s="1"/>
      <x:c r="K408" s="1"/>
      <x:c r="L408" s="1"/>
      <x:c r="M408" s="1"/>
      <x:c r="N408" s="1"/>
      <x:c r="O408" s="1"/>
      <x:c r="P408" s="1"/>
      <x:c r="Q408" s="1"/>
      <x:c r="R408" s="1"/>
      <x:c r="S408" s="1"/>
      <x:c r="T408" s="1"/>
      <x:c r="U408" s="1"/>
      <x:c r="V408" s="1"/>
      <x:c r="W408" s="1"/>
      <x:c r="X408" s="1"/>
      <x:c r="Y408" s="1"/>
      <x:c r="Z408" s="1"/>
      <x:c r="AA408" s="1"/>
      <x:c r="AB408" s="1"/>
      <x:c r="AC408" s="1"/>
      <x:c r="AD408" s="1"/>
      <x:c r="AE408" s="1"/>
      <x:c r="AF408" s="1"/>
      <x:c r="AG408" s="1"/>
      <x:c r="AH408" s="1"/>
      <x:c r="AI408" s="1" t="s">
        <x:v>557</x:v>
      </x:c>
      <x:c r="AJ408" s="1" t="s">
        <x:v>67</x:v>
      </x:c>
      <x:c r="AK408" s="1">
        <x:v>5.875</x:v>
      </x:c>
      <x:c r="AL408" s="1">
        <x:v>5660</x:v>
      </x:c>
      <x:c r="AM408" s="1"/>
      <x:c r="AN408" s="1"/>
      <x:c r="AO408" s="1"/>
      <x:c r="AP408" s="1"/>
      <x:c r="AQ408" s="1"/>
      <x:c r="AR408" s="1"/>
    </x:row>
    <x:row r="409">
      <x:c r="A409" s="1"/>
      <x:c r="B409" s="1"/>
      <x:c r="C409" s="1"/>
      <x:c r="D409" s="1"/>
      <x:c r="E409" s="1"/>
      <x:c r="F409" s="1"/>
      <x:c r="G409" s="1"/>
      <x:c r="H409" s="1"/>
      <x:c r="I409" s="1"/>
      <x:c r="J409" s="1"/>
      <x:c r="K409" s="1"/>
      <x:c r="L409" s="1"/>
      <x:c r="M409" s="1"/>
      <x:c r="N409" s="1"/>
      <x:c r="O409" s="1"/>
      <x:c r="P409" s="1"/>
      <x:c r="Q409" s="1"/>
      <x:c r="R409" s="1"/>
      <x:c r="S409" s="1"/>
      <x:c r="T409" s="1"/>
      <x:c r="U409" s="1"/>
      <x:c r="V409" s="1"/>
      <x:c r="W409" s="1"/>
      <x:c r="X409" s="1"/>
      <x:c r="Y409" s="1"/>
      <x:c r="Z409" s="1"/>
      <x:c r="AA409" s="1"/>
      <x:c r="AB409" s="1"/>
      <x:c r="AC409" s="1"/>
      <x:c r="AD409" s="1"/>
      <x:c r="AE409" s="1"/>
      <x:c r="AF409" s="1"/>
      <x:c r="AG409" s="1"/>
      <x:c r="AH409" s="1"/>
      <x:c r="AI409" s="1" t="s">
        <x:v>558</x:v>
      </x:c>
      <x:c r="AJ409" s="1" t="s">
        <x:v>83</x:v>
      </x:c>
      <x:c r="AK409" s="1">
        <x:v>5.3970000000000002</x:v>
      </x:c>
      <x:c r="AL409" s="1">
        <x:v>91420</x:v>
      </x:c>
      <x:c r="AM409" s="1"/>
      <x:c r="AN409" s="1"/>
      <x:c r="AO409" s="1"/>
      <x:c r="AP409" s="1"/>
      <x:c r="AQ409" s="1"/>
      <x:c r="AR409" s="1"/>
    </x:row>
    <x:row r="410">
      <x:c r="A410" s="1"/>
      <x:c r="B410" s="1"/>
      <x:c r="C410" s="1"/>
      <x:c r="D410" s="1"/>
      <x:c r="E410" s="1"/>
      <x:c r="F410" s="1"/>
      <x:c r="G410" s="1"/>
      <x:c r="H410" s="1"/>
      <x:c r="I410" s="1"/>
      <x:c r="J410" s="1"/>
      <x:c r="K410" s="1"/>
      <x:c r="L410" s="1"/>
      <x:c r="M410" s="1"/>
      <x:c r="N410" s="1"/>
      <x:c r="O410" s="1"/>
      <x:c r="P410" s="1"/>
      <x:c r="Q410" s="1"/>
      <x:c r="R410" s="1"/>
      <x:c r="S410" s="1"/>
      <x:c r="T410" s="1"/>
      <x:c r="U410" s="1"/>
      <x:c r="V410" s="1"/>
      <x:c r="W410" s="1"/>
      <x:c r="X410" s="1"/>
      <x:c r="Y410" s="1"/>
      <x:c r="Z410" s="1"/>
      <x:c r="AA410" s="1"/>
      <x:c r="AB410" s="1"/>
      <x:c r="AC410" s="1"/>
      <x:c r="AD410" s="1"/>
      <x:c r="AE410" s="1"/>
      <x:c r="AF410" s="1"/>
      <x:c r="AG410" s="1"/>
      <x:c r="AH410" s="1"/>
      <x:c r="AI410" s="1" t="s">
        <x:v>559</x:v>
      </x:c>
      <x:c r="AJ410" s="1" t="s">
        <x:v>75</x:v>
      </x:c>
      <x:c r="AK410" s="1">
        <x:v>5.3159999999999998</x:v>
      </x:c>
      <x:c r="AL410" s="1">
        <x:v>3120</x:v>
      </x:c>
      <x:c r="AM410" s="1"/>
      <x:c r="AN410" s="1"/>
      <x:c r="AO410" s="1"/>
      <x:c r="AP410" s="1"/>
      <x:c r="AQ410" s="1"/>
      <x:c r="AR410" s="1"/>
    </x:row>
    <x:row r="411">
      <x:c r="A411" s="1"/>
      <x:c r="B411" s="1"/>
      <x:c r="C411" s="1"/>
      <x:c r="D411" s="1"/>
      <x:c r="E411" s="1"/>
      <x:c r="F411" s="1"/>
      <x:c r="G411" s="1"/>
      <x:c r="H411" s="1"/>
      <x:c r="I411" s="1"/>
      <x:c r="J411" s="1"/>
      <x:c r="K411" s="1"/>
      <x:c r="L411" s="1"/>
      <x:c r="M411" s="1"/>
      <x:c r="N411" s="1"/>
      <x:c r="O411" s="1"/>
      <x:c r="P411" s="1"/>
      <x:c r="Q411" s="1"/>
      <x:c r="R411" s="1"/>
      <x:c r="S411" s="1"/>
      <x:c r="T411" s="1"/>
      <x:c r="U411" s="1"/>
      <x:c r="V411" s="1"/>
      <x:c r="W411" s="1"/>
      <x:c r="X411" s="1"/>
      <x:c r="Y411" s="1"/>
      <x:c r="Z411" s="1"/>
      <x:c r="AA411" s="1"/>
      <x:c r="AB411" s="1"/>
      <x:c r="AC411" s="1"/>
      <x:c r="AD411" s="1"/>
      <x:c r="AE411" s="1"/>
      <x:c r="AF411" s="1"/>
      <x:c r="AG411" s="1"/>
      <x:c r="AH411" s="1"/>
      <x:c r="AI411" s="1" t="s">
        <x:v>406</x:v>
      </x:c>
      <x:c r="AJ411" s="1" t="s">
        <x:v>10</x:v>
      </x:c>
      <x:c r="AK411" s="1">
        <x:v>11.81</x:v>
      </x:c>
      <x:c r="AL411" s="1">
        <x:v>25650</x:v>
      </x:c>
      <x:c r="AM411" s="1"/>
      <x:c r="AN411" s="1"/>
      <x:c r="AO411" s="1"/>
      <x:c r="AP411" s="1"/>
      <x:c r="AQ411" s="1"/>
      <x:c r="AR411" s="1"/>
    </x:row>
    <x:row r="412">
      <x:c r="A412" s="1"/>
      <x:c r="B412" s="1"/>
      <x:c r="C412" s="1"/>
      <x:c r="D412" s="1"/>
      <x:c r="E412" s="1"/>
      <x:c r="F412" s="1"/>
      <x:c r="G412" s="1"/>
      <x:c r="H412" s="1"/>
      <x:c r="I412" s="1"/>
      <x:c r="J412" s="1"/>
      <x:c r="K412" s="1"/>
      <x:c r="L412" s="1"/>
      <x:c r="M412" s="1"/>
      <x:c r="N412" s="1"/>
      <x:c r="O412" s="1"/>
      <x:c r="P412" s="1"/>
      <x:c r="Q412" s="1"/>
      <x:c r="R412" s="1"/>
      <x:c r="S412" s="1"/>
      <x:c r="T412" s="1"/>
      <x:c r="U412" s="1"/>
      <x:c r="V412" s="1"/>
      <x:c r="W412" s="1"/>
      <x:c r="X412" s="1"/>
      <x:c r="Y412" s="1"/>
      <x:c r="Z412" s="1"/>
      <x:c r="AA412" s="1"/>
      <x:c r="AB412" s="1"/>
      <x:c r="AC412" s="1"/>
      <x:c r="AD412" s="1"/>
      <x:c r="AE412" s="1"/>
      <x:c r="AF412" s="1"/>
      <x:c r="AG412" s="1"/>
      <x:c r="AH412" s="1"/>
      <x:c r="AI412" s="1" t="s">
        <x:v>408</x:v>
      </x:c>
      <x:c r="AJ412" s="1" t="s">
        <x:v>14</x:v>
      </x:c>
      <x:c r="AK412" s="1">
        <x:v>10.895</x:v>
      </x:c>
      <x:c r="AL412" s="1">
        <x:v>22150</x:v>
      </x:c>
      <x:c r="AM412" s="1"/>
      <x:c r="AN412" s="1"/>
      <x:c r="AO412" s="1"/>
      <x:c r="AP412" s="1"/>
      <x:c r="AQ412" s="1"/>
      <x:c r="AR412" s="1"/>
    </x:row>
    <x:row r="413">
      <x:c r="A413" s="1"/>
      <x:c r="B413" s="1"/>
      <x:c r="C413" s="1"/>
      <x:c r="D413" s="1"/>
      <x:c r="E413" s="1"/>
      <x:c r="F413" s="1"/>
      <x:c r="G413" s="1"/>
      <x:c r="H413" s="1"/>
      <x:c r="I413" s="1"/>
      <x:c r="J413" s="1"/>
      <x:c r="K413" s="1"/>
      <x:c r="L413" s="1"/>
      <x:c r="M413" s="1"/>
      <x:c r="N413" s="1"/>
      <x:c r="O413" s="1"/>
      <x:c r="P413" s="1"/>
      <x:c r="Q413" s="1"/>
      <x:c r="R413" s="1"/>
      <x:c r="S413" s="1"/>
      <x:c r="T413" s="1"/>
      <x:c r="U413" s="1"/>
      <x:c r="V413" s="1"/>
      <x:c r="W413" s="1"/>
      <x:c r="X413" s="1"/>
      <x:c r="Y413" s="1"/>
      <x:c r="Z413" s="1"/>
      <x:c r="AA413" s="1"/>
      <x:c r="AB413" s="1"/>
      <x:c r="AC413" s="1"/>
      <x:c r="AD413" s="1"/>
      <x:c r="AE413" s="1"/>
      <x:c r="AF413" s="1"/>
      <x:c r="AG413" s="1"/>
      <x:c r="AH413" s="1"/>
      <x:c r="AI413" s="1" t="s">
        <x:v>410</x:v>
      </x:c>
      <x:c r="AJ413" s="1" t="s">
        <x:v>20</x:v>
      </x:c>
      <x:c r="AK413" s="1">
        <x:v>9.3149999999999995</x:v>
      </x:c>
      <x:c r="AL413" s="1">
        <x:v>45780</x:v>
      </x:c>
      <x:c r="AM413" s="1"/>
      <x:c r="AN413" s="1"/>
      <x:c r="AO413" s="1"/>
      <x:c r="AP413" s="1"/>
      <x:c r="AQ413" s="1"/>
      <x:c r="AR413" s="1"/>
    </x:row>
    <x:row r="414">
      <x:c r="A414" s="1"/>
      <x:c r="B414" s="1"/>
      <x:c r="C414" s="1"/>
      <x:c r="D414" s="1"/>
      <x:c r="E414" s="1"/>
      <x:c r="F414" s="1"/>
      <x:c r="G414" s="1"/>
      <x:c r="H414" s="1"/>
      <x:c r="I414" s="1"/>
      <x:c r="J414" s="1"/>
      <x:c r="K414" s="1"/>
      <x:c r="L414" s="1"/>
      <x:c r="M414" s="1"/>
      <x:c r="N414" s="1"/>
      <x:c r="O414" s="1"/>
      <x:c r="P414" s="1"/>
      <x:c r="Q414" s="1"/>
      <x:c r="R414" s="1"/>
      <x:c r="S414" s="1"/>
      <x:c r="T414" s="1"/>
      <x:c r="U414" s="1"/>
      <x:c r="V414" s="1"/>
      <x:c r="W414" s="1"/>
      <x:c r="X414" s="1"/>
      <x:c r="Y414" s="1"/>
      <x:c r="Z414" s="1"/>
      <x:c r="AA414" s="1"/>
      <x:c r="AB414" s="1"/>
      <x:c r="AC414" s="1"/>
      <x:c r="AD414" s="1"/>
      <x:c r="AE414" s="1"/>
      <x:c r="AF414" s="1"/>
      <x:c r="AG414" s="1"/>
      <x:c r="AH414" s="1"/>
      <x:c r="AI414" s="1" t="s">
        <x:v>412</x:v>
      </x:c>
      <x:c r="AJ414" s="1" t="s">
        <x:v>31</x:v>
      </x:c>
      <x:c r="AK414" s="1">
        <x:v>6.5359999999999996</x:v>
      </x:c>
      <x:c r="AL414" s="1">
        <x:v>201210</x:v>
      </x:c>
      <x:c r="AM414" s="1"/>
      <x:c r="AN414" s="1"/>
      <x:c r="AO414" s="1"/>
      <x:c r="AP414" s="1"/>
      <x:c r="AQ414" s="1"/>
      <x:c r="AR414" s="1"/>
    </x:row>
    <x:row r="415">
      <x:c r="A415" s="1"/>
      <x:c r="B415" s="1"/>
      <x:c r="C415" s="1"/>
      <x:c r="D415" s="1"/>
      <x:c r="E415" s="1"/>
      <x:c r="F415" s="1"/>
      <x:c r="G415" s="1"/>
      <x:c r="H415" s="1"/>
      <x:c r="I415" s="1"/>
      <x:c r="J415" s="1"/>
      <x:c r="K415" s="1"/>
      <x:c r="L415" s="1"/>
      <x:c r="M415" s="1"/>
      <x:c r="N415" s="1"/>
      <x:c r="O415" s="1"/>
      <x:c r="P415" s="1"/>
      <x:c r="Q415" s="1"/>
      <x:c r="R415" s="1"/>
      <x:c r="S415" s="1"/>
      <x:c r="T415" s="1"/>
      <x:c r="U415" s="1"/>
      <x:c r="V415" s="1"/>
      <x:c r="W415" s="1"/>
      <x:c r="X415" s="1"/>
      <x:c r="Y415" s="1"/>
      <x:c r="Z415" s="1"/>
      <x:c r="AA415" s="1"/>
      <x:c r="AB415" s="1"/>
      <x:c r="AC415" s="1"/>
      <x:c r="AD415" s="1"/>
      <x:c r="AE415" s="1"/>
      <x:c r="AF415" s="1"/>
      <x:c r="AG415" s="1"/>
      <x:c r="AH415" s="1"/>
      <x:c r="AI415" s="1" t="s">
        <x:v>414</x:v>
      </x:c>
      <x:c r="AJ415" s="1" t="s">
        <x:v>27</x:v>
      </x:c>
      <x:c r="AK415" s="1">
        <x:v>6.4749999999999996</x:v>
      </x:c>
      <x:c r="AL415" s="1">
        <x:v>178080</x:v>
      </x:c>
      <x:c r="AM415" s="1"/>
      <x:c r="AN415" s="1"/>
      <x:c r="AO415" s="1"/>
      <x:c r="AP415" s="1"/>
      <x:c r="AQ415" s="1"/>
      <x:c r="AR415" s="1"/>
    </x:row>
    <x:row r="416">
      <x:c r="A416" s="1"/>
      <x:c r="B416" s="1"/>
      <x:c r="C416" s="1"/>
      <x:c r="D416" s="1"/>
      <x:c r="E416" s="1"/>
      <x:c r="F416" s="1"/>
      <x:c r="G416" s="1"/>
      <x:c r="H416" s="1"/>
      <x:c r="I416" s="1"/>
      <x:c r="J416" s="1"/>
      <x:c r="K416" s="1"/>
      <x:c r="L416" s="1"/>
      <x:c r="M416" s="1"/>
      <x:c r="N416" s="1"/>
      <x:c r="O416" s="1"/>
      <x:c r="P416" s="1"/>
      <x:c r="Q416" s="1"/>
      <x:c r="R416" s="1"/>
      <x:c r="S416" s="1"/>
      <x:c r="T416" s="1"/>
      <x:c r="U416" s="1"/>
      <x:c r="V416" s="1"/>
      <x:c r="W416" s="1"/>
      <x:c r="X416" s="1"/>
      <x:c r="Y416" s="1"/>
      <x:c r="Z416" s="1"/>
      <x:c r="AA416" s="1"/>
      <x:c r="AB416" s="1"/>
      <x:c r="AC416" s="1"/>
      <x:c r="AD416" s="1"/>
      <x:c r="AE416" s="1"/>
      <x:c r="AF416" s="1"/>
      <x:c r="AG416" s="1"/>
      <x:c r="AH416" s="1"/>
      <x:c r="AI416" s="1" t="s">
        <x:v>415</x:v>
      </x:c>
      <x:c r="AJ416" s="1" t="s">
        <x:v>67</x:v>
      </x:c>
      <x:c r="AK416" s="1">
        <x:v>6.4180000000000001</x:v>
      </x:c>
      <x:c r="AL416" s="1">
        <x:v>7050</x:v>
      </x:c>
      <x:c r="AM416" s="1"/>
      <x:c r="AN416" s="1"/>
      <x:c r="AO416" s="1"/>
      <x:c r="AP416" s="1"/>
      <x:c r="AQ416" s="1"/>
      <x:c r="AR416" s="1"/>
    </x:row>
    <x:row r="417">
      <x:c r="A417" s="1"/>
      <x:c r="B417" s="1"/>
      <x:c r="C417" s="1"/>
      <x:c r="D417" s="1"/>
      <x:c r="E417" s="1"/>
      <x:c r="F417" s="1"/>
      <x:c r="G417" s="1"/>
      <x:c r="H417" s="1"/>
      <x:c r="I417" s="1"/>
      <x:c r="J417" s="1"/>
      <x:c r="K417" s="1"/>
      <x:c r="L417" s="1"/>
      <x:c r="M417" s="1"/>
      <x:c r="N417" s="1"/>
      <x:c r="O417" s="1"/>
      <x:c r="P417" s="1"/>
      <x:c r="Q417" s="1"/>
      <x:c r="R417" s="1"/>
      <x:c r="S417" s="1"/>
      <x:c r="T417" s="1"/>
      <x:c r="U417" s="1"/>
      <x:c r="V417" s="1"/>
      <x:c r="W417" s="1"/>
      <x:c r="X417" s="1"/>
      <x:c r="Y417" s="1"/>
      <x:c r="Z417" s="1"/>
      <x:c r="AA417" s="1"/>
      <x:c r="AB417" s="1"/>
      <x:c r="AC417" s="1"/>
      <x:c r="AD417" s="1"/>
      <x:c r="AE417" s="1"/>
      <x:c r="AF417" s="1"/>
      <x:c r="AG417" s="1"/>
      <x:c r="AH417" s="1"/>
      <x:c r="AI417" s="1" t="s">
        <x:v>416</x:v>
      </x:c>
      <x:c r="AJ417" s="1" t="s">
        <x:v>35</x:v>
      </x:c>
      <x:c r="AK417" s="1">
        <x:v>6.11</x:v>
      </x:c>
      <x:c r="AL417" s="1">
        <x:v>87630</x:v>
      </x:c>
      <x:c r="AM417" s="1"/>
      <x:c r="AN417" s="1"/>
      <x:c r="AO417" s="1"/>
      <x:c r="AP417" s="1"/>
      <x:c r="AQ417" s="1"/>
      <x:c r="AR417" s="1"/>
    </x:row>
    <x:row r="418">
      <x:c r="A418" s="1"/>
      <x:c r="B418" s="1"/>
      <x:c r="C418" s="1"/>
      <x:c r="D418" s="1"/>
      <x:c r="E418" s="1"/>
      <x:c r="F418" s="1"/>
      <x:c r="G418" s="1"/>
      <x:c r="H418" s="1"/>
      <x:c r="I418" s="1"/>
      <x:c r="J418" s="1"/>
      <x:c r="K418" s="1"/>
      <x:c r="L418" s="1"/>
      <x:c r="M418" s="1"/>
      <x:c r="N418" s="1"/>
      <x:c r="O418" s="1"/>
      <x:c r="P418" s="1"/>
      <x:c r="Q418" s="1"/>
      <x:c r="R418" s="1"/>
      <x:c r="S418" s="1"/>
      <x:c r="T418" s="1"/>
      <x:c r="U418" s="1"/>
      <x:c r="V418" s="1"/>
      <x:c r="W418" s="1"/>
      <x:c r="X418" s="1"/>
      <x:c r="Y418" s="1"/>
      <x:c r="Z418" s="1"/>
      <x:c r="AA418" s="1"/>
      <x:c r="AB418" s="1"/>
      <x:c r="AC418" s="1"/>
      <x:c r="AD418" s="1"/>
      <x:c r="AE418" s="1"/>
      <x:c r="AF418" s="1"/>
      <x:c r="AG418" s="1"/>
      <x:c r="AH418" s="1"/>
      <x:c r="AI418" s="1" t="s">
        <x:v>417</x:v>
      </x:c>
      <x:c r="AJ418" s="1" t="s">
        <x:v>39</x:v>
      </x:c>
      <x:c r="AK418" s="1">
        <x:v>5.9489999999999998</x:v>
      </x:c>
      <x:c r="AL418" s="1">
        <x:v>79920</x:v>
      </x:c>
      <x:c r="AM418" s="1"/>
      <x:c r="AN418" s="1"/>
      <x:c r="AO418" s="1"/>
      <x:c r="AP418" s="1"/>
      <x:c r="AQ418" s="1"/>
      <x:c r="AR418" s="1"/>
    </x:row>
    <x:row r="419">
      <x:c r="A419" s="1"/>
      <x:c r="B419" s="1"/>
      <x:c r="C419" s="1"/>
      <x:c r="D419" s="1"/>
      <x:c r="E419" s="1"/>
      <x:c r="F419" s="1"/>
      <x:c r="G419" s="1"/>
      <x:c r="H419" s="1"/>
      <x:c r="I419" s="1"/>
      <x:c r="J419" s="1"/>
      <x:c r="K419" s="1"/>
      <x:c r="L419" s="1"/>
      <x:c r="M419" s="1"/>
      <x:c r="N419" s="1"/>
      <x:c r="O419" s="1"/>
      <x:c r="P419" s="1"/>
      <x:c r="Q419" s="1"/>
      <x:c r="R419" s="1"/>
      <x:c r="S419" s="1"/>
      <x:c r="T419" s="1"/>
      <x:c r="U419" s="1"/>
      <x:c r="V419" s="1"/>
      <x:c r="W419" s="1"/>
      <x:c r="X419" s="1"/>
      <x:c r="Y419" s="1"/>
      <x:c r="Z419" s="1"/>
      <x:c r="AA419" s="1"/>
      <x:c r="AB419" s="1"/>
      <x:c r="AC419" s="1"/>
      <x:c r="AD419" s="1"/>
      <x:c r="AE419" s="1"/>
      <x:c r="AF419" s="1"/>
      <x:c r="AG419" s="1"/>
      <x:c r="AH419" s="1"/>
      <x:c r="AI419" s="1" t="s">
        <x:v>418</x:v>
      </x:c>
      <x:c r="AJ419" s="1" t="s">
        <x:v>43</x:v>
      </x:c>
      <x:c r="AK419" s="1">
        <x:v>5.5279999999999996</x:v>
      </x:c>
      <x:c r="AL419" s="1">
        <x:v>9090</x:v>
      </x:c>
      <x:c r="AM419" s="1"/>
      <x:c r="AN419" s="1"/>
      <x:c r="AO419" s="1"/>
      <x:c r="AP419" s="1"/>
      <x:c r="AQ419" s="1"/>
      <x:c r="AR419" s="1"/>
    </x:row>
    <x:row r="420">
      <x:c r="A420" s="1"/>
      <x:c r="B420" s="1"/>
      <x:c r="C420" s="1"/>
      <x:c r="D420" s="1"/>
      <x:c r="E420" s="1"/>
      <x:c r="F420" s="1"/>
      <x:c r="G420" s="1"/>
      <x:c r="H420" s="1"/>
      <x:c r="I420" s="1"/>
      <x:c r="J420" s="1"/>
      <x:c r="K420" s="1"/>
      <x:c r="L420" s="1"/>
      <x:c r="M420" s="1"/>
      <x:c r="N420" s="1"/>
      <x:c r="O420" s="1"/>
      <x:c r="P420" s="1"/>
      <x:c r="Q420" s="1"/>
      <x:c r="R420" s="1"/>
      <x:c r="S420" s="1"/>
      <x:c r="T420" s="1"/>
      <x:c r="U420" s="1"/>
      <x:c r="V420" s="1"/>
      <x:c r="W420" s="1"/>
      <x:c r="X420" s="1"/>
      <x:c r="Y420" s="1"/>
      <x:c r="Z420" s="1"/>
      <x:c r="AA420" s="1"/>
      <x:c r="AB420" s="1"/>
      <x:c r="AC420" s="1"/>
      <x:c r="AD420" s="1"/>
      <x:c r="AE420" s="1"/>
      <x:c r="AF420" s="1"/>
      <x:c r="AG420" s="1"/>
      <x:c r="AH420" s="1"/>
      <x:c r="AI420" s="1" t="s">
        <x:v>419</x:v>
      </x:c>
      <x:c r="AJ420" s="1" t="s">
        <x:v>55</x:v>
      </x:c>
      <x:c r="AK420" s="1">
        <x:v>5.492</x:v>
      </x:c>
      <x:c r="AL420" s="1">
        <x:v>95300</x:v>
      </x:c>
      <x:c r="AM420" s="1"/>
      <x:c r="AN420" s="1"/>
      <x:c r="AO420" s="1"/>
      <x:c r="AP420" s="1"/>
      <x:c r="AQ420" s="1"/>
      <x:c r="AR420" s="1"/>
    </x:row>
    <x:row r="421">
      <x:c r="A421" s="1"/>
      <x:c r="B421" s="1"/>
      <x:c r="C421" s="1"/>
      <x:c r="D421" s="1"/>
      <x:c r="E421" s="1"/>
      <x:c r="F421" s="1"/>
      <x:c r="G421" s="1"/>
      <x:c r="H421" s="1"/>
      <x:c r="I421" s="1"/>
      <x:c r="J421" s="1"/>
      <x:c r="K421" s="1"/>
      <x:c r="L421" s="1"/>
      <x:c r="M421" s="1"/>
      <x:c r="N421" s="1"/>
      <x:c r="O421" s="1"/>
      <x:c r="P421" s="1"/>
      <x:c r="Q421" s="1"/>
      <x:c r="R421" s="1"/>
      <x:c r="S421" s="1"/>
      <x:c r="T421" s="1"/>
      <x:c r="U421" s="1"/>
      <x:c r="V421" s="1"/>
      <x:c r="W421" s="1"/>
      <x:c r="X421" s="1"/>
      <x:c r="Y421" s="1"/>
      <x:c r="Z421" s="1"/>
      <x:c r="AA421" s="1"/>
      <x:c r="AB421" s="1"/>
      <x:c r="AC421" s="1"/>
      <x:c r="AD421" s="1"/>
      <x:c r="AE421" s="1"/>
      <x:c r="AF421" s="1"/>
      <x:c r="AG421" s="1"/>
      <x:c r="AH421" s="1"/>
      <x:c r="AI421" s="1" t="s">
        <x:v>560</x:v>
      </x:c>
      <x:c r="AJ421" s="1" t="s">
        <x:v>75</x:v>
      </x:c>
      <x:c r="AK421" s="1">
        <x:v>5.3710000000000004</x:v>
      </x:c>
      <x:c r="AL421" s="1">
        <x:v>3780</x:v>
      </x:c>
      <x:c r="AM421" s="1"/>
      <x:c r="AN421" s="1"/>
      <x:c r="AO421" s="1"/>
      <x:c r="AP421" s="1"/>
      <x:c r="AQ421" s="1"/>
      <x:c r="AR421" s="1"/>
    </x:row>
    <x:row r="422">
      <x:c r="A422" s="1"/>
      <x:c r="B422" s="1"/>
      <x:c r="C422" s="1"/>
      <x:c r="D422" s="1"/>
      <x:c r="E422" s="1"/>
      <x:c r="F422" s="1"/>
      <x:c r="G422" s="1"/>
      <x:c r="H422" s="1"/>
      <x:c r="I422" s="1"/>
      <x:c r="J422" s="1"/>
      <x:c r="K422" s="1"/>
      <x:c r="L422" s="1"/>
      <x:c r="M422" s="1"/>
      <x:c r="N422" s="1"/>
      <x:c r="O422" s="1"/>
      <x:c r="P422" s="1"/>
      <x:c r="Q422" s="1"/>
      <x:c r="R422" s="1"/>
      <x:c r="S422" s="1"/>
      <x:c r="T422" s="1"/>
      <x:c r="U422" s="1"/>
      <x:c r="V422" s="1"/>
      <x:c r="W422" s="1"/>
      <x:c r="X422" s="1"/>
      <x:c r="Y422" s="1"/>
      <x:c r="Z422" s="1"/>
      <x:c r="AA422" s="1"/>
      <x:c r="AB422" s="1"/>
      <x:c r="AC422" s="1"/>
      <x:c r="AD422" s="1"/>
      <x:c r="AE422" s="1"/>
      <x:c r="AF422" s="1"/>
      <x:c r="AG422" s="1"/>
      <x:c r="AH422" s="1"/>
      <x:c r="AI422" s="1" t="s">
        <x:v>561</x:v>
      </x:c>
      <x:c r="AJ422" s="1" t="s">
        <x:v>47</x:v>
      </x:c>
      <x:c r="AK422" s="1">
        <x:v>5.2460000000000004</x:v>
      </x:c>
      <x:c r="AL422" s="1">
        <x:v>148410</x:v>
      </x:c>
      <x:c r="AM422" s="1"/>
      <x:c r="AN422" s="1"/>
      <x:c r="AO422" s="1"/>
      <x:c r="AP422" s="1"/>
      <x:c r="AQ422" s="1"/>
      <x:c r="AR422" s="1"/>
    </x:row>
    <x:row r="423">
      <x:c r="A423" s="1"/>
      <x:c r="B423" s="1"/>
      <x:c r="C423" s="1"/>
      <x:c r="D423" s="1"/>
      <x:c r="E423" s="1"/>
      <x:c r="F423" s="1"/>
      <x:c r="G423" s="1"/>
      <x:c r="H423" s="1"/>
      <x:c r="I423" s="1"/>
      <x:c r="J423" s="1"/>
      <x:c r="K423" s="1"/>
      <x:c r="L423" s="1"/>
      <x:c r="M423" s="1"/>
      <x:c r="N423" s="1"/>
      <x:c r="O423" s="1"/>
      <x:c r="P423" s="1"/>
      <x:c r="Q423" s="1"/>
      <x:c r="R423" s="1"/>
      <x:c r="S423" s="1"/>
      <x:c r="T423" s="1"/>
      <x:c r="U423" s="1"/>
      <x:c r="V423" s="1"/>
      <x:c r="W423" s="1"/>
      <x:c r="X423" s="1"/>
      <x:c r="Y423" s="1"/>
      <x:c r="Z423" s="1"/>
      <x:c r="AA423" s="1"/>
      <x:c r="AB423" s="1"/>
      <x:c r="AC423" s="1"/>
      <x:c r="AD423" s="1"/>
      <x:c r="AE423" s="1"/>
      <x:c r="AF423" s="1"/>
      <x:c r="AG423" s="1"/>
      <x:c r="AH423" s="1"/>
      <x:c r="AI423" s="1" t="s">
        <x:v>562</x:v>
      </x:c>
      <x:c r="AJ423" s="1" t="s">
        <x:v>51</x:v>
      </x:c>
      <x:c r="AK423" s="1">
        <x:v>5.1980000000000004</x:v>
      </x:c>
      <x:c r="AL423" s="1">
        <x:v>167030</x:v>
      </x:c>
      <x:c r="AM423" s="1"/>
      <x:c r="AN423" s="1"/>
      <x:c r="AO423" s="1"/>
      <x:c r="AP423" s="1"/>
      <x:c r="AQ423" s="1"/>
      <x:c r="AR423" s="1"/>
    </x:row>
    <x:row r="424">
      <x:c r="A424" s="1"/>
      <x:c r="B424" s="1"/>
      <x:c r="C424" s="1"/>
      <x:c r="D424" s="1"/>
      <x:c r="E424" s="1"/>
      <x:c r="F424" s="1"/>
      <x:c r="G424" s="1"/>
      <x:c r="H424" s="1"/>
      <x:c r="I424" s="1"/>
      <x:c r="J424" s="1"/>
      <x:c r="K424" s="1"/>
      <x:c r="L424" s="1"/>
      <x:c r="M424" s="1"/>
      <x:c r="N424" s="1"/>
      <x:c r="O424" s="1"/>
      <x:c r="P424" s="1"/>
      <x:c r="Q424" s="1"/>
      <x:c r="R424" s="1"/>
      <x:c r="S424" s="1"/>
      <x:c r="T424" s="1"/>
      <x:c r="U424" s="1"/>
      <x:c r="V424" s="1"/>
      <x:c r="W424" s="1"/>
      <x:c r="X424" s="1"/>
      <x:c r="Y424" s="1"/>
      <x:c r="Z424" s="1"/>
      <x:c r="AA424" s="1"/>
      <x:c r="AB424" s="1"/>
      <x:c r="AC424" s="1"/>
      <x:c r="AD424" s="1"/>
      <x:c r="AE424" s="1"/>
      <x:c r="AF424" s="1"/>
      <x:c r="AG424" s="1"/>
      <x:c r="AH424" s="1"/>
      <x:c r="AI424" s="1" t="s">
        <x:v>563</x:v>
      </x:c>
      <x:c r="AJ424" s="1" t="s">
        <x:v>59</x:v>
      </x:c>
      <x:c r="AK424" s="1">
        <x:v>5.032</x:v>
      </x:c>
      <x:c r="AL424" s="1">
        <x:v>160480</x:v>
      </x:c>
      <x:c r="AM424" s="1"/>
      <x:c r="AN424" s="1"/>
      <x:c r="AO424" s="1"/>
      <x:c r="AP424" s="1"/>
      <x:c r="AQ424" s="1"/>
      <x:c r="AR424" s="1"/>
    </x:row>
    <x:row r="425">
      <x:c r="A425" s="1"/>
      <x:c r="B425" s="1"/>
      <x:c r="C425" s="1"/>
      <x:c r="D425" s="1"/>
      <x:c r="E425" s="1"/>
      <x:c r="F425" s="1"/>
      <x:c r="G425" s="1"/>
      <x:c r="H425" s="1"/>
      <x:c r="I425" s="1"/>
      <x:c r="J425" s="1"/>
      <x:c r="K425" s="1"/>
      <x:c r="L425" s="1"/>
      <x:c r="M425" s="1"/>
      <x:c r="N425" s="1"/>
      <x:c r="O425" s="1"/>
      <x:c r="P425" s="1"/>
      <x:c r="Q425" s="1"/>
      <x:c r="R425" s="1"/>
      <x:c r="S425" s="1"/>
      <x:c r="T425" s="1"/>
      <x:c r="U425" s="1"/>
      <x:c r="V425" s="1"/>
      <x:c r="W425" s="1"/>
      <x:c r="X425" s="1"/>
      <x:c r="Y425" s="1"/>
      <x:c r="Z425" s="1"/>
      <x:c r="AA425" s="1"/>
      <x:c r="AB425" s="1"/>
      <x:c r="AC425" s="1"/>
      <x:c r="AD425" s="1"/>
      <x:c r="AE425" s="1"/>
      <x:c r="AF425" s="1"/>
      <x:c r="AG425" s="1"/>
      <x:c r="AH425" s="1"/>
      <x:c r="AI425" s="1" t="s">
        <x:v>564</x:v>
      </x:c>
      <x:c r="AJ425" s="1" t="s">
        <x:v>63</x:v>
      </x:c>
      <x:c r="AK425" s="1">
        <x:v>4.9349999999999996</x:v>
      </x:c>
      <x:c r="AL425" s="1">
        <x:v>208200</x:v>
      </x:c>
      <x:c r="AM425" s="1"/>
      <x:c r="AN425" s="1"/>
      <x:c r="AO425" s="1"/>
      <x:c r="AP425" s="1"/>
      <x:c r="AQ425" s="1"/>
      <x:c r="AR425" s="1"/>
    </x:row>
    <x:row r="426">
      <x:c r="A426" s="1"/>
      <x:c r="B426" s="1"/>
      <x:c r="C426" s="1"/>
      <x:c r="D426" s="1"/>
      <x:c r="E426" s="1"/>
      <x:c r="F426" s="1"/>
      <x:c r="G426" s="1"/>
      <x:c r="H426" s="1"/>
      <x:c r="I426" s="1"/>
      <x:c r="J426" s="1"/>
      <x:c r="K426" s="1"/>
      <x:c r="L426" s="1"/>
      <x:c r="M426" s="1"/>
      <x:c r="N426" s="1"/>
      <x:c r="O426" s="1"/>
      <x:c r="P426" s="1"/>
      <x:c r="Q426" s="1"/>
      <x:c r="R426" s="1"/>
      <x:c r="S426" s="1"/>
      <x:c r="T426" s="1"/>
      <x:c r="U426" s="1"/>
      <x:c r="V426" s="1"/>
      <x:c r="W426" s="1"/>
      <x:c r="X426" s="1"/>
      <x:c r="Y426" s="1"/>
      <x:c r="Z426" s="1"/>
      <x:c r="AA426" s="1"/>
      <x:c r="AB426" s="1"/>
      <x:c r="AC426" s="1"/>
      <x:c r="AD426" s="1"/>
      <x:c r="AE426" s="1"/>
      <x:c r="AF426" s="1"/>
      <x:c r="AG426" s="1"/>
      <x:c r="AH426" s="1"/>
      <x:c r="AI426" s="1" t="s">
        <x:v>565</x:v>
      </x:c>
      <x:c r="AJ426" s="1" t="s">
        <x:v>71</x:v>
      </x:c>
      <x:c r="AK426" s="1">
        <x:v>4.8280000000000003</x:v>
      </x:c>
      <x:c r="AL426" s="1">
        <x:v>311360</x:v>
      </x:c>
      <x:c r="AM426" s="1"/>
      <x:c r="AN426" s="1"/>
      <x:c r="AO426" s="1"/>
      <x:c r="AP426" s="1"/>
      <x:c r="AQ426" s="1"/>
      <x:c r="AR426" s="1"/>
    </x:row>
    <x:row r="427">
      <x:c r="A427" s="1"/>
      <x:c r="B427" s="1"/>
      <x:c r="C427" s="1"/>
      <x:c r="D427" s="1"/>
      <x:c r="E427" s="1"/>
      <x:c r="F427" s="1"/>
      <x:c r="G427" s="1"/>
      <x:c r="H427" s="1"/>
      <x:c r="I427" s="1"/>
      <x:c r="J427" s="1"/>
      <x:c r="K427" s="1"/>
      <x:c r="L427" s="1"/>
      <x:c r="M427" s="1"/>
      <x:c r="N427" s="1"/>
      <x:c r="O427" s="1"/>
      <x:c r="P427" s="1"/>
      <x:c r="Q427" s="1"/>
      <x:c r="R427" s="1"/>
      <x:c r="S427" s="1"/>
      <x:c r="T427" s="1"/>
      <x:c r="U427" s="1"/>
      <x:c r="V427" s="1"/>
      <x:c r="W427" s="1"/>
      <x:c r="X427" s="1"/>
      <x:c r="Y427" s="1"/>
      <x:c r="Z427" s="1"/>
      <x:c r="AA427" s="1"/>
      <x:c r="AB427" s="1"/>
      <x:c r="AC427" s="1"/>
      <x:c r="AD427" s="1"/>
      <x:c r="AE427" s="1"/>
      <x:c r="AF427" s="1"/>
      <x:c r="AG427" s="1"/>
      <x:c r="AH427" s="1"/>
      <x:c r="AI427" s="1" t="s">
        <x:v>566</x:v>
      </x:c>
      <x:c r="AJ427" s="1" t="s">
        <x:v>79</x:v>
      </x:c>
      <x:c r="AK427" s="1">
        <x:v>4.3940000000000001</x:v>
      </x:c>
      <x:c r="AL427" s="1">
        <x:v>89020</x:v>
      </x:c>
      <x:c r="AM427" s="1"/>
      <x:c r="AN427" s="1"/>
      <x:c r="AO427" s="1"/>
      <x:c r="AP427" s="1"/>
      <x:c r="AQ427" s="1"/>
      <x:c r="AR427" s="1"/>
    </x:row>
    <x:row r="428">
      <x:c r="A428" s="1"/>
      <x:c r="B428" s="1"/>
      <x:c r="C428" s="1"/>
      <x:c r="D428" s="1"/>
      <x:c r="E428" s="1"/>
      <x:c r="F428" s="1"/>
      <x:c r="G428" s="1"/>
      <x:c r="H428" s="1"/>
      <x:c r="I428" s="1"/>
      <x:c r="J428" s="1"/>
      <x:c r="K428" s="1"/>
      <x:c r="L428" s="1"/>
      <x:c r="M428" s="1"/>
      <x:c r="N428" s="1"/>
      <x:c r="O428" s="1"/>
      <x:c r="P428" s="1"/>
      <x:c r="Q428" s="1"/>
      <x:c r="R428" s="1"/>
      <x:c r="S428" s="1"/>
      <x:c r="T428" s="1"/>
      <x:c r="U428" s="1"/>
      <x:c r="V428" s="1"/>
      <x:c r="W428" s="1"/>
      <x:c r="X428" s="1"/>
      <x:c r="Y428" s="1"/>
      <x:c r="Z428" s="1"/>
      <x:c r="AA428" s="1"/>
      <x:c r="AB428" s="1"/>
      <x:c r="AC428" s="1"/>
      <x:c r="AD428" s="1"/>
      <x:c r="AE428" s="1"/>
      <x:c r="AF428" s="1"/>
      <x:c r="AG428" s="1"/>
      <x:c r="AH428" s="1"/>
      <x:c r="AI428" s="1" t="s">
        <x:v>567</x:v>
      </x:c>
      <x:c r="AJ428" s="1" t="s">
        <x:v>83</x:v>
      </x:c>
      <x:c r="AK428" s="1">
        <x:v>3.81</x:v>
      </x:c>
      <x:c r="AL428" s="1">
        <x:v>68290</x:v>
      </x:c>
      <x:c r="AM428" s="1"/>
      <x:c r="AN428" s="1"/>
      <x:c r="AO428" s="1"/>
      <x:c r="AP428" s="1"/>
      <x:c r="AQ428" s="1"/>
      <x:c r="AR428" s="1"/>
    </x:row>
    <x:row r="429">
      <x:c r="A429" s="1"/>
      <x:c r="B429" s="1"/>
      <x:c r="C429" s="1"/>
      <x:c r="D429" s="1"/>
      <x:c r="E429" s="1"/>
      <x:c r="F429" s="1"/>
      <x:c r="G429" s="1"/>
      <x:c r="H429" s="1"/>
      <x:c r="I429" s="1"/>
      <x:c r="J429" s="1"/>
      <x:c r="K429" s="1"/>
      <x:c r="L429" s="1"/>
      <x:c r="M429" s="1"/>
      <x:c r="N429" s="1"/>
      <x:c r="O429" s="1"/>
      <x:c r="P429" s="1"/>
      <x:c r="Q429" s="1"/>
      <x:c r="R429" s="1"/>
      <x:c r="S429" s="1"/>
      <x:c r="T429" s="1"/>
      <x:c r="U429" s="1"/>
      <x:c r="V429" s="1"/>
      <x:c r="W429" s="1"/>
      <x:c r="X429" s="1"/>
      <x:c r="Y429" s="1"/>
      <x:c r="Z429" s="1"/>
      <x:c r="AA429" s="1"/>
      <x:c r="AB429" s="1"/>
      <x:c r="AC429" s="1"/>
      <x:c r="AD429" s="1"/>
      <x:c r="AE429" s="1"/>
      <x:c r="AF429" s="1"/>
      <x:c r="AG429" s="1"/>
      <x:c r="AH429" s="1"/>
      <x:c r="AI429" s="1" t="s">
        <x:v>420</x:v>
      </x:c>
      <x:c r="AJ429" s="1" t="s">
        <x:v>10</x:v>
      </x:c>
      <x:c r="AK429" s="1">
        <x:v>11.654999999999999</x:v>
      </x:c>
      <x:c r="AL429" s="1">
        <x:v>45110</x:v>
      </x:c>
      <x:c r="AM429" s="1"/>
      <x:c r="AN429" s="1"/>
      <x:c r="AO429" s="1"/>
      <x:c r="AP429" s="1"/>
      <x:c r="AQ429" s="1"/>
      <x:c r="AR429" s="1"/>
    </x:row>
    <x:row r="430">
      <x:c r="A430" s="1"/>
      <x:c r="B430" s="1"/>
      <x:c r="C430" s="1"/>
      <x:c r="D430" s="1"/>
      <x:c r="E430" s="1"/>
      <x:c r="F430" s="1"/>
      <x:c r="G430" s="1"/>
      <x:c r="H430" s="1"/>
      <x:c r="I430" s="1"/>
      <x:c r="J430" s="1"/>
      <x:c r="K430" s="1"/>
      <x:c r="L430" s="1"/>
      <x:c r="M430" s="1"/>
      <x:c r="N430" s="1"/>
      <x:c r="O430" s="1"/>
      <x:c r="P430" s="1"/>
      <x:c r="Q430" s="1"/>
      <x:c r="R430" s="1"/>
      <x:c r="S430" s="1"/>
      <x:c r="T430" s="1"/>
      <x:c r="U430" s="1"/>
      <x:c r="V430" s="1"/>
      <x:c r="W430" s="1"/>
      <x:c r="X430" s="1"/>
      <x:c r="Y430" s="1"/>
      <x:c r="Z430" s="1"/>
      <x:c r="AA430" s="1"/>
      <x:c r="AB430" s="1"/>
      <x:c r="AC430" s="1"/>
      <x:c r="AD430" s="1"/>
      <x:c r="AE430" s="1"/>
      <x:c r="AF430" s="1"/>
      <x:c r="AG430" s="1"/>
      <x:c r="AH430" s="1"/>
      <x:c r="AI430" s="1" t="s">
        <x:v>421</x:v>
      </x:c>
      <x:c r="AJ430" s="1" t="s">
        <x:v>14</x:v>
      </x:c>
      <x:c r="AK430" s="1">
        <x:v>10.954000000000001</x:v>
      </x:c>
      <x:c r="AL430" s="1">
        <x:v>39440</x:v>
      </x:c>
      <x:c r="AM430" s="1"/>
      <x:c r="AN430" s="1"/>
      <x:c r="AO430" s="1"/>
      <x:c r="AP430" s="1"/>
      <x:c r="AQ430" s="1"/>
      <x:c r="AR430" s="1"/>
    </x:row>
    <x:row r="431">
      <x:c r="A431" s="1"/>
      <x:c r="B431" s="1"/>
      <x:c r="C431" s="1"/>
      <x:c r="D431" s="1"/>
      <x:c r="E431" s="1"/>
      <x:c r="F431" s="1"/>
      <x:c r="G431" s="1"/>
      <x:c r="H431" s="1"/>
      <x:c r="I431" s="1"/>
      <x:c r="J431" s="1"/>
      <x:c r="K431" s="1"/>
      <x:c r="L431" s="1"/>
      <x:c r="M431" s="1"/>
      <x:c r="N431" s="1"/>
      <x:c r="O431" s="1"/>
      <x:c r="P431" s="1"/>
      <x:c r="Q431" s="1"/>
      <x:c r="R431" s="1"/>
      <x:c r="S431" s="1"/>
      <x:c r="T431" s="1"/>
      <x:c r="U431" s="1"/>
      <x:c r="V431" s="1"/>
      <x:c r="W431" s="1"/>
      <x:c r="X431" s="1"/>
      <x:c r="Y431" s="1"/>
      <x:c r="Z431" s="1"/>
      <x:c r="AA431" s="1"/>
      <x:c r="AB431" s="1"/>
      <x:c r="AC431" s="1"/>
      <x:c r="AD431" s="1"/>
      <x:c r="AE431" s="1"/>
      <x:c r="AF431" s="1"/>
      <x:c r="AG431" s="1"/>
      <x:c r="AH431" s="1"/>
      <x:c r="AI431" s="1" t="s">
        <x:v>422</x:v>
      </x:c>
      <x:c r="AJ431" s="1" t="s">
        <x:v>20</x:v>
      </x:c>
      <x:c r="AK431" s="1">
        <x:v>9.2959999999999994</x:v>
      </x:c>
      <x:c r="AL431" s="1">
        <x:v>87090</x:v>
      </x:c>
      <x:c r="AM431" s="1"/>
      <x:c r="AN431" s="1"/>
      <x:c r="AO431" s="1"/>
      <x:c r="AP431" s="1"/>
      <x:c r="AQ431" s="1"/>
      <x:c r="AR431" s="1"/>
    </x:row>
    <x:row r="432">
      <x:c r="A432" s="1"/>
      <x:c r="B432" s="1"/>
      <x:c r="C432" s="1"/>
      <x:c r="D432" s="1"/>
      <x:c r="E432" s="1"/>
      <x:c r="F432" s="1"/>
      <x:c r="G432" s="1"/>
      <x:c r="H432" s="1"/>
      <x:c r="I432" s="1"/>
      <x:c r="J432" s="1"/>
      <x:c r="K432" s="1"/>
      <x:c r="L432" s="1"/>
      <x:c r="M432" s="1"/>
      <x:c r="N432" s="1"/>
      <x:c r="O432" s="1"/>
      <x:c r="P432" s="1"/>
      <x:c r="Q432" s="1"/>
      <x:c r="R432" s="1"/>
      <x:c r="S432" s="1"/>
      <x:c r="T432" s="1"/>
      <x:c r="U432" s="1"/>
      <x:c r="V432" s="1"/>
      <x:c r="W432" s="1"/>
      <x:c r="X432" s="1"/>
      <x:c r="Y432" s="1"/>
      <x:c r="Z432" s="1"/>
      <x:c r="AA432" s="1"/>
      <x:c r="AB432" s="1"/>
      <x:c r="AC432" s="1"/>
      <x:c r="AD432" s="1"/>
      <x:c r="AE432" s="1"/>
      <x:c r="AF432" s="1"/>
      <x:c r="AG432" s="1"/>
      <x:c r="AH432" s="1"/>
      <x:c r="AI432" s="1" t="s">
        <x:v>423</x:v>
      </x:c>
      <x:c r="AJ432" s="1" t="s">
        <x:v>27</x:v>
      </x:c>
      <x:c r="AK432" s="1">
        <x:v>7.6210000000000004</x:v>
      </x:c>
      <x:c r="AL432" s="1">
        <x:v>398940</x:v>
      </x:c>
      <x:c r="AM432" s="1"/>
      <x:c r="AN432" s="1"/>
      <x:c r="AO432" s="1"/>
      <x:c r="AP432" s="1"/>
      <x:c r="AQ432" s="1"/>
      <x:c r="AR432" s="1"/>
    </x:row>
    <x:row r="433">
      <x:c r="A433" s="1"/>
      <x:c r="B433" s="1"/>
      <x:c r="C433" s="1"/>
      <x:c r="D433" s="1"/>
      <x:c r="E433" s="1"/>
      <x:c r="F433" s="1"/>
      <x:c r="G433" s="1"/>
      <x:c r="H433" s="1"/>
      <x:c r="I433" s="1"/>
      <x:c r="J433" s="1"/>
      <x:c r="K433" s="1"/>
      <x:c r="L433" s="1"/>
      <x:c r="M433" s="1"/>
      <x:c r="N433" s="1"/>
      <x:c r="O433" s="1"/>
      <x:c r="P433" s="1"/>
      <x:c r="Q433" s="1"/>
      <x:c r="R433" s="1"/>
      <x:c r="S433" s="1"/>
      <x:c r="T433" s="1"/>
      <x:c r="U433" s="1"/>
      <x:c r="V433" s="1"/>
      <x:c r="W433" s="1"/>
      <x:c r="X433" s="1"/>
      <x:c r="Y433" s="1"/>
      <x:c r="Z433" s="1"/>
      <x:c r="AA433" s="1"/>
      <x:c r="AB433" s="1"/>
      <x:c r="AC433" s="1"/>
      <x:c r="AD433" s="1"/>
      <x:c r="AE433" s="1"/>
      <x:c r="AF433" s="1"/>
      <x:c r="AG433" s="1"/>
      <x:c r="AH433" s="1"/>
      <x:c r="AI433" s="1" t="s">
        <x:v>424</x:v>
      </x:c>
      <x:c r="AJ433" s="1" t="s">
        <x:v>31</x:v>
      </x:c>
      <x:c r="AK433" s="1">
        <x:v>7.5309999999999997</x:v>
      </x:c>
      <x:c r="AL433" s="1">
        <x:v>440930</x:v>
      </x:c>
      <x:c r="AM433" s="1"/>
      <x:c r="AN433" s="1"/>
      <x:c r="AO433" s="1"/>
      <x:c r="AP433" s="1"/>
      <x:c r="AQ433" s="1"/>
      <x:c r="AR433" s="1"/>
    </x:row>
    <x:row r="434">
      <x:c r="A434" s="1"/>
      <x:c r="B434" s="1"/>
      <x:c r="C434" s="1"/>
      <x:c r="D434" s="1"/>
      <x:c r="E434" s="1"/>
      <x:c r="F434" s="1"/>
      <x:c r="G434" s="1"/>
      <x:c r="H434" s="1"/>
      <x:c r="I434" s="1"/>
      <x:c r="J434" s="1"/>
      <x:c r="K434" s="1"/>
      <x:c r="L434" s="1"/>
      <x:c r="M434" s="1"/>
      <x:c r="N434" s="1"/>
      <x:c r="O434" s="1"/>
      <x:c r="P434" s="1"/>
      <x:c r="Q434" s="1"/>
      <x:c r="R434" s="1"/>
      <x:c r="S434" s="1"/>
      <x:c r="T434" s="1"/>
      <x:c r="U434" s="1"/>
      <x:c r="V434" s="1"/>
      <x:c r="W434" s="1"/>
      <x:c r="X434" s="1"/>
      <x:c r="Y434" s="1"/>
      <x:c r="Z434" s="1"/>
      <x:c r="AA434" s="1"/>
      <x:c r="AB434" s="1"/>
      <x:c r="AC434" s="1"/>
      <x:c r="AD434" s="1"/>
      <x:c r="AE434" s="1"/>
      <x:c r="AF434" s="1"/>
      <x:c r="AG434" s="1"/>
      <x:c r="AH434" s="1"/>
      <x:c r="AI434" s="1" t="s">
        <x:v>426</x:v>
      </x:c>
      <x:c r="AJ434" s="1" t="s">
        <x:v>35</x:v>
      </x:c>
      <x:c r="AK434" s="1">
        <x:v>7.3179999999999996</x:v>
      </x:c>
      <x:c r="AL434" s="1">
        <x:v>199800</x:v>
      </x:c>
      <x:c r="AM434" s="1"/>
      <x:c r="AN434" s="1"/>
      <x:c r="AO434" s="1"/>
      <x:c r="AP434" s="1"/>
      <x:c r="AQ434" s="1"/>
      <x:c r="AR434" s="1"/>
    </x:row>
    <x:row r="435">
      <x:c r="A435" s="1"/>
      <x:c r="B435" s="1"/>
      <x:c r="C435" s="1"/>
      <x:c r="D435" s="1"/>
      <x:c r="E435" s="1"/>
      <x:c r="F435" s="1"/>
      <x:c r="G435" s="1"/>
      <x:c r="H435" s="1"/>
      <x:c r="I435" s="1"/>
      <x:c r="J435" s="1"/>
      <x:c r="K435" s="1"/>
      <x:c r="L435" s="1"/>
      <x:c r="M435" s="1"/>
      <x:c r="N435" s="1"/>
      <x:c r="O435" s="1"/>
      <x:c r="P435" s="1"/>
      <x:c r="Q435" s="1"/>
      <x:c r="R435" s="1"/>
      <x:c r="S435" s="1"/>
      <x:c r="T435" s="1"/>
      <x:c r="U435" s="1"/>
      <x:c r="V435" s="1"/>
      <x:c r="W435" s="1"/>
      <x:c r="X435" s="1"/>
      <x:c r="Y435" s="1"/>
      <x:c r="Z435" s="1"/>
      <x:c r="AA435" s="1"/>
      <x:c r="AB435" s="1"/>
      <x:c r="AC435" s="1"/>
      <x:c r="AD435" s="1"/>
      <x:c r="AE435" s="1"/>
      <x:c r="AF435" s="1"/>
      <x:c r="AG435" s="1"/>
      <x:c r="AH435" s="1"/>
      <x:c r="AI435" s="1" t="s">
        <x:v>428</x:v>
      </x:c>
      <x:c r="AJ435" s="1" t="s">
        <x:v>39</x:v>
      </x:c>
      <x:c r="AK435" s="1">
        <x:v>7.1980000000000004</x:v>
      </x:c>
      <x:c r="AL435" s="1">
        <x:v>182600</x:v>
      </x:c>
      <x:c r="AM435" s="1"/>
      <x:c r="AN435" s="1"/>
      <x:c r="AO435" s="1"/>
      <x:c r="AP435" s="1"/>
      <x:c r="AQ435" s="1"/>
      <x:c r="AR435" s="1"/>
    </x:row>
    <x:row r="436">
      <x:c r="A436" s="1"/>
      <x:c r="B436" s="1"/>
      <x:c r="C436" s="1"/>
      <x:c r="D436" s="1"/>
      <x:c r="E436" s="1"/>
      <x:c r="F436" s="1"/>
      <x:c r="G436" s="1"/>
      <x:c r="H436" s="1"/>
      <x:c r="I436" s="1"/>
      <x:c r="J436" s="1"/>
      <x:c r="K436" s="1"/>
      <x:c r="L436" s="1"/>
      <x:c r="M436" s="1"/>
      <x:c r="N436" s="1"/>
      <x:c r="O436" s="1"/>
      <x:c r="P436" s="1"/>
      <x:c r="Q436" s="1"/>
      <x:c r="R436" s="1"/>
      <x:c r="S436" s="1"/>
      <x:c r="T436" s="1"/>
      <x:c r="U436" s="1"/>
      <x:c r="V436" s="1"/>
      <x:c r="W436" s="1"/>
      <x:c r="X436" s="1"/>
      <x:c r="Y436" s="1"/>
      <x:c r="Z436" s="1"/>
      <x:c r="AA436" s="1"/>
      <x:c r="AB436" s="1"/>
      <x:c r="AC436" s="1"/>
      <x:c r="AD436" s="1"/>
      <x:c r="AE436" s="1"/>
      <x:c r="AF436" s="1"/>
      <x:c r="AG436" s="1"/>
      <x:c r="AH436" s="1"/>
      <x:c r="AI436" s="1" t="s">
        <x:v>430</x:v>
      </x:c>
      <x:c r="AJ436" s="1" t="s">
        <x:v>43</x:v>
      </x:c>
      <x:c r="AK436" s="1">
        <x:v>6.9189999999999996</x:v>
      </x:c>
      <x:c r="AL436" s="1">
        <x:v>21700</x:v>
      </x:c>
      <x:c r="AM436" s="1"/>
      <x:c r="AN436" s="1"/>
      <x:c r="AO436" s="1"/>
      <x:c r="AP436" s="1"/>
      <x:c r="AQ436" s="1"/>
      <x:c r="AR436" s="1"/>
    </x:row>
    <x:row r="437">
      <x:c r="A437" s="1"/>
      <x:c r="B437" s="1"/>
      <x:c r="C437" s="1"/>
      <x:c r="D437" s="1"/>
      <x:c r="E437" s="1"/>
      <x:c r="F437" s="1"/>
      <x:c r="G437" s="1"/>
      <x:c r="H437" s="1"/>
      <x:c r="I437" s="1"/>
      <x:c r="J437" s="1"/>
      <x:c r="K437" s="1"/>
      <x:c r="L437" s="1"/>
      <x:c r="M437" s="1"/>
      <x:c r="N437" s="1"/>
      <x:c r="O437" s="1"/>
      <x:c r="P437" s="1"/>
      <x:c r="Q437" s="1"/>
      <x:c r="R437" s="1"/>
      <x:c r="S437" s="1"/>
      <x:c r="T437" s="1"/>
      <x:c r="U437" s="1"/>
      <x:c r="V437" s="1"/>
      <x:c r="W437" s="1"/>
      <x:c r="X437" s="1"/>
      <x:c r="Y437" s="1"/>
      <x:c r="Z437" s="1"/>
      <x:c r="AA437" s="1"/>
      <x:c r="AB437" s="1"/>
      <x:c r="AC437" s="1"/>
      <x:c r="AD437" s="1"/>
      <x:c r="AE437" s="1"/>
      <x:c r="AF437" s="1"/>
      <x:c r="AG437" s="1"/>
      <x:c r="AH437" s="1"/>
      <x:c r="AI437" s="1" t="s">
        <x:v>432</x:v>
      </x:c>
      <x:c r="AJ437" s="1" t="s">
        <x:v>55</x:v>
      </x:c>
      <x:c r="AK437" s="1">
        <x:v>6.6589999999999998</x:v>
      </x:c>
      <x:c r="AL437" s="1">
        <x:v>218980</x:v>
      </x:c>
      <x:c r="AM437" s="1"/>
      <x:c r="AN437" s="1"/>
      <x:c r="AO437" s="1"/>
      <x:c r="AP437" s="1"/>
      <x:c r="AQ437" s="1"/>
      <x:c r="AR437" s="1"/>
    </x:row>
    <x:row r="438">
      <x:c r="A438" s="1"/>
      <x:c r="B438" s="1"/>
      <x:c r="C438" s="1"/>
      <x:c r="D438" s="1"/>
      <x:c r="E438" s="1"/>
      <x:c r="F438" s="1"/>
      <x:c r="G438" s="1"/>
      <x:c r="H438" s="1"/>
      <x:c r="I438" s="1"/>
      <x:c r="J438" s="1"/>
      <x:c r="K438" s="1"/>
      <x:c r="L438" s="1"/>
      <x:c r="M438" s="1"/>
      <x:c r="N438" s="1"/>
      <x:c r="O438" s="1"/>
      <x:c r="P438" s="1"/>
      <x:c r="Q438" s="1"/>
      <x:c r="R438" s="1"/>
      <x:c r="S438" s="1"/>
      <x:c r="T438" s="1"/>
      <x:c r="U438" s="1"/>
      <x:c r="V438" s="1"/>
      <x:c r="W438" s="1"/>
      <x:c r="X438" s="1"/>
      <x:c r="Y438" s="1"/>
      <x:c r="Z438" s="1"/>
      <x:c r="AA438" s="1"/>
      <x:c r="AB438" s="1"/>
      <x:c r="AC438" s="1"/>
      <x:c r="AD438" s="1"/>
      <x:c r="AE438" s="1"/>
      <x:c r="AF438" s="1"/>
      <x:c r="AG438" s="1"/>
      <x:c r="AH438" s="1"/>
      <x:c r="AI438" s="1" t="s">
        <x:v>434</x:v>
      </x:c>
      <x:c r="AJ438" s="1" t="s">
        <x:v>67</x:v>
      </x:c>
      <x:c r="AK438" s="1">
        <x:v>6.4459999999999997</x:v>
      </x:c>
      <x:c r="AL438" s="1">
        <x:v>13110</x:v>
      </x:c>
      <x:c r="AM438" s="1"/>
      <x:c r="AN438" s="1"/>
      <x:c r="AO438" s="1"/>
      <x:c r="AP438" s="1"/>
      <x:c r="AQ438" s="1"/>
      <x:c r="AR438" s="1"/>
    </x:row>
    <x:row r="439">
      <x:c r="A439" s="1"/>
      <x:c r="B439" s="1"/>
      <x:c r="C439" s="1"/>
      <x:c r="D439" s="1"/>
      <x:c r="E439" s="1"/>
      <x:c r="F439" s="1"/>
      <x:c r="G439" s="1"/>
      <x:c r="H439" s="1"/>
      <x:c r="I439" s="1"/>
      <x:c r="J439" s="1"/>
      <x:c r="K439" s="1"/>
      <x:c r="L439" s="1"/>
      <x:c r="M439" s="1"/>
      <x:c r="N439" s="1"/>
      <x:c r="O439" s="1"/>
      <x:c r="P439" s="1"/>
      <x:c r="Q439" s="1"/>
      <x:c r="R439" s="1"/>
      <x:c r="S439" s="1"/>
      <x:c r="T439" s="1"/>
      <x:c r="U439" s="1"/>
      <x:c r="V439" s="1"/>
      <x:c r="W439" s="1"/>
      <x:c r="X439" s="1"/>
      <x:c r="Y439" s="1"/>
      <x:c r="Z439" s="1"/>
      <x:c r="AA439" s="1"/>
      <x:c r="AB439" s="1"/>
      <x:c r="AC439" s="1"/>
      <x:c r="AD439" s="1"/>
      <x:c r="AE439" s="1"/>
      <x:c r="AF439" s="1"/>
      <x:c r="AG439" s="1"/>
      <x:c r="AH439" s="1"/>
      <x:c r="AI439" s="1" t="s">
        <x:v>568</x:v>
      </x:c>
      <x:c r="AJ439" s="1" t="s">
        <x:v>51</x:v>
      </x:c>
      <x:c r="AK439" s="1">
        <x:v>6.4340000000000002</x:v>
      </x:c>
      <x:c r="AL439" s="1">
        <x:v>393270</x:v>
      </x:c>
      <x:c r="AM439" s="1"/>
      <x:c r="AN439" s="1"/>
      <x:c r="AO439" s="1"/>
      <x:c r="AP439" s="1"/>
      <x:c r="AQ439" s="1"/>
      <x:c r="AR439" s="1"/>
    </x:row>
    <x:row r="440">
      <x:c r="A440" s="1"/>
      <x:c r="B440" s="1"/>
      <x:c r="C440" s="1"/>
      <x:c r="D440" s="1"/>
      <x:c r="E440" s="1"/>
      <x:c r="F440" s="1"/>
      <x:c r="G440" s="1"/>
      <x:c r="H440" s="1"/>
      <x:c r="I440" s="1"/>
      <x:c r="J440" s="1"/>
      <x:c r="K440" s="1"/>
      <x:c r="L440" s="1"/>
      <x:c r="M440" s="1"/>
      <x:c r="N440" s="1"/>
      <x:c r="O440" s="1"/>
      <x:c r="P440" s="1"/>
      <x:c r="Q440" s="1"/>
      <x:c r="R440" s="1"/>
      <x:c r="S440" s="1"/>
      <x:c r="T440" s="1"/>
      <x:c r="U440" s="1"/>
      <x:c r="V440" s="1"/>
      <x:c r="W440" s="1"/>
      <x:c r="X440" s="1"/>
      <x:c r="Y440" s="1"/>
      <x:c r="Z440" s="1"/>
      <x:c r="AA440" s="1"/>
      <x:c r="AB440" s="1"/>
      <x:c r="AC440" s="1"/>
      <x:c r="AD440" s="1"/>
      <x:c r="AE440" s="1"/>
      <x:c r="AF440" s="1"/>
      <x:c r="AG440" s="1"/>
      <x:c r="AH440" s="1"/>
      <x:c r="AI440" s="1" t="s">
        <x:v>569</x:v>
      </x:c>
      <x:c r="AJ440" s="1" t="s">
        <x:v>47</x:v>
      </x:c>
      <x:c r="AK440" s="1">
        <x:v>6.4</x:v>
      </x:c>
      <x:c r="AL440" s="1">
        <x:v>343650</x:v>
      </x:c>
      <x:c r="AM440" s="1"/>
      <x:c r="AN440" s="1"/>
      <x:c r="AO440" s="1"/>
      <x:c r="AP440" s="1"/>
      <x:c r="AQ440" s="1"/>
      <x:c r="AR440" s="1"/>
    </x:row>
    <x:row r="441">
      <x:c r="A441" s="1"/>
      <x:c r="B441" s="1"/>
      <x:c r="C441" s="1"/>
      <x:c r="D441" s="1"/>
      <x:c r="E441" s="1"/>
      <x:c r="F441" s="1"/>
      <x:c r="G441" s="1"/>
      <x:c r="H441" s="1"/>
      <x:c r="I441" s="1"/>
      <x:c r="J441" s="1"/>
      <x:c r="K441" s="1"/>
      <x:c r="L441" s="1"/>
      <x:c r="M441" s="1"/>
      <x:c r="N441" s="1"/>
      <x:c r="O441" s="1"/>
      <x:c r="P441" s="1"/>
      <x:c r="Q441" s="1"/>
      <x:c r="R441" s="1"/>
      <x:c r="S441" s="1"/>
      <x:c r="T441" s="1"/>
      <x:c r="U441" s="1"/>
      <x:c r="V441" s="1"/>
      <x:c r="W441" s="1"/>
      <x:c r="X441" s="1"/>
      <x:c r="Y441" s="1"/>
      <x:c r="Z441" s="1"/>
      <x:c r="AA441" s="1"/>
      <x:c r="AB441" s="1"/>
      <x:c r="AC441" s="1"/>
      <x:c r="AD441" s="1"/>
      <x:c r="AE441" s="1"/>
      <x:c r="AF441" s="1"/>
      <x:c r="AG441" s="1"/>
      <x:c r="AH441" s="1"/>
      <x:c r="AI441" s="1" t="s">
        <x:v>570</x:v>
      </x:c>
      <x:c r="AJ441" s="1" t="s">
        <x:v>59</x:v>
      </x:c>
      <x:c r="AK441" s="1">
        <x:v>6.2</x:v>
      </x:c>
      <x:c r="AL441" s="1">
        <x:v>378140</x:v>
      </x:c>
      <x:c r="AM441" s="1"/>
      <x:c r="AN441" s="1"/>
      <x:c r="AO441" s="1"/>
      <x:c r="AP441" s="1"/>
      <x:c r="AQ441" s="1"/>
      <x:c r="AR441" s="1"/>
    </x:row>
    <x:row r="442">
      <x:c r="A442" s="1"/>
      <x:c r="B442" s="1"/>
      <x:c r="C442" s="1"/>
      <x:c r="D442" s="1"/>
      <x:c r="E442" s="1"/>
      <x:c r="F442" s="1"/>
      <x:c r="G442" s="1"/>
      <x:c r="H442" s="1"/>
      <x:c r="I442" s="1"/>
      <x:c r="J442" s="1"/>
      <x:c r="K442" s="1"/>
      <x:c r="L442" s="1"/>
      <x:c r="M442" s="1"/>
      <x:c r="N442" s="1"/>
      <x:c r="O442" s="1"/>
      <x:c r="P442" s="1"/>
      <x:c r="Q442" s="1"/>
      <x:c r="R442" s="1"/>
      <x:c r="S442" s="1"/>
      <x:c r="T442" s="1"/>
      <x:c r="U442" s="1"/>
      <x:c r="V442" s="1"/>
      <x:c r="W442" s="1"/>
      <x:c r="X442" s="1"/>
      <x:c r="Y442" s="1"/>
      <x:c r="Z442" s="1"/>
      <x:c r="AA442" s="1"/>
      <x:c r="AB442" s="1"/>
      <x:c r="AC442" s="1"/>
      <x:c r="AD442" s="1"/>
      <x:c r="AE442" s="1"/>
      <x:c r="AF442" s="1"/>
      <x:c r="AG442" s="1"/>
      <x:c r="AH442" s="1"/>
      <x:c r="AI442" s="1" t="s">
        <x:v>571</x:v>
      </x:c>
      <x:c r="AJ442" s="1" t="s">
        <x:v>63</x:v>
      </x:c>
      <x:c r="AK442" s="1">
        <x:v>5.9409999999999998</x:v>
      </x:c>
      <x:c r="AL442" s="1">
        <x:v>479000</x:v>
      </x:c>
      <x:c r="AM442" s="1"/>
      <x:c r="AN442" s="1"/>
      <x:c r="AO442" s="1"/>
      <x:c r="AP442" s="1"/>
      <x:c r="AQ442" s="1"/>
      <x:c r="AR442" s="1"/>
    </x:row>
    <x:row r="443">
      <x:c r="A443" s="1"/>
      <x:c r="B443" s="1"/>
      <x:c r="C443" s="1"/>
      <x:c r="D443" s="1"/>
      <x:c r="E443" s="1"/>
      <x:c r="F443" s="1"/>
      <x:c r="G443" s="1"/>
      <x:c r="H443" s="1"/>
      <x:c r="I443" s="1"/>
      <x:c r="J443" s="1"/>
      <x:c r="K443" s="1"/>
      <x:c r="L443" s="1"/>
      <x:c r="M443" s="1"/>
      <x:c r="N443" s="1"/>
      <x:c r="O443" s="1"/>
      <x:c r="P443" s="1"/>
      <x:c r="Q443" s="1"/>
      <x:c r="R443" s="1"/>
      <x:c r="S443" s="1"/>
      <x:c r="T443" s="1"/>
      <x:c r="U443" s="1"/>
      <x:c r="V443" s="1"/>
      <x:c r="W443" s="1"/>
      <x:c r="X443" s="1"/>
      <x:c r="Y443" s="1"/>
      <x:c r="Z443" s="1"/>
      <x:c r="AA443" s="1"/>
      <x:c r="AB443" s="1"/>
      <x:c r="AC443" s="1"/>
      <x:c r="AD443" s="1"/>
      <x:c r="AE443" s="1"/>
      <x:c r="AF443" s="1"/>
      <x:c r="AG443" s="1"/>
      <x:c r="AH443" s="1"/>
      <x:c r="AI443" s="1" t="s">
        <x:v>572</x:v>
      </x:c>
      <x:c r="AJ443" s="1" t="s">
        <x:v>71</x:v>
      </x:c>
      <x:c r="AK443" s="1">
        <x:v>5.8630000000000004</x:v>
      </x:c>
      <x:c r="AL443" s="1">
        <x:v>714170</x:v>
      </x:c>
      <x:c r="AM443" s="1"/>
      <x:c r="AN443" s="1"/>
      <x:c r="AO443" s="1"/>
      <x:c r="AP443" s="1"/>
      <x:c r="AQ443" s="1"/>
      <x:c r="AR443" s="1"/>
    </x:row>
    <x:row r="444">
      <x:c r="A444" s="1"/>
      <x:c r="B444" s="1"/>
      <x:c r="C444" s="1"/>
      <x:c r="D444" s="1"/>
      <x:c r="E444" s="1"/>
      <x:c r="F444" s="1"/>
      <x:c r="G444" s="1"/>
      <x:c r="H444" s="1"/>
      <x:c r="I444" s="1"/>
      <x:c r="J444" s="1"/>
      <x:c r="K444" s="1"/>
      <x:c r="L444" s="1"/>
      <x:c r="M444" s="1"/>
      <x:c r="N444" s="1"/>
      <x:c r="O444" s="1"/>
      <x:c r="P444" s="1"/>
      <x:c r="Q444" s="1"/>
      <x:c r="R444" s="1"/>
      <x:c r="S444" s="1"/>
      <x:c r="T444" s="1"/>
      <x:c r="U444" s="1"/>
      <x:c r="V444" s="1"/>
      <x:c r="W444" s="1"/>
      <x:c r="X444" s="1"/>
      <x:c r="Y444" s="1"/>
      <x:c r="Z444" s="1"/>
      <x:c r="AA444" s="1"/>
      <x:c r="AB444" s="1"/>
      <x:c r="AC444" s="1"/>
      <x:c r="AD444" s="1"/>
      <x:c r="AE444" s="1"/>
      <x:c r="AF444" s="1"/>
      <x:c r="AG444" s="1"/>
      <x:c r="AH444" s="1"/>
      <x:c r="AI444" s="1" t="s">
        <x:v>573</x:v>
      </x:c>
      <x:c r="AJ444" s="1" t="s">
        <x:v>75</x:v>
      </x:c>
      <x:c r="AK444" s="1">
        <x:v>5.7110000000000003</x:v>
      </x:c>
      <x:c r="AL444" s="1">
        <x:v>7490</x:v>
      </x:c>
      <x:c r="AM444" s="1"/>
      <x:c r="AN444" s="1"/>
      <x:c r="AO444" s="1"/>
      <x:c r="AP444" s="1"/>
      <x:c r="AQ444" s="1"/>
      <x:c r="AR444" s="1"/>
    </x:row>
    <x:row r="445">
      <x:c r="A445" s="1"/>
      <x:c r="B445" s="1"/>
      <x:c r="C445" s="1"/>
      <x:c r="D445" s="1"/>
      <x:c r="E445" s="1"/>
      <x:c r="F445" s="1"/>
      <x:c r="G445" s="1"/>
      <x:c r="H445" s="1"/>
      <x:c r="I445" s="1"/>
      <x:c r="J445" s="1"/>
      <x:c r="K445" s="1"/>
      <x:c r="L445" s="1"/>
      <x:c r="M445" s="1"/>
      <x:c r="N445" s="1"/>
      <x:c r="O445" s="1"/>
      <x:c r="P445" s="1"/>
      <x:c r="Q445" s="1"/>
      <x:c r="R445" s="1"/>
      <x:c r="S445" s="1"/>
      <x:c r="T445" s="1"/>
      <x:c r="U445" s="1"/>
      <x:c r="V445" s="1"/>
      <x:c r="W445" s="1"/>
      <x:c r="X445" s="1"/>
      <x:c r="Y445" s="1"/>
      <x:c r="Z445" s="1"/>
      <x:c r="AA445" s="1"/>
      <x:c r="AB445" s="1"/>
      <x:c r="AC445" s="1"/>
      <x:c r="AD445" s="1"/>
      <x:c r="AE445" s="1"/>
      <x:c r="AF445" s="1"/>
      <x:c r="AG445" s="1"/>
      <x:c r="AH445" s="1"/>
      <x:c r="AI445" s="1" t="s">
        <x:v>574</x:v>
      </x:c>
      <x:c r="AJ445" s="1" t="s">
        <x:v>79</x:v>
      </x:c>
      <x:c r="AK445" s="1">
        <x:v>5.4619999999999997</x:v>
      </x:c>
      <x:c r="AL445" s="1">
        <x:v>211850</x:v>
      </x:c>
      <x:c r="AM445" s="1"/>
      <x:c r="AN445" s="1"/>
      <x:c r="AO445" s="1"/>
      <x:c r="AP445" s="1"/>
      <x:c r="AQ445" s="1"/>
      <x:c r="AR445" s="1"/>
    </x:row>
    <x:row r="446">
      <x:c r="A446" s="1"/>
      <x:c r="B446" s="1"/>
      <x:c r="C446" s="1"/>
      <x:c r="D446" s="1"/>
      <x:c r="E446" s="1"/>
      <x:c r="F446" s="1"/>
      <x:c r="G446" s="1"/>
      <x:c r="H446" s="1"/>
      <x:c r="I446" s="1"/>
      <x:c r="J446" s="1"/>
      <x:c r="K446" s="1"/>
      <x:c r="L446" s="1"/>
      <x:c r="M446" s="1"/>
      <x:c r="N446" s="1"/>
      <x:c r="O446" s="1"/>
      <x:c r="P446" s="1"/>
      <x:c r="Q446" s="1"/>
      <x:c r="R446" s="1"/>
      <x:c r="S446" s="1"/>
      <x:c r="T446" s="1"/>
      <x:c r="U446" s="1"/>
      <x:c r="V446" s="1"/>
      <x:c r="W446" s="1"/>
      <x:c r="X446" s="1"/>
      <x:c r="Y446" s="1"/>
      <x:c r="Z446" s="1"/>
      <x:c r="AA446" s="1"/>
      <x:c r="AB446" s="1"/>
      <x:c r="AC446" s="1"/>
      <x:c r="AD446" s="1"/>
      <x:c r="AE446" s="1"/>
      <x:c r="AF446" s="1"/>
      <x:c r="AG446" s="1"/>
      <x:c r="AH446" s="1"/>
      <x:c r="AI446" s="1" t="s">
        <x:v>575</x:v>
      </x:c>
      <x:c r="AJ446" s="1" t="s">
        <x:v>83</x:v>
      </x:c>
      <x:c r="AK446" s="1">
        <x:v>4.7969999999999997</x:v>
      </x:c>
      <x:c r="AL446" s="1">
        <x:v>164680</x:v>
      </x:c>
      <x:c r="AM446" s="1"/>
      <x:c r="AN446" s="1"/>
      <x:c r="AO446" s="1"/>
      <x:c r="AP446" s="1"/>
      <x:c r="AQ446" s="1"/>
      <x:c r="AR446" s="1"/>
    </x:row>
    <x:row r="447">
      <x:c r="A447" s="1"/>
      <x:c r="B447" s="1"/>
      <x:c r="C447" s="1"/>
      <x:c r="D447" s="1"/>
      <x:c r="E447" s="1"/>
      <x:c r="F447" s="1"/>
      <x:c r="G447" s="1"/>
      <x:c r="H447" s="1"/>
      <x:c r="I447" s="1"/>
      <x:c r="J447" s="1"/>
      <x:c r="K447" s="1"/>
      <x:c r="L447" s="1"/>
      <x:c r="M447" s="1"/>
      <x:c r="N447" s="1"/>
      <x:c r="O447" s="1"/>
      <x:c r="P447" s="1"/>
      <x:c r="Q447" s="1"/>
      <x:c r="R447" s="1"/>
      <x:c r="S447" s="1"/>
      <x:c r="T447" s="1"/>
      <x:c r="U447" s="1"/>
      <x:c r="V447" s="1"/>
      <x:c r="W447" s="1"/>
      <x:c r="X447" s="1"/>
      <x:c r="Y447" s="1"/>
      <x:c r="Z447" s="1"/>
      <x:c r="AA447" s="1"/>
      <x:c r="AB447" s="1"/>
      <x:c r="AC447" s="1"/>
      <x:c r="AD447" s="1"/>
      <x:c r="AE447" s="1"/>
      <x:c r="AF447" s="1"/>
      <x:c r="AG447" s="1"/>
      <x:c r="AH447" s="1"/>
      <x:c r="AI447" s="1" t="s">
        <x:v>436</x:v>
      </x:c>
      <x:c r="AJ447" s="1" t="s">
        <x:v>10</x:v>
      </x:c>
      <x:c r="AK447" s="1">
        <x:v>11.026999999999999</x:v>
      </x:c>
      <x:c r="AL447" s="1">
        <x:v>19220</x:v>
      </x:c>
      <x:c r="AM447" s="1"/>
      <x:c r="AN447" s="1"/>
      <x:c r="AO447" s="1"/>
      <x:c r="AP447" s="1"/>
      <x:c r="AQ447" s="1"/>
      <x:c r="AR447" s="1"/>
    </x:row>
    <x:row r="448">
      <x:c r="A448" s="1"/>
      <x:c r="B448" s="1"/>
      <x:c r="C448" s="1"/>
      <x:c r="D448" s="1"/>
      <x:c r="E448" s="1"/>
      <x:c r="F448" s="1"/>
      <x:c r="G448" s="1"/>
      <x:c r="H448" s="1"/>
      <x:c r="I448" s="1"/>
      <x:c r="J448" s="1"/>
      <x:c r="K448" s="1"/>
      <x:c r="L448" s="1"/>
      <x:c r="M448" s="1"/>
      <x:c r="N448" s="1"/>
      <x:c r="O448" s="1"/>
      <x:c r="P448" s="1"/>
      <x:c r="Q448" s="1"/>
      <x:c r="R448" s="1"/>
      <x:c r="S448" s="1"/>
      <x:c r="T448" s="1"/>
      <x:c r="U448" s="1"/>
      <x:c r="V448" s="1"/>
      <x:c r="W448" s="1"/>
      <x:c r="X448" s="1"/>
      <x:c r="Y448" s="1"/>
      <x:c r="Z448" s="1"/>
      <x:c r="AA448" s="1"/>
      <x:c r="AB448" s="1"/>
      <x:c r="AC448" s="1"/>
      <x:c r="AD448" s="1"/>
      <x:c r="AE448" s="1"/>
      <x:c r="AF448" s="1"/>
      <x:c r="AG448" s="1"/>
      <x:c r="AH448" s="1"/>
      <x:c r="AI448" s="1" t="s">
        <x:v>438</x:v>
      </x:c>
      <x:c r="AJ448" s="1" t="s">
        <x:v>14</x:v>
      </x:c>
      <x:c r="AK448" s="1">
        <x:v>10.584</x:v>
      </x:c>
      <x:c r="AL448" s="1">
        <x:v>17050</x:v>
      </x:c>
      <x:c r="AM448" s="1"/>
      <x:c r="AN448" s="1"/>
      <x:c r="AO448" s="1"/>
      <x:c r="AP448" s="1"/>
      <x:c r="AQ448" s="1"/>
      <x:c r="AR448" s="1"/>
    </x:row>
    <x:row r="449">
      <x:c r="A449" s="1"/>
      <x:c r="B449" s="1"/>
      <x:c r="C449" s="1"/>
      <x:c r="D449" s="1"/>
      <x:c r="E449" s="1"/>
      <x:c r="F449" s="1"/>
      <x:c r="G449" s="1"/>
      <x:c r="H449" s="1"/>
      <x:c r="I449" s="1"/>
      <x:c r="J449" s="1"/>
      <x:c r="K449" s="1"/>
      <x:c r="L449" s="1"/>
      <x:c r="M449" s="1"/>
      <x:c r="N449" s="1"/>
      <x:c r="O449" s="1"/>
      <x:c r="P449" s="1"/>
      <x:c r="Q449" s="1"/>
      <x:c r="R449" s="1"/>
      <x:c r="S449" s="1"/>
      <x:c r="T449" s="1"/>
      <x:c r="U449" s="1"/>
      <x:c r="V449" s="1"/>
      <x:c r="W449" s="1"/>
      <x:c r="X449" s="1"/>
      <x:c r="Y449" s="1"/>
      <x:c r="Z449" s="1"/>
      <x:c r="AA449" s="1"/>
      <x:c r="AB449" s="1"/>
      <x:c r="AC449" s="1"/>
      <x:c r="AD449" s="1"/>
      <x:c r="AE449" s="1"/>
      <x:c r="AF449" s="1"/>
      <x:c r="AG449" s="1"/>
      <x:c r="AH449" s="1"/>
      <x:c r="AI449" s="1" t="s">
        <x:v>440</x:v>
      </x:c>
      <x:c r="AJ449" s="1" t="s">
        <x:v>20</x:v>
      </x:c>
      <x:c r="AK449" s="1">
        <x:v>8.9719999999999995</x:v>
      </x:c>
      <x:c r="AL449" s="1">
        <x:v>40190</x:v>
      </x:c>
      <x:c r="AM449" s="1"/>
      <x:c r="AN449" s="1"/>
      <x:c r="AO449" s="1"/>
      <x:c r="AP449" s="1"/>
      <x:c r="AQ449" s="1"/>
      <x:c r="AR449" s="1"/>
    </x:row>
    <x:row r="450">
      <x:c r="A450" s="1"/>
      <x:c r="B450" s="1"/>
      <x:c r="C450" s="1"/>
      <x:c r="D450" s="1"/>
      <x:c r="E450" s="1"/>
      <x:c r="F450" s="1"/>
      <x:c r="G450" s="1"/>
      <x:c r="H450" s="1"/>
      <x:c r="I450" s="1"/>
      <x:c r="J450" s="1"/>
      <x:c r="K450" s="1"/>
      <x:c r="L450" s="1"/>
      <x:c r="M450" s="1"/>
      <x:c r="N450" s="1"/>
      <x:c r="O450" s="1"/>
      <x:c r="P450" s="1"/>
      <x:c r="Q450" s="1"/>
      <x:c r="R450" s="1"/>
      <x:c r="S450" s="1"/>
      <x:c r="T450" s="1"/>
      <x:c r="U450" s="1"/>
      <x:c r="V450" s="1"/>
      <x:c r="W450" s="1"/>
      <x:c r="X450" s="1"/>
      <x:c r="Y450" s="1"/>
      <x:c r="Z450" s="1"/>
      <x:c r="AA450" s="1"/>
      <x:c r="AB450" s="1"/>
      <x:c r="AC450" s="1"/>
      <x:c r="AD450" s="1"/>
      <x:c r="AE450" s="1"/>
      <x:c r="AF450" s="1"/>
      <x:c r="AG450" s="1"/>
      <x:c r="AH450" s="1"/>
      <x:c r="AI450" s="1" t="s">
        <x:v>441</x:v>
      </x:c>
      <x:c r="AJ450" s="1" t="s">
        <x:v>27</x:v>
      </x:c>
      <x:c r="AK450" s="1">
        <x:v>8.6349999999999998</x:v>
      </x:c>
      <x:c r="AL450" s="1">
        <x:v>217250</x:v>
      </x:c>
      <x:c r="AM450" s="1"/>
      <x:c r="AN450" s="1"/>
      <x:c r="AO450" s="1"/>
      <x:c r="AP450" s="1"/>
      <x:c r="AQ450" s="1"/>
      <x:c r="AR450" s="1"/>
    </x:row>
    <x:row r="451">
      <x:c r="A451" s="1"/>
      <x:c r="B451" s="1"/>
      <x:c r="C451" s="1"/>
      <x:c r="D451" s="1"/>
      <x:c r="E451" s="1"/>
      <x:c r="F451" s="1"/>
      <x:c r="G451" s="1"/>
      <x:c r="H451" s="1"/>
      <x:c r="I451" s="1"/>
      <x:c r="J451" s="1"/>
      <x:c r="K451" s="1"/>
      <x:c r="L451" s="1"/>
      <x:c r="M451" s="1"/>
      <x:c r="N451" s="1"/>
      <x:c r="O451" s="1"/>
      <x:c r="P451" s="1"/>
      <x:c r="Q451" s="1"/>
      <x:c r="R451" s="1"/>
      <x:c r="S451" s="1"/>
      <x:c r="T451" s="1"/>
      <x:c r="U451" s="1"/>
      <x:c r="V451" s="1"/>
      <x:c r="W451" s="1"/>
      <x:c r="X451" s="1"/>
      <x:c r="Y451" s="1"/>
      <x:c r="Z451" s="1"/>
      <x:c r="AA451" s="1"/>
      <x:c r="AB451" s="1"/>
      <x:c r="AC451" s="1"/>
      <x:c r="AD451" s="1"/>
      <x:c r="AE451" s="1"/>
      <x:c r="AF451" s="1"/>
      <x:c r="AG451" s="1"/>
      <x:c r="AH451" s="1"/>
      <x:c r="AI451" s="1" t="s">
        <x:v>442</x:v>
      </x:c>
      <x:c r="AJ451" s="1" t="s">
        <x:v>35</x:v>
      </x:c>
      <x:c r="AK451" s="1">
        <x:v>8.3889999999999993</x:v>
      </x:c>
      <x:c r="AL451" s="1">
        <x:v>110340</x:v>
      </x:c>
      <x:c r="AM451" s="1"/>
      <x:c r="AN451" s="1"/>
      <x:c r="AO451" s="1"/>
      <x:c r="AP451" s="1"/>
      <x:c r="AQ451" s="1"/>
      <x:c r="AR451" s="1"/>
    </x:row>
    <x:row r="452">
      <x:c r="A452" s="1"/>
      <x:c r="B452" s="1"/>
      <x:c r="C452" s="1"/>
      <x:c r="D452" s="1"/>
      <x:c r="E452" s="1"/>
      <x:c r="F452" s="1"/>
      <x:c r="G452" s="1"/>
      <x:c r="H452" s="1"/>
      <x:c r="I452" s="1"/>
      <x:c r="J452" s="1"/>
      <x:c r="K452" s="1"/>
      <x:c r="L452" s="1"/>
      <x:c r="M452" s="1"/>
      <x:c r="N452" s="1"/>
      <x:c r="O452" s="1"/>
      <x:c r="P452" s="1"/>
      <x:c r="Q452" s="1"/>
      <x:c r="R452" s="1"/>
      <x:c r="S452" s="1"/>
      <x:c r="T452" s="1"/>
      <x:c r="U452" s="1"/>
      <x:c r="V452" s="1"/>
      <x:c r="W452" s="1"/>
      <x:c r="X452" s="1"/>
      <x:c r="Y452" s="1"/>
      <x:c r="Z452" s="1"/>
      <x:c r="AA452" s="1"/>
      <x:c r="AB452" s="1"/>
      <x:c r="AC452" s="1"/>
      <x:c r="AD452" s="1"/>
      <x:c r="AE452" s="1"/>
      <x:c r="AF452" s="1"/>
      <x:c r="AG452" s="1"/>
      <x:c r="AH452" s="1"/>
      <x:c r="AI452" s="1" t="s">
        <x:v>443</x:v>
      </x:c>
      <x:c r="AJ452" s="1" t="s">
        <x:v>31</x:v>
      </x:c>
      <x:c r="AK452" s="1">
        <x:v>8.3629999999999995</x:v>
      </x:c>
      <x:c r="AL452" s="1">
        <x:v>235700</x:v>
      </x:c>
      <x:c r="AM452" s="1"/>
      <x:c r="AN452" s="1"/>
      <x:c r="AO452" s="1"/>
      <x:c r="AP452" s="1"/>
      <x:c r="AQ452" s="1"/>
      <x:c r="AR452" s="1"/>
    </x:row>
    <x:row r="453">
      <x:c r="A453" s="1"/>
      <x:c r="B453" s="1"/>
      <x:c r="C453" s="1"/>
      <x:c r="D453" s="1"/>
      <x:c r="E453" s="1"/>
      <x:c r="F453" s="1"/>
      <x:c r="G453" s="1"/>
      <x:c r="H453" s="1"/>
      <x:c r="I453" s="1"/>
      <x:c r="J453" s="1"/>
      <x:c r="K453" s="1"/>
      <x:c r="L453" s="1"/>
      <x:c r="M453" s="1"/>
      <x:c r="N453" s="1"/>
      <x:c r="O453" s="1"/>
      <x:c r="P453" s="1"/>
      <x:c r="Q453" s="1"/>
      <x:c r="R453" s="1"/>
      <x:c r="S453" s="1"/>
      <x:c r="T453" s="1"/>
      <x:c r="U453" s="1"/>
      <x:c r="V453" s="1"/>
      <x:c r="W453" s="1"/>
      <x:c r="X453" s="1"/>
      <x:c r="Y453" s="1"/>
      <x:c r="Z453" s="1"/>
      <x:c r="AA453" s="1"/>
      <x:c r="AB453" s="1"/>
      <x:c r="AC453" s="1"/>
      <x:c r="AD453" s="1"/>
      <x:c r="AE453" s="1"/>
      <x:c r="AF453" s="1"/>
      <x:c r="AG453" s="1"/>
      <x:c r="AH453" s="1"/>
      <x:c r="AI453" s="1" t="s">
        <x:v>444</x:v>
      </x:c>
      <x:c r="AJ453" s="1" t="s">
        <x:v>39</x:v>
      </x:c>
      <x:c r="AK453" s="1">
        <x:v>8.3049999999999997</x:v>
      </x:c>
      <x:c r="AL453" s="1">
        <x:v>100820</x:v>
      </x:c>
      <x:c r="AM453" s="1"/>
      <x:c r="AN453" s="1"/>
      <x:c r="AO453" s="1"/>
      <x:c r="AP453" s="1"/>
      <x:c r="AQ453" s="1"/>
      <x:c r="AR453" s="1"/>
    </x:row>
    <x:row r="454">
      <x:c r="A454" s="1"/>
      <x:c r="B454" s="1"/>
      <x:c r="C454" s="1"/>
      <x:c r="D454" s="1"/>
      <x:c r="E454" s="1"/>
      <x:c r="F454" s="1"/>
      <x:c r="G454" s="1"/>
      <x:c r="H454" s="1"/>
      <x:c r="I454" s="1"/>
      <x:c r="J454" s="1"/>
      <x:c r="K454" s="1"/>
      <x:c r="L454" s="1"/>
      <x:c r="M454" s="1"/>
      <x:c r="N454" s="1"/>
      <x:c r="O454" s="1"/>
      <x:c r="P454" s="1"/>
      <x:c r="Q454" s="1"/>
      <x:c r="R454" s="1"/>
      <x:c r="S454" s="1"/>
      <x:c r="T454" s="1"/>
      <x:c r="U454" s="1"/>
      <x:c r="V454" s="1"/>
      <x:c r="W454" s="1"/>
      <x:c r="X454" s="1"/>
      <x:c r="Y454" s="1"/>
      <x:c r="Z454" s="1"/>
      <x:c r="AA454" s="1"/>
      <x:c r="AB454" s="1"/>
      <x:c r="AC454" s="1"/>
      <x:c r="AD454" s="1"/>
      <x:c r="AE454" s="1"/>
      <x:c r="AF454" s="1"/>
      <x:c r="AG454" s="1"/>
      <x:c r="AH454" s="1"/>
      <x:c r="AI454" s="1" t="s">
        <x:v>445</x:v>
      </x:c>
      <x:c r="AJ454" s="1" t="s">
        <x:v>43</x:v>
      </x:c>
      <x:c r="AK454" s="1">
        <x:v>8.2040000000000006</x:v>
      </x:c>
      <x:c r="AL454" s="1">
        <x:v>12350</x:v>
      </x:c>
      <x:c r="AM454" s="1"/>
      <x:c r="AN454" s="1"/>
      <x:c r="AO454" s="1"/>
      <x:c r="AP454" s="1"/>
      <x:c r="AQ454" s="1"/>
      <x:c r="AR454" s="1"/>
    </x:row>
    <x:row r="455">
      <x:c r="A455" s="1"/>
      <x:c r="B455" s="1"/>
      <x:c r="C455" s="1"/>
      <x:c r="D455" s="1"/>
      <x:c r="E455" s="1"/>
      <x:c r="F455" s="1"/>
      <x:c r="G455" s="1"/>
      <x:c r="H455" s="1"/>
      <x:c r="I455" s="1"/>
      <x:c r="J455" s="1"/>
      <x:c r="K455" s="1"/>
      <x:c r="L455" s="1"/>
      <x:c r="M455" s="1"/>
      <x:c r="N455" s="1"/>
      <x:c r="O455" s="1"/>
      <x:c r="P455" s="1"/>
      <x:c r="Q455" s="1"/>
      <x:c r="R455" s="1"/>
      <x:c r="S455" s="1"/>
      <x:c r="T455" s="1"/>
      <x:c r="U455" s="1"/>
      <x:c r="V455" s="1"/>
      <x:c r="W455" s="1"/>
      <x:c r="X455" s="1"/>
      <x:c r="Y455" s="1"/>
      <x:c r="Z455" s="1"/>
      <x:c r="AA455" s="1"/>
      <x:c r="AB455" s="1"/>
      <x:c r="AC455" s="1"/>
      <x:c r="AD455" s="1"/>
      <x:c r="AE455" s="1"/>
      <x:c r="AF455" s="1"/>
      <x:c r="AG455" s="1"/>
      <x:c r="AH455" s="1"/>
      <x:c r="AI455" s="1" t="s">
        <x:v>446</x:v>
      </x:c>
      <x:c r="AJ455" s="1" t="s">
        <x:v>55</x:v>
      </x:c>
      <x:c r="AK455" s="1">
        <x:v>7.7320000000000002</x:v>
      </x:c>
      <x:c r="AL455" s="1">
        <x:v>121780</x:v>
      </x:c>
      <x:c r="AM455" s="1"/>
      <x:c r="AN455" s="1"/>
      <x:c r="AO455" s="1"/>
      <x:c r="AP455" s="1"/>
      <x:c r="AQ455" s="1"/>
      <x:c r="AR455" s="1"/>
    </x:row>
    <x:row r="456">
      <x:c r="A456" s="1"/>
      <x:c r="B456" s="1"/>
      <x:c r="C456" s="1"/>
      <x:c r="D456" s="1"/>
      <x:c r="E456" s="1"/>
      <x:c r="F456" s="1"/>
      <x:c r="G456" s="1"/>
      <x:c r="H456" s="1"/>
      <x:c r="I456" s="1"/>
      <x:c r="J456" s="1"/>
      <x:c r="K456" s="1"/>
      <x:c r="L456" s="1"/>
      <x:c r="M456" s="1"/>
      <x:c r="N456" s="1"/>
      <x:c r="O456" s="1"/>
      <x:c r="P456" s="1"/>
      <x:c r="Q456" s="1"/>
      <x:c r="R456" s="1"/>
      <x:c r="S456" s="1"/>
      <x:c r="T456" s="1"/>
      <x:c r="U456" s="1"/>
      <x:c r="V456" s="1"/>
      <x:c r="W456" s="1"/>
      <x:c r="X456" s="1"/>
      <x:c r="Y456" s="1"/>
      <x:c r="Z456" s="1"/>
      <x:c r="AA456" s="1"/>
      <x:c r="AB456" s="1"/>
      <x:c r="AC456" s="1"/>
      <x:c r="AD456" s="1"/>
      <x:c r="AE456" s="1"/>
      <x:c r="AF456" s="1"/>
      <x:c r="AG456" s="1"/>
      <x:c r="AH456" s="1"/>
      <x:c r="AI456" s="1" t="s">
        <x:v>447</x:v>
      </x:c>
      <x:c r="AJ456" s="1" t="s">
        <x:v>51</x:v>
      </x:c>
      <x:c r="AK456" s="1">
        <x:v>7.62</x:v>
      </x:c>
      <x:c r="AL456" s="1">
        <x:v>222830</x:v>
      </x:c>
      <x:c r="AM456" s="1"/>
      <x:c r="AN456" s="1"/>
      <x:c r="AO456" s="1"/>
      <x:c r="AP456" s="1"/>
      <x:c r="AQ456" s="1"/>
      <x:c r="AR456" s="1"/>
    </x:row>
    <x:row r="457">
      <x:c r="A457" s="1"/>
      <x:c r="B457" s="1"/>
      <x:c r="C457" s="1"/>
      <x:c r="D457" s="1"/>
      <x:c r="E457" s="1"/>
      <x:c r="F457" s="1"/>
      <x:c r="G457" s="1"/>
      <x:c r="H457" s="1"/>
      <x:c r="I457" s="1"/>
      <x:c r="J457" s="1"/>
      <x:c r="K457" s="1"/>
      <x:c r="L457" s="1"/>
      <x:c r="M457" s="1"/>
      <x:c r="N457" s="1"/>
      <x:c r="O457" s="1"/>
      <x:c r="P457" s="1"/>
      <x:c r="Q457" s="1"/>
      <x:c r="R457" s="1"/>
      <x:c r="S457" s="1"/>
      <x:c r="T457" s="1"/>
      <x:c r="U457" s="1"/>
      <x:c r="V457" s="1"/>
      <x:c r="W457" s="1"/>
      <x:c r="X457" s="1"/>
      <x:c r="Y457" s="1"/>
      <x:c r="Z457" s="1"/>
      <x:c r="AA457" s="1"/>
      <x:c r="AB457" s="1"/>
      <x:c r="AC457" s="1"/>
      <x:c r="AD457" s="1"/>
      <x:c r="AE457" s="1"/>
      <x:c r="AF457" s="1"/>
      <x:c r="AG457" s="1"/>
      <x:c r="AH457" s="1"/>
      <x:c r="AI457" s="1" t="s">
        <x:v>576</x:v>
      </x:c>
      <x:c r="AJ457" s="1" t="s">
        <x:v>47</x:v>
      </x:c>
      <x:c r="AK457" s="1">
        <x:v>7.4880000000000004</x:v>
      </x:c>
      <x:c r="AL457" s="1">
        <x:v>191850</x:v>
      </x:c>
      <x:c r="AM457" s="1"/>
      <x:c r="AN457" s="1"/>
      <x:c r="AO457" s="1"/>
      <x:c r="AP457" s="1"/>
      <x:c r="AQ457" s="1"/>
      <x:c r="AR457" s="1"/>
    </x:row>
    <x:row r="458">
      <x:c r="A458" s="1"/>
      <x:c r="B458" s="1"/>
      <x:c r="C458" s="1"/>
      <x:c r="D458" s="1"/>
      <x:c r="E458" s="1"/>
      <x:c r="F458" s="1"/>
      <x:c r="G458" s="1"/>
      <x:c r="H458" s="1"/>
      <x:c r="I458" s="1"/>
      <x:c r="J458" s="1"/>
      <x:c r="K458" s="1"/>
      <x:c r="L458" s="1"/>
      <x:c r="M458" s="1"/>
      <x:c r="N458" s="1"/>
      <x:c r="O458" s="1"/>
      <x:c r="P458" s="1"/>
      <x:c r="Q458" s="1"/>
      <x:c r="R458" s="1"/>
      <x:c r="S458" s="1"/>
      <x:c r="T458" s="1"/>
      <x:c r="U458" s="1"/>
      <x:c r="V458" s="1"/>
      <x:c r="W458" s="1"/>
      <x:c r="X458" s="1"/>
      <x:c r="Y458" s="1"/>
      <x:c r="Z458" s="1"/>
      <x:c r="AA458" s="1"/>
      <x:c r="AB458" s="1"/>
      <x:c r="AC458" s="1"/>
      <x:c r="AD458" s="1"/>
      <x:c r="AE458" s="1"/>
      <x:c r="AF458" s="1"/>
      <x:c r="AG458" s="1"/>
      <x:c r="AH458" s="1"/>
      <x:c r="AI458" s="1" t="s">
        <x:v>577</x:v>
      </x:c>
      <x:c r="AJ458" s="1" t="s">
        <x:v>59</x:v>
      </x:c>
      <x:c r="AK458" s="1">
        <x:v>7.3049999999999997</x:v>
      </x:c>
      <x:c r="AL458" s="1">
        <x:v>213980</x:v>
      </x:c>
      <x:c r="AM458" s="1"/>
      <x:c r="AN458" s="1"/>
      <x:c r="AO458" s="1"/>
      <x:c r="AP458" s="1"/>
      <x:c r="AQ458" s="1"/>
      <x:c r="AR458" s="1"/>
    </x:row>
    <x:row r="459">
      <x:c r="A459" s="1"/>
      <x:c r="B459" s="1"/>
      <x:c r="C459" s="1"/>
      <x:c r="D459" s="1"/>
      <x:c r="E459" s="1"/>
      <x:c r="F459" s="1"/>
      <x:c r="G459" s="1"/>
      <x:c r="H459" s="1"/>
      <x:c r="I459" s="1"/>
      <x:c r="J459" s="1"/>
      <x:c r="K459" s="1"/>
      <x:c r="L459" s="1"/>
      <x:c r="M459" s="1"/>
      <x:c r="N459" s="1"/>
      <x:c r="O459" s="1"/>
      <x:c r="P459" s="1"/>
      <x:c r="Q459" s="1"/>
      <x:c r="R459" s="1"/>
      <x:c r="S459" s="1"/>
      <x:c r="T459" s="1"/>
      <x:c r="U459" s="1"/>
      <x:c r="V459" s="1"/>
      <x:c r="W459" s="1"/>
      <x:c r="X459" s="1"/>
      <x:c r="Y459" s="1"/>
      <x:c r="Z459" s="1"/>
      <x:c r="AA459" s="1"/>
      <x:c r="AB459" s="1"/>
      <x:c r="AC459" s="1"/>
      <x:c r="AD459" s="1"/>
      <x:c r="AE459" s="1"/>
      <x:c r="AF459" s="1"/>
      <x:c r="AG459" s="1"/>
      <x:c r="AH459" s="1"/>
      <x:c r="AI459" s="1" t="s">
        <x:v>578</x:v>
      </x:c>
      <x:c r="AJ459" s="1" t="s">
        <x:v>63</x:v>
      </x:c>
      <x:c r="AK459" s="1">
        <x:v>6.8550000000000004</x:v>
      </x:c>
      <x:c r="AL459" s="1">
        <x:v>266370</x:v>
      </x:c>
      <x:c r="AM459" s="1"/>
      <x:c r="AN459" s="1"/>
      <x:c r="AO459" s="1"/>
      <x:c r="AP459" s="1"/>
      <x:c r="AQ459" s="1"/>
      <x:c r="AR459" s="1"/>
    </x:row>
    <x:row r="460">
      <x:c r="A460" s="1"/>
      <x:c r="B460" s="1"/>
      <x:c r="C460" s="1"/>
      <x:c r="D460" s="1"/>
      <x:c r="E460" s="1"/>
      <x:c r="F460" s="1"/>
      <x:c r="G460" s="1"/>
      <x:c r="H460" s="1"/>
      <x:c r="I460" s="1"/>
      <x:c r="J460" s="1"/>
      <x:c r="K460" s="1"/>
      <x:c r="L460" s="1"/>
      <x:c r="M460" s="1"/>
      <x:c r="N460" s="1"/>
      <x:c r="O460" s="1"/>
      <x:c r="P460" s="1"/>
      <x:c r="Q460" s="1"/>
      <x:c r="R460" s="1"/>
      <x:c r="S460" s="1"/>
      <x:c r="T460" s="1"/>
      <x:c r="U460" s="1"/>
      <x:c r="V460" s="1"/>
      <x:c r="W460" s="1"/>
      <x:c r="X460" s="1"/>
      <x:c r="Y460" s="1"/>
      <x:c r="Z460" s="1"/>
      <x:c r="AA460" s="1"/>
      <x:c r="AB460" s="1"/>
      <x:c r="AC460" s="1"/>
      <x:c r="AD460" s="1"/>
      <x:c r="AE460" s="1"/>
      <x:c r="AF460" s="1"/>
      <x:c r="AG460" s="1"/>
      <x:c r="AH460" s="1"/>
      <x:c r="AI460" s="1" t="s">
        <x:v>579</x:v>
      </x:c>
      <x:c r="AJ460" s="1" t="s">
        <x:v>71</x:v>
      </x:c>
      <x:c r="AK460" s="1">
        <x:v>6.7350000000000003</x:v>
      </x:c>
      <x:c r="AL460" s="1">
        <x:v>393020</x:v>
      </x:c>
      <x:c r="AM460" s="1"/>
      <x:c r="AN460" s="1"/>
      <x:c r="AO460" s="1"/>
      <x:c r="AP460" s="1"/>
      <x:c r="AQ460" s="1"/>
      <x:c r="AR460" s="1"/>
    </x:row>
    <x:row r="461">
      <x:c r="A461" s="1"/>
      <x:c r="B461" s="1"/>
      <x:c r="C461" s="1"/>
      <x:c r="D461" s="1"/>
      <x:c r="E461" s="1"/>
      <x:c r="F461" s="1"/>
      <x:c r="G461" s="1"/>
      <x:c r="H461" s="1"/>
      <x:c r="I461" s="1"/>
      <x:c r="J461" s="1"/>
      <x:c r="K461" s="1"/>
      <x:c r="L461" s="1"/>
      <x:c r="M461" s="1"/>
      <x:c r="N461" s="1"/>
      <x:c r="O461" s="1"/>
      <x:c r="P461" s="1"/>
      <x:c r="Q461" s="1"/>
      <x:c r="R461" s="1"/>
      <x:c r="S461" s="1"/>
      <x:c r="T461" s="1"/>
      <x:c r="U461" s="1"/>
      <x:c r="V461" s="1"/>
      <x:c r="W461" s="1"/>
      <x:c r="X461" s="1"/>
      <x:c r="Y461" s="1"/>
      <x:c r="Z461" s="1"/>
      <x:c r="AA461" s="1"/>
      <x:c r="AB461" s="1"/>
      <x:c r="AC461" s="1"/>
      <x:c r="AD461" s="1"/>
      <x:c r="AE461" s="1"/>
      <x:c r="AF461" s="1"/>
      <x:c r="AG461" s="1"/>
      <x:c r="AH461" s="1"/>
      <x:c r="AI461" s="1" t="s">
        <x:v>580</x:v>
      </x:c>
      <x:c r="AJ461" s="1" t="s">
        <x:v>79</x:v>
      </x:c>
      <x:c r="AK461" s="1">
        <x:v>6.4370000000000003</x:v>
      </x:c>
      <x:c r="AL461" s="1">
        <x:v>120370</x:v>
      </x:c>
      <x:c r="AM461" s="1"/>
      <x:c r="AN461" s="1"/>
      <x:c r="AO461" s="1"/>
      <x:c r="AP461" s="1"/>
      <x:c r="AQ461" s="1"/>
      <x:c r="AR461" s="1"/>
    </x:row>
    <x:row r="462">
      <x:c r="A462" s="1"/>
      <x:c r="B462" s="1"/>
      <x:c r="C462" s="1"/>
      <x:c r="D462" s="1"/>
      <x:c r="E462" s="1"/>
      <x:c r="F462" s="1"/>
      <x:c r="G462" s="1"/>
      <x:c r="H462" s="1"/>
      <x:c r="I462" s="1"/>
      <x:c r="J462" s="1"/>
      <x:c r="K462" s="1"/>
      <x:c r="L462" s="1"/>
      <x:c r="M462" s="1"/>
      <x:c r="N462" s="1"/>
      <x:c r="O462" s="1"/>
      <x:c r="P462" s="1"/>
      <x:c r="Q462" s="1"/>
      <x:c r="R462" s="1"/>
      <x:c r="S462" s="1"/>
      <x:c r="T462" s="1"/>
      <x:c r="U462" s="1"/>
      <x:c r="V462" s="1"/>
      <x:c r="W462" s="1"/>
      <x:c r="X462" s="1"/>
      <x:c r="Y462" s="1"/>
      <x:c r="Z462" s="1"/>
      <x:c r="AA462" s="1"/>
      <x:c r="AB462" s="1"/>
      <x:c r="AC462" s="1"/>
      <x:c r="AD462" s="1"/>
      <x:c r="AE462" s="1"/>
      <x:c r="AF462" s="1"/>
      <x:c r="AG462" s="1"/>
      <x:c r="AH462" s="1"/>
      <x:c r="AI462" s="1" t="s">
        <x:v>581</x:v>
      </x:c>
      <x:c r="AJ462" s="1" t="s">
        <x:v>67</x:v>
      </x:c>
      <x:c r="AK462" s="1">
        <x:v>6.2110000000000003</x:v>
      </x:c>
      <x:c r="AL462" s="1">
        <x:v>5800</x:v>
      </x:c>
      <x:c r="AM462" s="1"/>
      <x:c r="AN462" s="1"/>
      <x:c r="AO462" s="1"/>
      <x:c r="AP462" s="1"/>
      <x:c r="AQ462" s="1"/>
      <x:c r="AR462" s="1"/>
    </x:row>
    <x:row r="463">
      <x:c r="A463" s="1"/>
      <x:c r="B463" s="1"/>
      <x:c r="C463" s="1"/>
      <x:c r="D463" s="1"/>
      <x:c r="E463" s="1"/>
      <x:c r="F463" s="1"/>
      <x:c r="G463" s="1"/>
      <x:c r="H463" s="1"/>
      <x:c r="I463" s="1"/>
      <x:c r="J463" s="1"/>
      <x:c r="K463" s="1"/>
      <x:c r="L463" s="1"/>
      <x:c r="M463" s="1"/>
      <x:c r="N463" s="1"/>
      <x:c r="O463" s="1"/>
      <x:c r="P463" s="1"/>
      <x:c r="Q463" s="1"/>
      <x:c r="R463" s="1"/>
      <x:c r="S463" s="1"/>
      <x:c r="T463" s="1"/>
      <x:c r="U463" s="1"/>
      <x:c r="V463" s="1"/>
      <x:c r="W463" s="1"/>
      <x:c r="X463" s="1"/>
      <x:c r="Y463" s="1"/>
      <x:c r="Z463" s="1"/>
      <x:c r="AA463" s="1"/>
      <x:c r="AB463" s="1"/>
      <x:c r="AC463" s="1"/>
      <x:c r="AD463" s="1"/>
      <x:c r="AE463" s="1"/>
      <x:c r="AF463" s="1"/>
      <x:c r="AG463" s="1"/>
      <x:c r="AH463" s="1"/>
      <x:c r="AI463" s="1" t="s">
        <x:v>582</x:v>
      </x:c>
      <x:c r="AJ463" s="1" t="s">
        <x:v>75</x:v>
      </x:c>
      <x:c r="AK463" s="1">
        <x:v>5.726</x:v>
      </x:c>
      <x:c r="AL463" s="1">
        <x:v>3340</x:v>
      </x:c>
      <x:c r="AM463" s="1"/>
      <x:c r="AN463" s="1"/>
      <x:c r="AO463" s="1"/>
      <x:c r="AP463" s="1"/>
      <x:c r="AQ463" s="1"/>
      <x:c r="AR463" s="1"/>
    </x:row>
    <x:row r="464">
      <x:c r="A464" s="1"/>
      <x:c r="B464" s="1"/>
      <x:c r="C464" s="1"/>
      <x:c r="D464" s="1"/>
      <x:c r="E464" s="1"/>
      <x:c r="F464" s="1"/>
      <x:c r="G464" s="1"/>
      <x:c r="H464" s="1"/>
      <x:c r="I464" s="1"/>
      <x:c r="J464" s="1"/>
      <x:c r="K464" s="1"/>
      <x:c r="L464" s="1"/>
      <x:c r="M464" s="1"/>
      <x:c r="N464" s="1"/>
      <x:c r="O464" s="1"/>
      <x:c r="P464" s="1"/>
      <x:c r="Q464" s="1"/>
      <x:c r="R464" s="1"/>
      <x:c r="S464" s="1"/>
      <x:c r="T464" s="1"/>
      <x:c r="U464" s="1"/>
      <x:c r="V464" s="1"/>
      <x:c r="W464" s="1"/>
      <x:c r="X464" s="1"/>
      <x:c r="Y464" s="1"/>
      <x:c r="Z464" s="1"/>
      <x:c r="AA464" s="1"/>
      <x:c r="AB464" s="1"/>
      <x:c r="AC464" s="1"/>
      <x:c r="AD464" s="1"/>
      <x:c r="AE464" s="1"/>
      <x:c r="AF464" s="1"/>
      <x:c r="AG464" s="1"/>
      <x:c r="AH464" s="1"/>
      <x:c r="AI464" s="1" t="s">
        <x:v>583</x:v>
      </x:c>
      <x:c r="AJ464" s="1" t="s">
        <x:v>83</x:v>
      </x:c>
      <x:c r="AK464" s="1">
        <x:v>5.7140000000000004</x:v>
      </x:c>
      <x:c r="AL464" s="1">
        <x:v>94300</x:v>
      </x:c>
      <x:c r="AM464" s="1"/>
      <x:c r="AN464" s="1"/>
      <x:c r="AO464" s="1"/>
      <x:c r="AP464" s="1"/>
      <x:c r="AQ464" s="1"/>
      <x:c r="AR464" s="1"/>
    </x:row>
    <x:row r="465">
      <x:c r="A465" s="1"/>
      <x:c r="B465" s="1"/>
      <x:c r="C465" s="1"/>
      <x:c r="D465" s="1"/>
      <x:c r="E465" s="1"/>
      <x:c r="F465" s="1"/>
      <x:c r="G465" s="1"/>
      <x:c r="H465" s="1"/>
      <x:c r="I465" s="1"/>
      <x:c r="J465" s="1"/>
      <x:c r="K465" s="1"/>
      <x:c r="L465" s="1"/>
      <x:c r="M465" s="1"/>
      <x:c r="N465" s="1"/>
      <x:c r="O465" s="1"/>
      <x:c r="P465" s="1"/>
      <x:c r="Q465" s="1"/>
      <x:c r="R465" s="1"/>
      <x:c r="S465" s="1"/>
      <x:c r="T465" s="1"/>
      <x:c r="U465" s="1"/>
      <x:c r="V465" s="1"/>
      <x:c r="W465" s="1"/>
      <x:c r="X465" s="1"/>
      <x:c r="Y465" s="1"/>
      <x:c r="Z465" s="1"/>
      <x:c r="AA465" s="1"/>
      <x:c r="AB465" s="1"/>
      <x:c r="AC465" s="1"/>
      <x:c r="AD465" s="1"/>
      <x:c r="AE465" s="1"/>
      <x:c r="AF465" s="1"/>
      <x:c r="AG465" s="1"/>
      <x:c r="AH465" s="1"/>
      <x:c r="AI465" s="1" t="s">
        <x:v>448</x:v>
      </x:c>
      <x:c r="AJ465" s="1" t="s">
        <x:v>10</x:v>
      </x:c>
      <x:c r="AK465" s="1">
        <x:v>12.167999999999999</x:v>
      </x:c>
      <x:c r="AL465" s="1">
        <x:v>25900</x:v>
      </x:c>
      <x:c r="AM465" s="1"/>
      <x:c r="AN465" s="1"/>
      <x:c r="AO465" s="1"/>
      <x:c r="AP465" s="1"/>
      <x:c r="AQ465" s="1"/>
      <x:c r="AR465" s="1"/>
    </x:row>
    <x:row r="466">
      <x:c r="A466" s="1"/>
      <x:c r="B466" s="1"/>
      <x:c r="C466" s="1"/>
      <x:c r="D466" s="1"/>
      <x:c r="E466" s="1"/>
      <x:c r="F466" s="1"/>
      <x:c r="G466" s="1"/>
      <x:c r="H466" s="1"/>
      <x:c r="I466" s="1"/>
      <x:c r="J466" s="1"/>
      <x:c r="K466" s="1"/>
      <x:c r="L466" s="1"/>
      <x:c r="M466" s="1"/>
      <x:c r="N466" s="1"/>
      <x:c r="O466" s="1"/>
      <x:c r="P466" s="1"/>
      <x:c r="Q466" s="1"/>
      <x:c r="R466" s="1"/>
      <x:c r="S466" s="1"/>
      <x:c r="T466" s="1"/>
      <x:c r="U466" s="1"/>
      <x:c r="V466" s="1"/>
      <x:c r="W466" s="1"/>
      <x:c r="X466" s="1"/>
      <x:c r="Y466" s="1"/>
      <x:c r="Z466" s="1"/>
      <x:c r="AA466" s="1"/>
      <x:c r="AB466" s="1"/>
      <x:c r="AC466" s="1"/>
      <x:c r="AD466" s="1"/>
      <x:c r="AE466" s="1"/>
      <x:c r="AF466" s="1"/>
      <x:c r="AG466" s="1"/>
      <x:c r="AH466" s="1"/>
      <x:c r="AI466" s="1" t="s">
        <x:v>449</x:v>
      </x:c>
      <x:c r="AJ466" s="1" t="s">
        <x:v>14</x:v>
      </x:c>
      <x:c r="AK466" s="1">
        <x:v>11.253</x:v>
      </x:c>
      <x:c r="AL466" s="1">
        <x:v>22390</x:v>
      </x:c>
      <x:c r="AM466" s="1"/>
      <x:c r="AN466" s="1"/>
      <x:c r="AO466" s="1"/>
      <x:c r="AP466" s="1"/>
      <x:c r="AQ466" s="1"/>
      <x:c r="AR466" s="1"/>
    </x:row>
    <x:row r="467">
      <x:c r="A467" s="1"/>
      <x:c r="B467" s="1"/>
      <x:c r="C467" s="1"/>
      <x:c r="D467" s="1"/>
      <x:c r="E467" s="1"/>
      <x:c r="F467" s="1"/>
      <x:c r="G467" s="1"/>
      <x:c r="H467" s="1"/>
      <x:c r="I467" s="1"/>
      <x:c r="J467" s="1"/>
      <x:c r="K467" s="1"/>
      <x:c r="L467" s="1"/>
      <x:c r="M467" s="1"/>
      <x:c r="N467" s="1"/>
      <x:c r="O467" s="1"/>
      <x:c r="P467" s="1"/>
      <x:c r="Q467" s="1"/>
      <x:c r="R467" s="1"/>
      <x:c r="S467" s="1"/>
      <x:c r="T467" s="1"/>
      <x:c r="U467" s="1"/>
      <x:c r="V467" s="1"/>
      <x:c r="W467" s="1"/>
      <x:c r="X467" s="1"/>
      <x:c r="Y467" s="1"/>
      <x:c r="Z467" s="1"/>
      <x:c r="AA467" s="1"/>
      <x:c r="AB467" s="1"/>
      <x:c r="AC467" s="1"/>
      <x:c r="AD467" s="1"/>
      <x:c r="AE467" s="1"/>
      <x:c r="AF467" s="1"/>
      <x:c r="AG467" s="1"/>
      <x:c r="AH467" s="1"/>
      <x:c r="AI467" s="1" t="s">
        <x:v>450</x:v>
      </x:c>
      <x:c r="AJ467" s="1" t="s">
        <x:v>20</x:v>
      </x:c>
      <x:c r="AK467" s="1">
        <x:v>9.5939999999999994</x:v>
      </x:c>
      <x:c r="AL467" s="1">
        <x:v>46900</x:v>
      </x:c>
      <x:c r="AM467" s="1"/>
      <x:c r="AN467" s="1"/>
      <x:c r="AO467" s="1"/>
      <x:c r="AP467" s="1"/>
      <x:c r="AQ467" s="1"/>
      <x:c r="AR467" s="1"/>
    </x:row>
    <x:row r="468">
      <x:c r="A468" s="1"/>
      <x:c r="B468" s="1"/>
      <x:c r="C468" s="1"/>
      <x:c r="D468" s="1"/>
      <x:c r="E468" s="1"/>
      <x:c r="F468" s="1"/>
      <x:c r="G468" s="1"/>
      <x:c r="H468" s="1"/>
      <x:c r="I468" s="1"/>
      <x:c r="J468" s="1"/>
      <x:c r="K468" s="1"/>
      <x:c r="L468" s="1"/>
      <x:c r="M468" s="1"/>
      <x:c r="N468" s="1"/>
      <x:c r="O468" s="1"/>
      <x:c r="P468" s="1"/>
      <x:c r="Q468" s="1"/>
      <x:c r="R468" s="1"/>
      <x:c r="S468" s="1"/>
      <x:c r="T468" s="1"/>
      <x:c r="U468" s="1"/>
      <x:c r="V468" s="1"/>
      <x:c r="W468" s="1"/>
      <x:c r="X468" s="1"/>
      <x:c r="Y468" s="1"/>
      <x:c r="Z468" s="1"/>
      <x:c r="AA468" s="1"/>
      <x:c r="AB468" s="1"/>
      <x:c r="AC468" s="1"/>
      <x:c r="AD468" s="1"/>
      <x:c r="AE468" s="1"/>
      <x:c r="AF468" s="1"/>
      <x:c r="AG468" s="1"/>
      <x:c r="AH468" s="1"/>
      <x:c r="AI468" s="1" t="s">
        <x:v>452</x:v>
      </x:c>
      <x:c r="AJ468" s="1" t="s">
        <x:v>31</x:v>
      </x:c>
      <x:c r="AK468" s="1">
        <x:v>6.758</x:v>
      </x:c>
      <x:c r="AL468" s="1">
        <x:v>205220</x:v>
      </x:c>
      <x:c r="AM468" s="1"/>
      <x:c r="AN468" s="1"/>
      <x:c r="AO468" s="1"/>
      <x:c r="AP468" s="1"/>
      <x:c r="AQ468" s="1"/>
      <x:c r="AR468" s="1"/>
    </x:row>
    <x:row r="469">
      <x:c r="A469" s="1"/>
      <x:c r="B469" s="1"/>
      <x:c r="C469" s="1"/>
      <x:c r="D469" s="1"/>
      <x:c r="E469" s="1"/>
      <x:c r="F469" s="1"/>
      <x:c r="G469" s="1"/>
      <x:c r="H469" s="1"/>
      <x:c r="I469" s="1"/>
      <x:c r="J469" s="1"/>
      <x:c r="K469" s="1"/>
      <x:c r="L469" s="1"/>
      <x:c r="M469" s="1"/>
      <x:c r="N469" s="1"/>
      <x:c r="O469" s="1"/>
      <x:c r="P469" s="1"/>
      <x:c r="Q469" s="1"/>
      <x:c r="R469" s="1"/>
      <x:c r="S469" s="1"/>
      <x:c r="T469" s="1"/>
      <x:c r="U469" s="1"/>
      <x:c r="V469" s="1"/>
      <x:c r="W469" s="1"/>
      <x:c r="X469" s="1"/>
      <x:c r="Y469" s="1"/>
      <x:c r="Z469" s="1"/>
      <x:c r="AA469" s="1"/>
      <x:c r="AB469" s="1"/>
      <x:c r="AC469" s="1"/>
      <x:c r="AD469" s="1"/>
      <x:c r="AE469" s="1"/>
      <x:c r="AF469" s="1"/>
      <x:c r="AG469" s="1"/>
      <x:c r="AH469" s="1"/>
      <x:c r="AI469" s="1" t="s">
        <x:v>454</x:v>
      </x:c>
      <x:c r="AJ469" s="1" t="s">
        <x:v>27</x:v>
      </x:c>
      <x:c r="AK469" s="1">
        <x:v>6.6840000000000002</x:v>
      </x:c>
      <x:c r="AL469" s="1">
        <x:v>181690</x:v>
      </x:c>
      <x:c r="AM469" s="1"/>
      <x:c r="AN469" s="1"/>
      <x:c r="AO469" s="1"/>
      <x:c r="AP469" s="1"/>
      <x:c r="AQ469" s="1"/>
      <x:c r="AR469" s="1"/>
    </x:row>
    <x:row r="470">
      <x:c r="A470" s="1"/>
      <x:c r="B470" s="1"/>
      <x:c r="C470" s="1"/>
      <x:c r="D470" s="1"/>
      <x:c r="E470" s="1"/>
      <x:c r="F470" s="1"/>
      <x:c r="G470" s="1"/>
      <x:c r="H470" s="1"/>
      <x:c r="I470" s="1"/>
      <x:c r="J470" s="1"/>
      <x:c r="K470" s="1"/>
      <x:c r="L470" s="1"/>
      <x:c r="M470" s="1"/>
      <x:c r="N470" s="1"/>
      <x:c r="O470" s="1"/>
      <x:c r="P470" s="1"/>
      <x:c r="Q470" s="1"/>
      <x:c r="R470" s="1"/>
      <x:c r="S470" s="1"/>
      <x:c r="T470" s="1"/>
      <x:c r="U470" s="1"/>
      <x:c r="V470" s="1"/>
      <x:c r="W470" s="1"/>
      <x:c r="X470" s="1"/>
      <x:c r="Y470" s="1"/>
      <x:c r="Z470" s="1"/>
      <x:c r="AA470" s="1"/>
      <x:c r="AB470" s="1"/>
      <x:c r="AC470" s="1"/>
      <x:c r="AD470" s="1"/>
      <x:c r="AE470" s="1"/>
      <x:c r="AF470" s="1"/>
      <x:c r="AG470" s="1"/>
      <x:c r="AH470" s="1"/>
      <x:c r="AI470" s="1" t="s">
        <x:v>456</x:v>
      </x:c>
      <x:c r="AJ470" s="1" t="s">
        <x:v>67</x:v>
      </x:c>
      <x:c r="AK470" s="1">
        <x:v>6.6440000000000001</x:v>
      </x:c>
      <x:c r="AL470" s="1">
        <x:v>7310</x:v>
      </x:c>
      <x:c r="AM470" s="1"/>
      <x:c r="AN470" s="1"/>
      <x:c r="AO470" s="1"/>
      <x:c r="AP470" s="1"/>
      <x:c r="AQ470" s="1"/>
      <x:c r="AR470" s="1"/>
    </x:row>
    <x:row r="471">
      <x:c r="A471" s="1"/>
      <x:c r="B471" s="1"/>
      <x:c r="C471" s="1"/>
      <x:c r="D471" s="1"/>
      <x:c r="E471" s="1"/>
      <x:c r="F471" s="1"/>
      <x:c r="G471" s="1"/>
      <x:c r="H471" s="1"/>
      <x:c r="I471" s="1"/>
      <x:c r="J471" s="1"/>
      <x:c r="K471" s="1"/>
      <x:c r="L471" s="1"/>
      <x:c r="M471" s="1"/>
      <x:c r="N471" s="1"/>
      <x:c r="O471" s="1"/>
      <x:c r="P471" s="1"/>
      <x:c r="Q471" s="1"/>
      <x:c r="R471" s="1"/>
      <x:c r="S471" s="1"/>
      <x:c r="T471" s="1"/>
      <x:c r="U471" s="1"/>
      <x:c r="V471" s="1"/>
      <x:c r="W471" s="1"/>
      <x:c r="X471" s="1"/>
      <x:c r="Y471" s="1"/>
      <x:c r="Z471" s="1"/>
      <x:c r="AA471" s="1"/>
      <x:c r="AB471" s="1"/>
      <x:c r="AC471" s="1"/>
      <x:c r="AD471" s="1"/>
      <x:c r="AE471" s="1"/>
      <x:c r="AF471" s="1"/>
      <x:c r="AG471" s="1"/>
      <x:c r="AH471" s="1"/>
      <x:c r="AI471" s="1" t="s">
        <x:v>458</x:v>
      </x:c>
      <x:c r="AJ471" s="1" t="s">
        <x:v>35</x:v>
      </x:c>
      <x:c r="AK471" s="1">
        <x:v>6.3220000000000001</x:v>
      </x:c>
      <x:c r="AL471" s="1">
        <x:v>89470</x:v>
      </x:c>
      <x:c r="AM471" s="1"/>
      <x:c r="AN471" s="1"/>
      <x:c r="AO471" s="1"/>
      <x:c r="AP471" s="1"/>
      <x:c r="AQ471" s="1"/>
      <x:c r="AR471" s="1"/>
    </x:row>
    <x:row r="472">
      <x:c r="A472" s="1"/>
      <x:c r="B472" s="1"/>
      <x:c r="C472" s="1"/>
      <x:c r="D472" s="1"/>
      <x:c r="E472" s="1"/>
      <x:c r="F472" s="1"/>
      <x:c r="G472" s="1"/>
      <x:c r="H472" s="1"/>
      <x:c r="I472" s="1"/>
      <x:c r="J472" s="1"/>
      <x:c r="K472" s="1"/>
      <x:c r="L472" s="1"/>
      <x:c r="M472" s="1"/>
      <x:c r="N472" s="1"/>
      <x:c r="O472" s="1"/>
      <x:c r="P472" s="1"/>
      <x:c r="Q472" s="1"/>
      <x:c r="R472" s="1"/>
      <x:c r="S472" s="1"/>
      <x:c r="T472" s="1"/>
      <x:c r="U472" s="1"/>
      <x:c r="V472" s="1"/>
      <x:c r="W472" s="1"/>
      <x:c r="X472" s="1"/>
      <x:c r="Y472" s="1"/>
      <x:c r="Z472" s="1"/>
      <x:c r="AA472" s="1"/>
      <x:c r="AB472" s="1"/>
      <x:c r="AC472" s="1"/>
      <x:c r="AD472" s="1"/>
      <x:c r="AE472" s="1"/>
      <x:c r="AF472" s="1"/>
      <x:c r="AG472" s="1"/>
      <x:c r="AH472" s="1"/>
      <x:c r="AI472" s="1" t="s">
        <x:v>460</x:v>
      </x:c>
      <x:c r="AJ472" s="1" t="s">
        <x:v>39</x:v>
      </x:c>
      <x:c r="AK472" s="1">
        <x:v>6.1820000000000004</x:v>
      </x:c>
      <x:c r="AL472" s="1">
        <x:v>81780</x:v>
      </x:c>
      <x:c r="AM472" s="1"/>
      <x:c r="AN472" s="1"/>
      <x:c r="AO472" s="1"/>
      <x:c r="AP472" s="1"/>
      <x:c r="AQ472" s="1"/>
      <x:c r="AR472" s="1"/>
    </x:row>
    <x:row r="473">
      <x:c r="A473" s="1"/>
      <x:c r="B473" s="1"/>
      <x:c r="C473" s="1"/>
      <x:c r="D473" s="1"/>
      <x:c r="E473" s="1"/>
      <x:c r="F473" s="1"/>
      <x:c r="G473" s="1"/>
      <x:c r="H473" s="1"/>
      <x:c r="I473" s="1"/>
      <x:c r="J473" s="1"/>
      <x:c r="K473" s="1"/>
      <x:c r="L473" s="1"/>
      <x:c r="M473" s="1"/>
      <x:c r="N473" s="1"/>
      <x:c r="O473" s="1"/>
      <x:c r="P473" s="1"/>
      <x:c r="Q473" s="1"/>
      <x:c r="R473" s="1"/>
      <x:c r="S473" s="1"/>
      <x:c r="T473" s="1"/>
      <x:c r="U473" s="1"/>
      <x:c r="V473" s="1"/>
      <x:c r="W473" s="1"/>
      <x:c r="X473" s="1"/>
      <x:c r="Y473" s="1"/>
      <x:c r="Z473" s="1"/>
      <x:c r="AA473" s="1"/>
      <x:c r="AB473" s="1"/>
      <x:c r="AC473" s="1"/>
      <x:c r="AD473" s="1"/>
      <x:c r="AE473" s="1"/>
      <x:c r="AF473" s="1"/>
      <x:c r="AG473" s="1"/>
      <x:c r="AH473" s="1"/>
      <x:c r="AI473" s="1" t="s">
        <x:v>462</x:v>
      </x:c>
      <x:c r="AJ473" s="1" t="s">
        <x:v>43</x:v>
      </x:c>
      <x:c r="AK473" s="1">
        <x:v>5.734</x:v>
      </x:c>
      <x:c r="AL473" s="1">
        <x:v>9360</x:v>
      </x:c>
      <x:c r="AM473" s="1"/>
      <x:c r="AN473" s="1"/>
      <x:c r="AO473" s="1"/>
      <x:c r="AP473" s="1"/>
      <x:c r="AQ473" s="1"/>
      <x:c r="AR473" s="1"/>
    </x:row>
    <x:row r="474">
      <x:c r="A474" s="1"/>
      <x:c r="B474" s="1"/>
      <x:c r="C474" s="1"/>
      <x:c r="D474" s="1"/>
      <x:c r="E474" s="1"/>
      <x:c r="F474" s="1"/>
      <x:c r="G474" s="1"/>
      <x:c r="H474" s="1"/>
      <x:c r="I474" s="1"/>
      <x:c r="J474" s="1"/>
      <x:c r="K474" s="1"/>
      <x:c r="L474" s="1"/>
      <x:c r="M474" s="1"/>
      <x:c r="N474" s="1"/>
      <x:c r="O474" s="1"/>
      <x:c r="P474" s="1"/>
      <x:c r="Q474" s="1"/>
      <x:c r="R474" s="1"/>
      <x:c r="S474" s="1"/>
      <x:c r="T474" s="1"/>
      <x:c r="U474" s="1"/>
      <x:c r="V474" s="1"/>
      <x:c r="W474" s="1"/>
      <x:c r="X474" s="1"/>
      <x:c r="Y474" s="1"/>
      <x:c r="Z474" s="1"/>
      <x:c r="AA474" s="1"/>
      <x:c r="AB474" s="1"/>
      <x:c r="AC474" s="1"/>
      <x:c r="AD474" s="1"/>
      <x:c r="AE474" s="1"/>
      <x:c r="AF474" s="1"/>
      <x:c r="AG474" s="1"/>
      <x:c r="AH474" s="1"/>
      <x:c r="AI474" s="1" t="s">
        <x:v>464</x:v>
      </x:c>
      <x:c r="AJ474" s="1" t="s">
        <x:v>75</x:v>
      </x:c>
      <x:c r="AK474" s="1">
        <x:v>5.6980000000000004</x:v>
      </x:c>
      <x:c r="AL474" s="1">
        <x:v>4140</x:v>
      </x:c>
      <x:c r="AM474" s="1"/>
      <x:c r="AN474" s="1"/>
      <x:c r="AO474" s="1"/>
      <x:c r="AP474" s="1"/>
      <x:c r="AQ474" s="1"/>
      <x:c r="AR474" s="1"/>
    </x:row>
    <x:row r="475">
      <x:c r="A475" s="1"/>
      <x:c r="B475" s="1"/>
      <x:c r="C475" s="1"/>
      <x:c r="D475" s="1"/>
      <x:c r="E475" s="1"/>
      <x:c r="F475" s="1"/>
      <x:c r="G475" s="1"/>
      <x:c r="H475" s="1"/>
      <x:c r="I475" s="1"/>
      <x:c r="J475" s="1"/>
      <x:c r="K475" s="1"/>
      <x:c r="L475" s="1"/>
      <x:c r="M475" s="1"/>
      <x:c r="N475" s="1"/>
      <x:c r="O475" s="1"/>
      <x:c r="P475" s="1"/>
      <x:c r="Q475" s="1"/>
      <x:c r="R475" s="1"/>
      <x:c r="S475" s="1"/>
      <x:c r="T475" s="1"/>
      <x:c r="U475" s="1"/>
      <x:c r="V475" s="1"/>
      <x:c r="W475" s="1"/>
      <x:c r="X475" s="1"/>
      <x:c r="Y475" s="1"/>
      <x:c r="Z475" s="1"/>
      <x:c r="AA475" s="1"/>
      <x:c r="AB475" s="1"/>
      <x:c r="AC475" s="1"/>
      <x:c r="AD475" s="1"/>
      <x:c r="AE475" s="1"/>
      <x:c r="AF475" s="1"/>
      <x:c r="AG475" s="1"/>
      <x:c r="AH475" s="1"/>
      <x:c r="AI475" s="1" t="s">
        <x:v>584</x:v>
      </x:c>
      <x:c r="AJ475" s="1" t="s">
        <x:v>55</x:v>
      </x:c>
      <x:c r="AK475" s="1">
        <x:v>5.673</x:v>
      </x:c>
      <x:c r="AL475" s="1">
        <x:v>97210</x:v>
      </x:c>
      <x:c r="AM475" s="1"/>
      <x:c r="AN475" s="1"/>
      <x:c r="AO475" s="1"/>
      <x:c r="AP475" s="1"/>
      <x:c r="AQ475" s="1"/>
      <x:c r="AR475" s="1"/>
    </x:row>
    <x:row r="476">
      <x:c r="A476" s="1"/>
      <x:c r="B476" s="1"/>
      <x:c r="C476" s="1"/>
      <x:c r="D476" s="1"/>
      <x:c r="E476" s="1"/>
      <x:c r="F476" s="1"/>
      <x:c r="G476" s="1"/>
      <x:c r="H476" s="1"/>
      <x:c r="I476" s="1"/>
      <x:c r="J476" s="1"/>
      <x:c r="K476" s="1"/>
      <x:c r="L476" s="1"/>
      <x:c r="M476" s="1"/>
      <x:c r="N476" s="1"/>
      <x:c r="O476" s="1"/>
      <x:c r="P476" s="1"/>
      <x:c r="Q476" s="1"/>
      <x:c r="R476" s="1"/>
      <x:c r="S476" s="1"/>
      <x:c r="T476" s="1"/>
      <x:c r="U476" s="1"/>
      <x:c r="V476" s="1"/>
      <x:c r="W476" s="1"/>
      <x:c r="X476" s="1"/>
      <x:c r="Y476" s="1"/>
      <x:c r="Z476" s="1"/>
      <x:c r="AA476" s="1"/>
      <x:c r="AB476" s="1"/>
      <x:c r="AC476" s="1"/>
      <x:c r="AD476" s="1"/>
      <x:c r="AE476" s="1"/>
      <x:c r="AF476" s="1"/>
      <x:c r="AG476" s="1"/>
      <x:c r="AH476" s="1"/>
      <x:c r="AI476" s="1" t="s">
        <x:v>585</x:v>
      </x:c>
      <x:c r="AJ476" s="1" t="s">
        <x:v>47</x:v>
      </x:c>
      <x:c r="AK476" s="1">
        <x:v>5.407</x:v>
      </x:c>
      <x:c r="AL476" s="1">
        <x:v>151810</x:v>
      </x:c>
      <x:c r="AM476" s="1"/>
      <x:c r="AN476" s="1"/>
      <x:c r="AO476" s="1"/>
      <x:c r="AP476" s="1"/>
      <x:c r="AQ476" s="1"/>
      <x:c r="AR476" s="1"/>
    </x:row>
    <x:row r="477">
      <x:c r="A477" s="1"/>
      <x:c r="B477" s="1"/>
      <x:c r="C477" s="1"/>
      <x:c r="D477" s="1"/>
      <x:c r="E477" s="1"/>
      <x:c r="F477" s="1"/>
      <x:c r="G477" s="1"/>
      <x:c r="H477" s="1"/>
      <x:c r="I477" s="1"/>
      <x:c r="J477" s="1"/>
      <x:c r="K477" s="1"/>
      <x:c r="L477" s="1"/>
      <x:c r="M477" s="1"/>
      <x:c r="N477" s="1"/>
      <x:c r="O477" s="1"/>
      <x:c r="P477" s="1"/>
      <x:c r="Q477" s="1"/>
      <x:c r="R477" s="1"/>
      <x:c r="S477" s="1"/>
      <x:c r="T477" s="1"/>
      <x:c r="U477" s="1"/>
      <x:c r="V477" s="1"/>
      <x:c r="W477" s="1"/>
      <x:c r="X477" s="1"/>
      <x:c r="Y477" s="1"/>
      <x:c r="Z477" s="1"/>
      <x:c r="AA477" s="1"/>
      <x:c r="AB477" s="1"/>
      <x:c r="AC477" s="1"/>
      <x:c r="AD477" s="1"/>
      <x:c r="AE477" s="1"/>
      <x:c r="AF477" s="1"/>
      <x:c r="AG477" s="1"/>
      <x:c r="AH477" s="1"/>
      <x:c r="AI477" s="1" t="s">
        <x:v>586</x:v>
      </x:c>
      <x:c r="AJ477" s="1" t="s">
        <x:v>51</x:v>
      </x:c>
      <x:c r="AK477" s="1">
        <x:v>5.3460000000000001</x:v>
      </x:c>
      <x:c r="AL477" s="1">
        <x:v>170440</x:v>
      </x:c>
      <x:c r="AM477" s="1"/>
      <x:c r="AN477" s="1"/>
      <x:c r="AO477" s="1"/>
      <x:c r="AP477" s="1"/>
      <x:c r="AQ477" s="1"/>
      <x:c r="AR477" s="1"/>
    </x:row>
    <x:row r="478">
      <x:c r="A478" s="1"/>
      <x:c r="B478" s="1"/>
      <x:c r="C478" s="1"/>
      <x:c r="D478" s="1"/>
      <x:c r="E478" s="1"/>
      <x:c r="F478" s="1"/>
      <x:c r="G478" s="1"/>
      <x:c r="H478" s="1"/>
      <x:c r="I478" s="1"/>
      <x:c r="J478" s="1"/>
      <x:c r="K478" s="1"/>
      <x:c r="L478" s="1"/>
      <x:c r="M478" s="1"/>
      <x:c r="N478" s="1"/>
      <x:c r="O478" s="1"/>
      <x:c r="P478" s="1"/>
      <x:c r="Q478" s="1"/>
      <x:c r="R478" s="1"/>
      <x:c r="S478" s="1"/>
      <x:c r="T478" s="1"/>
      <x:c r="U478" s="1"/>
      <x:c r="V478" s="1"/>
      <x:c r="W478" s="1"/>
      <x:c r="X478" s="1"/>
      <x:c r="Y478" s="1"/>
      <x:c r="Z478" s="1"/>
      <x:c r="AA478" s="1"/>
      <x:c r="AB478" s="1"/>
      <x:c r="AC478" s="1"/>
      <x:c r="AD478" s="1"/>
      <x:c r="AE478" s="1"/>
      <x:c r="AF478" s="1"/>
      <x:c r="AG478" s="1"/>
      <x:c r="AH478" s="1"/>
      <x:c r="AI478" s="1" t="s">
        <x:v>587</x:v>
      </x:c>
      <x:c r="AJ478" s="1" t="s">
        <x:v>59</x:v>
      </x:c>
      <x:c r="AK478" s="1">
        <x:v>5.1790000000000003</x:v>
      </x:c>
      <x:c r="AL478" s="1">
        <x:v>164160</x:v>
      </x:c>
      <x:c r="AM478" s="1"/>
      <x:c r="AN478" s="1"/>
      <x:c r="AO478" s="1"/>
      <x:c r="AP478" s="1"/>
      <x:c r="AQ478" s="1"/>
      <x:c r="AR478" s="1"/>
    </x:row>
    <x:row r="479">
      <x:c r="A479" s="1"/>
      <x:c r="B479" s="1"/>
      <x:c r="C479" s="1"/>
      <x:c r="D479" s="1"/>
      <x:c r="E479" s="1"/>
      <x:c r="F479" s="1"/>
      <x:c r="G479" s="1"/>
      <x:c r="H479" s="1"/>
      <x:c r="I479" s="1"/>
      <x:c r="J479" s="1"/>
      <x:c r="K479" s="1"/>
      <x:c r="L479" s="1"/>
      <x:c r="M479" s="1"/>
      <x:c r="N479" s="1"/>
      <x:c r="O479" s="1"/>
      <x:c r="P479" s="1"/>
      <x:c r="Q479" s="1"/>
      <x:c r="R479" s="1"/>
      <x:c r="S479" s="1"/>
      <x:c r="T479" s="1"/>
      <x:c r="U479" s="1"/>
      <x:c r="V479" s="1"/>
      <x:c r="W479" s="1"/>
      <x:c r="X479" s="1"/>
      <x:c r="Y479" s="1"/>
      <x:c r="Z479" s="1"/>
      <x:c r="AA479" s="1"/>
      <x:c r="AB479" s="1"/>
      <x:c r="AC479" s="1"/>
      <x:c r="AD479" s="1"/>
      <x:c r="AE479" s="1"/>
      <x:c r="AF479" s="1"/>
      <x:c r="AG479" s="1"/>
      <x:c r="AH479" s="1"/>
      <x:c r="AI479" s="1" t="s">
        <x:v>588</x:v>
      </x:c>
      <x:c r="AJ479" s="1" t="s">
        <x:v>63</x:v>
      </x:c>
      <x:c r="AK479" s="1">
        <x:v>5.09</x:v>
      </x:c>
      <x:c r="AL479" s="1">
        <x:v>212630</x:v>
      </x:c>
      <x:c r="AM479" s="1"/>
      <x:c r="AN479" s="1"/>
      <x:c r="AO479" s="1"/>
      <x:c r="AP479" s="1"/>
      <x:c r="AQ479" s="1"/>
      <x:c r="AR479" s="1"/>
    </x:row>
    <x:row r="480">
      <x:c r="A480" s="1"/>
      <x:c r="B480" s="1"/>
      <x:c r="C480" s="1"/>
      <x:c r="D480" s="1"/>
      <x:c r="E480" s="1"/>
      <x:c r="F480" s="1"/>
      <x:c r="G480" s="1"/>
      <x:c r="H480" s="1"/>
      <x:c r="I480" s="1"/>
      <x:c r="J480" s="1"/>
      <x:c r="K480" s="1"/>
      <x:c r="L480" s="1"/>
      <x:c r="M480" s="1"/>
      <x:c r="N480" s="1"/>
      <x:c r="O480" s="1"/>
      <x:c r="P480" s="1"/>
      <x:c r="Q480" s="1"/>
      <x:c r="R480" s="1"/>
      <x:c r="S480" s="1"/>
      <x:c r="T480" s="1"/>
      <x:c r="U480" s="1"/>
      <x:c r="V480" s="1"/>
      <x:c r="W480" s="1"/>
      <x:c r="X480" s="1"/>
      <x:c r="Y480" s="1"/>
      <x:c r="Z480" s="1"/>
      <x:c r="AA480" s="1"/>
      <x:c r="AB480" s="1"/>
      <x:c r="AC480" s="1"/>
      <x:c r="AD480" s="1"/>
      <x:c r="AE480" s="1"/>
      <x:c r="AF480" s="1"/>
      <x:c r="AG480" s="1"/>
      <x:c r="AH480" s="1"/>
      <x:c r="AI480" s="1" t="s">
        <x:v>589</x:v>
      </x:c>
      <x:c r="AJ480" s="1" t="s">
        <x:v>71</x:v>
      </x:c>
      <x:c r="AK480" s="1">
        <x:v>5.0609999999999999</x:v>
      </x:c>
      <x:c r="AL480" s="1">
        <x:v>321150</x:v>
      </x:c>
      <x:c r="AM480" s="1"/>
      <x:c r="AN480" s="1"/>
      <x:c r="AO480" s="1"/>
      <x:c r="AP480" s="1"/>
      <x:c r="AQ480" s="1"/>
      <x:c r="AR480" s="1"/>
    </x:row>
    <x:row r="481">
      <x:c r="A481" s="1"/>
      <x:c r="B481" s="1"/>
      <x:c r="C481" s="1"/>
      <x:c r="D481" s="1"/>
      <x:c r="E481" s="1"/>
      <x:c r="F481" s="1"/>
      <x:c r="G481" s="1"/>
      <x:c r="H481" s="1"/>
      <x:c r="I481" s="1"/>
      <x:c r="J481" s="1"/>
      <x:c r="K481" s="1"/>
      <x:c r="L481" s="1"/>
      <x:c r="M481" s="1"/>
      <x:c r="N481" s="1"/>
      <x:c r="O481" s="1"/>
      <x:c r="P481" s="1"/>
      <x:c r="Q481" s="1"/>
      <x:c r="R481" s="1"/>
      <x:c r="S481" s="1"/>
      <x:c r="T481" s="1"/>
      <x:c r="U481" s="1"/>
      <x:c r="V481" s="1"/>
      <x:c r="W481" s="1"/>
      <x:c r="X481" s="1"/>
      <x:c r="Y481" s="1"/>
      <x:c r="Z481" s="1"/>
      <x:c r="AA481" s="1"/>
      <x:c r="AB481" s="1"/>
      <x:c r="AC481" s="1"/>
      <x:c r="AD481" s="1"/>
      <x:c r="AE481" s="1"/>
      <x:c r="AF481" s="1"/>
      <x:c r="AG481" s="1"/>
      <x:c r="AH481" s="1"/>
      <x:c r="AI481" s="1" t="s">
        <x:v>590</x:v>
      </x:c>
      <x:c r="AJ481" s="1" t="s">
        <x:v>79</x:v>
      </x:c>
      <x:c r="AK481" s="1">
        <x:v>4.5540000000000003</x:v>
      </x:c>
      <x:c r="AL481" s="1">
        <x:v>91480</x:v>
      </x:c>
      <x:c r="AM481" s="1"/>
      <x:c r="AN481" s="1"/>
      <x:c r="AO481" s="1"/>
      <x:c r="AP481" s="1"/>
      <x:c r="AQ481" s="1"/>
      <x:c r="AR481" s="1"/>
    </x:row>
    <x:row r="482">
      <x:c r="A482" s="1"/>
      <x:c r="B482" s="1"/>
      <x:c r="C482" s="1"/>
      <x:c r="D482" s="1"/>
      <x:c r="E482" s="1"/>
      <x:c r="F482" s="1"/>
      <x:c r="G482" s="1"/>
      <x:c r="H482" s="1"/>
      <x:c r="I482" s="1"/>
      <x:c r="J482" s="1"/>
      <x:c r="K482" s="1"/>
      <x:c r="L482" s="1"/>
      <x:c r="M482" s="1"/>
      <x:c r="N482" s="1"/>
      <x:c r="O482" s="1"/>
      <x:c r="P482" s="1"/>
      <x:c r="Q482" s="1"/>
      <x:c r="R482" s="1"/>
      <x:c r="S482" s="1"/>
      <x:c r="T482" s="1"/>
      <x:c r="U482" s="1"/>
      <x:c r="V482" s="1"/>
      <x:c r="W482" s="1"/>
      <x:c r="X482" s="1"/>
      <x:c r="Y482" s="1"/>
      <x:c r="Z482" s="1"/>
      <x:c r="AA482" s="1"/>
      <x:c r="AB482" s="1"/>
      <x:c r="AC482" s="1"/>
      <x:c r="AD482" s="1"/>
      <x:c r="AE482" s="1"/>
      <x:c r="AF482" s="1"/>
      <x:c r="AG482" s="1"/>
      <x:c r="AH482" s="1"/>
      <x:c r="AI482" s="1" t="s">
        <x:v>591</x:v>
      </x:c>
      <x:c r="AJ482" s="1" t="s">
        <x:v>83</x:v>
      </x:c>
      <x:c r="AK482" s="1">
        <x:v>3.948</x:v>
      </x:c>
      <x:c r="AL482" s="1">
        <x:v>70370</x:v>
      </x:c>
      <x:c r="AM482" s="1"/>
      <x:c r="AN482" s="1"/>
      <x:c r="AO482" s="1"/>
      <x:c r="AP482" s="1"/>
      <x:c r="AQ482" s="1"/>
      <x:c r="AR482" s="1"/>
    </x:row>
    <x:row r="483">
      <x:c r="A483" s="1"/>
      <x:c r="B483" s="1"/>
      <x:c r="C483" s="1"/>
      <x:c r="D483" s="1"/>
      <x:c r="E483" s="1"/>
      <x:c r="F483" s="1"/>
      <x:c r="G483" s="1"/>
      <x:c r="H483" s="1"/>
      <x:c r="I483" s="1"/>
      <x:c r="J483" s="1"/>
      <x:c r="K483" s="1"/>
      <x:c r="L483" s="1"/>
      <x:c r="M483" s="1"/>
      <x:c r="N483" s="1"/>
      <x:c r="O483" s="1"/>
      <x:c r="P483" s="1"/>
      <x:c r="Q483" s="1"/>
      <x:c r="R483" s="1"/>
      <x:c r="S483" s="1"/>
      <x:c r="T483" s="1"/>
      <x:c r="U483" s="1"/>
      <x:c r="V483" s="1"/>
      <x:c r="W483" s="1"/>
      <x:c r="X483" s="1"/>
      <x:c r="Y483" s="1"/>
      <x:c r="Z483" s="1"/>
      <x:c r="AA483" s="1"/>
      <x:c r="AB483" s="1"/>
      <x:c r="AC483" s="1"/>
      <x:c r="AD483" s="1"/>
      <x:c r="AE483" s="1"/>
      <x:c r="AF483" s="1"/>
      <x:c r="AG483" s="1"/>
      <x:c r="AH483" s="1"/>
      <x:c r="AI483" s="1" t="s">
        <x:v>466</x:v>
      </x:c>
      <x:c r="AJ483" s="1" t="s">
        <x:v>10</x:v>
      </x:c>
      <x:c r="AK483" s="1">
        <x:v>11.85</x:v>
      </x:c>
      <x:c r="AL483" s="1">
        <x:v>45900</x:v>
      </x:c>
      <x:c r="AM483" s="1"/>
      <x:c r="AN483" s="1"/>
      <x:c r="AO483" s="1"/>
      <x:c r="AP483" s="1"/>
      <x:c r="AQ483" s="1"/>
      <x:c r="AR483" s="1"/>
    </x:row>
    <x:row r="484">
      <x:c r="A484" s="1"/>
      <x:c r="B484" s="1"/>
      <x:c r="C484" s="1"/>
      <x:c r="D484" s="1"/>
      <x:c r="E484" s="1"/>
      <x:c r="F484" s="1"/>
      <x:c r="G484" s="1"/>
      <x:c r="H484" s="1"/>
      <x:c r="I484" s="1"/>
      <x:c r="J484" s="1"/>
      <x:c r="K484" s="1"/>
      <x:c r="L484" s="1"/>
      <x:c r="M484" s="1"/>
      <x:c r="N484" s="1"/>
      <x:c r="O484" s="1"/>
      <x:c r="P484" s="1"/>
      <x:c r="Q484" s="1"/>
      <x:c r="R484" s="1"/>
      <x:c r="S484" s="1"/>
      <x:c r="T484" s="1"/>
      <x:c r="U484" s="1"/>
      <x:c r="V484" s="1"/>
      <x:c r="W484" s="1"/>
      <x:c r="X484" s="1"/>
      <x:c r="Y484" s="1"/>
      <x:c r="Z484" s="1"/>
      <x:c r="AA484" s="1"/>
      <x:c r="AB484" s="1"/>
      <x:c r="AC484" s="1"/>
      <x:c r="AD484" s="1"/>
      <x:c r="AE484" s="1"/>
      <x:c r="AF484" s="1"/>
      <x:c r="AG484" s="1"/>
      <x:c r="AH484" s="1"/>
      <x:c r="AI484" s="1" t="s">
        <x:v>467</x:v>
      </x:c>
      <x:c r="AJ484" s="1" t="s">
        <x:v>14</x:v>
      </x:c>
      <x:c r="AK484" s="1">
        <x:v>11.145</x:v>
      </x:c>
      <x:c r="AL484" s="1">
        <x:v>40200</x:v>
      </x:c>
      <x:c r="AM484" s="1"/>
      <x:c r="AN484" s="1"/>
      <x:c r="AO484" s="1"/>
      <x:c r="AP484" s="1"/>
      <x:c r="AQ484" s="1"/>
      <x:c r="AR484" s="1"/>
    </x:row>
    <x:row r="485">
      <x:c r="A485" s="1"/>
      <x:c r="B485" s="1"/>
      <x:c r="C485" s="1"/>
      <x:c r="D485" s="1"/>
      <x:c r="E485" s="1"/>
      <x:c r="F485" s="1"/>
      <x:c r="G485" s="1"/>
      <x:c r="H485" s="1"/>
      <x:c r="I485" s="1"/>
      <x:c r="J485" s="1"/>
      <x:c r="K485" s="1"/>
      <x:c r="L485" s="1"/>
      <x:c r="M485" s="1"/>
      <x:c r="N485" s="1"/>
      <x:c r="O485" s="1"/>
      <x:c r="P485" s="1"/>
      <x:c r="Q485" s="1"/>
      <x:c r="R485" s="1"/>
      <x:c r="S485" s="1"/>
      <x:c r="T485" s="1"/>
      <x:c r="U485" s="1"/>
      <x:c r="V485" s="1"/>
      <x:c r="W485" s="1"/>
      <x:c r="X485" s="1"/>
      <x:c r="Y485" s="1"/>
      <x:c r="Z485" s="1"/>
      <x:c r="AA485" s="1"/>
      <x:c r="AB485" s="1"/>
      <x:c r="AC485" s="1"/>
      <x:c r="AD485" s="1"/>
      <x:c r="AE485" s="1"/>
      <x:c r="AF485" s="1"/>
      <x:c r="AG485" s="1"/>
      <x:c r="AH485" s="1"/>
      <x:c r="AI485" s="1" t="s">
        <x:v>468</x:v>
      </x:c>
      <x:c r="AJ485" s="1" t="s">
        <x:v>20</x:v>
      </x:c>
      <x:c r="AK485" s="1">
        <x:v>9.5350000000000001</x:v>
      </x:c>
      <x:c r="AL485" s="1">
        <x:v>89860</x:v>
      </x:c>
      <x:c r="AM485" s="1"/>
      <x:c r="AN485" s="1"/>
      <x:c r="AO485" s="1"/>
      <x:c r="AP485" s="1"/>
      <x:c r="AQ485" s="1"/>
      <x:c r="AR485" s="1"/>
    </x:row>
    <x:row r="486">
      <x:c r="A486" s="1"/>
      <x:c r="B486" s="1"/>
      <x:c r="C486" s="1"/>
      <x:c r="D486" s="1"/>
      <x:c r="E486" s="1"/>
      <x:c r="F486" s="1"/>
      <x:c r="G486" s="1"/>
      <x:c r="H486" s="1"/>
      <x:c r="I486" s="1"/>
      <x:c r="J486" s="1"/>
      <x:c r="K486" s="1"/>
      <x:c r="L486" s="1"/>
      <x:c r="M486" s="1"/>
      <x:c r="N486" s="1"/>
      <x:c r="O486" s="1"/>
      <x:c r="P486" s="1"/>
      <x:c r="Q486" s="1"/>
      <x:c r="R486" s="1"/>
      <x:c r="S486" s="1"/>
      <x:c r="T486" s="1"/>
      <x:c r="U486" s="1"/>
      <x:c r="V486" s="1"/>
      <x:c r="W486" s="1"/>
      <x:c r="X486" s="1"/>
      <x:c r="Y486" s="1"/>
      <x:c r="Z486" s="1"/>
      <x:c r="AA486" s="1"/>
      <x:c r="AB486" s="1"/>
      <x:c r="AC486" s="1"/>
      <x:c r="AD486" s="1"/>
      <x:c r="AE486" s="1"/>
      <x:c r="AF486" s="1"/>
      <x:c r="AG486" s="1"/>
      <x:c r="AH486" s="1"/>
      <x:c r="AI486" s="1" t="s">
        <x:v>469</x:v>
      </x:c>
      <x:c r="AJ486" s="1" t="s">
        <x:v>27</x:v>
      </x:c>
      <x:c r="AK486" s="1">
        <x:v>7.79</x:v>
      </x:c>
      <x:c r="AL486" s="1">
        <x:v>408120</x:v>
      </x:c>
      <x:c r="AM486" s="1"/>
      <x:c r="AN486" s="1"/>
      <x:c r="AO486" s="1"/>
      <x:c r="AP486" s="1"/>
      <x:c r="AQ486" s="1"/>
      <x:c r="AR486" s="1"/>
    </x:row>
    <x:row r="487">
      <x:c r="A487" s="1"/>
      <x:c r="B487" s="1"/>
      <x:c r="C487" s="1"/>
      <x:c r="D487" s="1"/>
      <x:c r="E487" s="1"/>
      <x:c r="F487" s="1"/>
      <x:c r="G487" s="1"/>
      <x:c r="H487" s="1"/>
      <x:c r="I487" s="1"/>
      <x:c r="J487" s="1"/>
      <x:c r="K487" s="1"/>
      <x:c r="L487" s="1"/>
      <x:c r="M487" s="1"/>
      <x:c r="N487" s="1"/>
      <x:c r="O487" s="1"/>
      <x:c r="P487" s="1"/>
      <x:c r="Q487" s="1"/>
      <x:c r="R487" s="1"/>
      <x:c r="S487" s="1"/>
      <x:c r="T487" s="1"/>
      <x:c r="U487" s="1"/>
      <x:c r="V487" s="1"/>
      <x:c r="W487" s="1"/>
      <x:c r="X487" s="1"/>
      <x:c r="Y487" s="1"/>
      <x:c r="Z487" s="1"/>
      <x:c r="AA487" s="1"/>
      <x:c r="AB487" s="1"/>
      <x:c r="AC487" s="1"/>
      <x:c r="AD487" s="1"/>
      <x:c r="AE487" s="1"/>
      <x:c r="AF487" s="1"/>
      <x:c r="AG487" s="1"/>
      <x:c r="AH487" s="1"/>
      <x:c r="AI487" s="1" t="s">
        <x:v>470</x:v>
      </x:c>
      <x:c r="AJ487" s="1" t="s">
        <x:v>31</x:v>
      </x:c>
      <x:c r="AK487" s="1">
        <x:v>7.7110000000000003</x:v>
      </x:c>
      <x:c r="AL487" s="1">
        <x:v>451460</x:v>
      </x:c>
      <x:c r="AM487" s="1"/>
      <x:c r="AN487" s="1"/>
      <x:c r="AO487" s="1"/>
      <x:c r="AP487" s="1"/>
      <x:c r="AQ487" s="1"/>
      <x:c r="AR487" s="1"/>
    </x:row>
    <x:row r="488">
      <x:c r="A488" s="1"/>
      <x:c r="B488" s="1"/>
      <x:c r="C488" s="1"/>
      <x:c r="D488" s="1"/>
      <x:c r="E488" s="1"/>
      <x:c r="F488" s="1"/>
      <x:c r="G488" s="1"/>
      <x:c r="H488" s="1"/>
      <x:c r="I488" s="1"/>
      <x:c r="J488" s="1"/>
      <x:c r="K488" s="1"/>
      <x:c r="L488" s="1"/>
      <x:c r="M488" s="1"/>
      <x:c r="N488" s="1"/>
      <x:c r="O488" s="1"/>
      <x:c r="P488" s="1"/>
      <x:c r="Q488" s="1"/>
      <x:c r="R488" s="1"/>
      <x:c r="S488" s="1"/>
      <x:c r="T488" s="1"/>
      <x:c r="U488" s="1"/>
      <x:c r="V488" s="1"/>
      <x:c r="W488" s="1"/>
      <x:c r="X488" s="1"/>
      <x:c r="Y488" s="1"/>
      <x:c r="Z488" s="1"/>
      <x:c r="AA488" s="1"/>
      <x:c r="AB488" s="1"/>
      <x:c r="AC488" s="1"/>
      <x:c r="AD488" s="1"/>
      <x:c r="AE488" s="1"/>
      <x:c r="AF488" s="1"/>
      <x:c r="AG488" s="1"/>
      <x:c r="AH488" s="1"/>
      <x:c r="AI488" s="1" t="s">
        <x:v>471</x:v>
      </x:c>
      <x:c r="AJ488" s="1" t="s">
        <x:v>35</x:v>
      </x:c>
      <x:c r="AK488" s="1">
        <x:v>7.4930000000000003</x:v>
      </x:c>
      <x:c r="AL488" s="1">
        <x:v>204540</x:v>
      </x:c>
      <x:c r="AM488" s="1"/>
      <x:c r="AN488" s="1"/>
      <x:c r="AO488" s="1"/>
      <x:c r="AP488" s="1"/>
      <x:c r="AQ488" s="1"/>
      <x:c r="AR488" s="1"/>
    </x:row>
    <x:row r="489">
      <x:c r="A489" s="1"/>
      <x:c r="B489" s="1"/>
      <x:c r="C489" s="1"/>
      <x:c r="D489" s="1"/>
      <x:c r="E489" s="1"/>
      <x:c r="F489" s="1"/>
      <x:c r="G489" s="1"/>
      <x:c r="H489" s="1"/>
      <x:c r="I489" s="1"/>
      <x:c r="J489" s="1"/>
      <x:c r="K489" s="1"/>
      <x:c r="L489" s="1"/>
      <x:c r="M489" s="1"/>
      <x:c r="N489" s="1"/>
      <x:c r="O489" s="1"/>
      <x:c r="P489" s="1"/>
      <x:c r="Q489" s="1"/>
      <x:c r="R489" s="1"/>
      <x:c r="S489" s="1"/>
      <x:c r="T489" s="1"/>
      <x:c r="U489" s="1"/>
      <x:c r="V489" s="1"/>
      <x:c r="W489" s="1"/>
      <x:c r="X489" s="1"/>
      <x:c r="Y489" s="1"/>
      <x:c r="Z489" s="1"/>
      <x:c r="AA489" s="1"/>
      <x:c r="AB489" s="1"/>
      <x:c r="AC489" s="1"/>
      <x:c r="AD489" s="1"/>
      <x:c r="AE489" s="1"/>
      <x:c r="AF489" s="1"/>
      <x:c r="AG489" s="1"/>
      <x:c r="AH489" s="1"/>
      <x:c r="AI489" s="1" t="s">
        <x:v>472</x:v>
      </x:c>
      <x:c r="AJ489" s="1" t="s">
        <x:v>39</x:v>
      </x:c>
      <x:c r="AK489" s="1">
        <x:v>7.36</x:v>
      </x:c>
      <x:c r="AL489" s="1">
        <x:v>187080</x:v>
      </x:c>
      <x:c r="AM489" s="1"/>
      <x:c r="AN489" s="1"/>
      <x:c r="AO489" s="1"/>
      <x:c r="AP489" s="1"/>
      <x:c r="AQ489" s="1"/>
      <x:c r="AR489" s="1"/>
    </x:row>
    <x:row r="490">
      <x:c r="A490" s="1"/>
      <x:c r="B490" s="1"/>
      <x:c r="C490" s="1"/>
      <x:c r="D490" s="1"/>
      <x:c r="E490" s="1"/>
      <x:c r="F490" s="1"/>
      <x:c r="G490" s="1"/>
      <x:c r="H490" s="1"/>
      <x:c r="I490" s="1"/>
      <x:c r="J490" s="1"/>
      <x:c r="K490" s="1"/>
      <x:c r="L490" s="1"/>
      <x:c r="M490" s="1"/>
      <x:c r="N490" s="1"/>
      <x:c r="O490" s="1"/>
      <x:c r="P490" s="1"/>
      <x:c r="Q490" s="1"/>
      <x:c r="R490" s="1"/>
      <x:c r="S490" s="1"/>
      <x:c r="T490" s="1"/>
      <x:c r="U490" s="1"/>
      <x:c r="V490" s="1"/>
      <x:c r="W490" s="1"/>
      <x:c r="X490" s="1"/>
      <x:c r="Y490" s="1"/>
      <x:c r="Z490" s="1"/>
      <x:c r="AA490" s="1"/>
      <x:c r="AB490" s="1"/>
      <x:c r="AC490" s="1"/>
      <x:c r="AD490" s="1"/>
      <x:c r="AE490" s="1"/>
      <x:c r="AF490" s="1"/>
      <x:c r="AG490" s="1"/>
      <x:c r="AH490" s="1"/>
      <x:c r="AI490" s="1" t="s">
        <x:v>473</x:v>
      </x:c>
      <x:c r="AJ490" s="1" t="s">
        <x:v>43</x:v>
      </x:c>
      <x:c r="AK490" s="1">
        <x:v>7.1040000000000001</x:v>
      </x:c>
      <x:c r="AL490" s="1">
        <x:v>22530</x:v>
      </x:c>
      <x:c r="AM490" s="1"/>
      <x:c r="AN490" s="1"/>
      <x:c r="AO490" s="1"/>
      <x:c r="AP490" s="1"/>
      <x:c r="AQ490" s="1"/>
      <x:c r="AR490" s="1"/>
    </x:row>
    <x:row r="491">
      <x:c r="A491" s="1"/>
      <x:c r="B491" s="1"/>
      <x:c r="C491" s="1"/>
      <x:c r="D491" s="1"/>
      <x:c r="E491" s="1"/>
      <x:c r="F491" s="1"/>
      <x:c r="G491" s="1"/>
      <x:c r="H491" s="1"/>
      <x:c r="I491" s="1"/>
      <x:c r="J491" s="1"/>
      <x:c r="K491" s="1"/>
      <x:c r="L491" s="1"/>
      <x:c r="M491" s="1"/>
      <x:c r="N491" s="1"/>
      <x:c r="O491" s="1"/>
      <x:c r="P491" s="1"/>
      <x:c r="Q491" s="1"/>
      <x:c r="R491" s="1"/>
      <x:c r="S491" s="1"/>
      <x:c r="T491" s="1"/>
      <x:c r="U491" s="1"/>
      <x:c r="V491" s="1"/>
      <x:c r="W491" s="1"/>
      <x:c r="X491" s="1"/>
      <x:c r="Y491" s="1"/>
      <x:c r="Z491" s="1"/>
      <x:c r="AA491" s="1"/>
      <x:c r="AB491" s="1"/>
      <x:c r="AC491" s="1"/>
      <x:c r="AD491" s="1"/>
      <x:c r="AE491" s="1"/>
      <x:c r="AF491" s="1"/>
      <x:c r="AG491" s="1"/>
      <x:c r="AH491" s="1"/>
      <x:c r="AI491" s="1" t="s">
        <x:v>474</x:v>
      </x:c>
      <x:c r="AJ491" s="1" t="s">
        <x:v>55</x:v>
      </x:c>
      <x:c r="AK491" s="1">
        <x:v>6.8040000000000003</x:v>
      </x:c>
      <x:c r="AL491" s="1">
        <x:v>224220</x:v>
      </x:c>
      <x:c r="AM491" s="1"/>
      <x:c r="AN491" s="1"/>
      <x:c r="AO491" s="1"/>
      <x:c r="AP491" s="1"/>
      <x:c r="AQ491" s="1"/>
      <x:c r="AR491" s="1"/>
    </x:row>
    <x:row r="492">
      <x:c r="A492" s="1"/>
      <x:c r="B492" s="1"/>
      <x:c r="C492" s="1"/>
      <x:c r="D492" s="1"/>
      <x:c r="E492" s="1"/>
      <x:c r="F492" s="1"/>
      <x:c r="G492" s="1"/>
      <x:c r="H492" s="1"/>
      <x:c r="I492" s="1"/>
      <x:c r="J492" s="1"/>
      <x:c r="K492" s="1"/>
      <x:c r="L492" s="1"/>
      <x:c r="M492" s="1"/>
      <x:c r="N492" s="1"/>
      <x:c r="O492" s="1"/>
      <x:c r="P492" s="1"/>
      <x:c r="Q492" s="1"/>
      <x:c r="R492" s="1"/>
      <x:c r="S492" s="1"/>
      <x:c r="T492" s="1"/>
      <x:c r="U492" s="1"/>
      <x:c r="V492" s="1"/>
      <x:c r="W492" s="1"/>
      <x:c r="X492" s="1"/>
      <x:c r="Y492" s="1"/>
      <x:c r="Z492" s="1"/>
      <x:c r="AA492" s="1"/>
      <x:c r="AB492" s="1"/>
      <x:c r="AC492" s="1"/>
      <x:c r="AD492" s="1"/>
      <x:c r="AE492" s="1"/>
      <x:c r="AF492" s="1"/>
      <x:c r="AG492" s="1"/>
      <x:c r="AH492" s="1"/>
      <x:c r="AI492" s="1" t="s">
        <x:v>475</x:v>
      </x:c>
      <x:c r="AJ492" s="1" t="s">
        <x:v>67</x:v>
      </x:c>
      <x:c r="AK492" s="1">
        <x:v>6.601</x:v>
      </x:c>
      <x:c r="AL492" s="1">
        <x:v>13600</x:v>
      </x:c>
      <x:c r="AM492" s="1"/>
      <x:c r="AN492" s="1"/>
      <x:c r="AO492" s="1"/>
      <x:c r="AP492" s="1"/>
      <x:c r="AQ492" s="1"/>
      <x:c r="AR492" s="1"/>
    </x:row>
    <x:row r="493">
      <x:c r="A493" s="1"/>
      <x:c r="B493" s="1"/>
      <x:c r="C493" s="1"/>
      <x:c r="D493" s="1"/>
      <x:c r="E493" s="1"/>
      <x:c r="F493" s="1"/>
      <x:c r="G493" s="1"/>
      <x:c r="H493" s="1"/>
      <x:c r="I493" s="1"/>
      <x:c r="J493" s="1"/>
      <x:c r="K493" s="1"/>
      <x:c r="L493" s="1"/>
      <x:c r="M493" s="1"/>
      <x:c r="N493" s="1"/>
      <x:c r="O493" s="1"/>
      <x:c r="P493" s="1"/>
      <x:c r="Q493" s="1"/>
      <x:c r="R493" s="1"/>
      <x:c r="S493" s="1"/>
      <x:c r="T493" s="1"/>
      <x:c r="U493" s="1"/>
      <x:c r="V493" s="1"/>
      <x:c r="W493" s="1"/>
      <x:c r="X493" s="1"/>
      <x:c r="Y493" s="1"/>
      <x:c r="Z493" s="1"/>
      <x:c r="AA493" s="1"/>
      <x:c r="AB493" s="1"/>
      <x:c r="AC493" s="1"/>
      <x:c r="AD493" s="1"/>
      <x:c r="AE493" s="1"/>
      <x:c r="AF493" s="1"/>
      <x:c r="AG493" s="1"/>
      <x:c r="AH493" s="1"/>
      <x:c r="AI493" s="1" t="s">
        <x:v>592</x:v>
      </x:c>
      <x:c r="AJ493" s="1" t="s">
        <x:v>51</x:v>
      </x:c>
      <x:c r="AK493" s="1">
        <x:v>6.5739999999999998</x:v>
      </x:c>
      <x:c r="AL493" s="1">
        <x:v>403330</x:v>
      </x:c>
      <x:c r="AM493" s="1"/>
      <x:c r="AN493" s="1"/>
      <x:c r="AO493" s="1"/>
      <x:c r="AP493" s="1"/>
      <x:c r="AQ493" s="1"/>
      <x:c r="AR493" s="1"/>
    </x:row>
    <x:row r="494">
      <x:c r="A494" s="1"/>
      <x:c r="B494" s="1"/>
      <x:c r="C494" s="1"/>
      <x:c r="D494" s="1"/>
      <x:c r="E494" s="1"/>
      <x:c r="F494" s="1"/>
      <x:c r="G494" s="1"/>
      <x:c r="H494" s="1"/>
      <x:c r="I494" s="1"/>
      <x:c r="J494" s="1"/>
      <x:c r="K494" s="1"/>
      <x:c r="L494" s="1"/>
      <x:c r="M494" s="1"/>
      <x:c r="N494" s="1"/>
      <x:c r="O494" s="1"/>
      <x:c r="P494" s="1"/>
      <x:c r="Q494" s="1"/>
      <x:c r="R494" s="1"/>
      <x:c r="S494" s="1"/>
      <x:c r="T494" s="1"/>
      <x:c r="U494" s="1"/>
      <x:c r="V494" s="1"/>
      <x:c r="W494" s="1"/>
      <x:c r="X494" s="1"/>
      <x:c r="Y494" s="1"/>
      <x:c r="Z494" s="1"/>
      <x:c r="AA494" s="1"/>
      <x:c r="AB494" s="1"/>
      <x:c r="AC494" s="1"/>
      <x:c r="AD494" s="1"/>
      <x:c r="AE494" s="1"/>
      <x:c r="AF494" s="1"/>
      <x:c r="AG494" s="1"/>
      <x:c r="AH494" s="1"/>
      <x:c r="AI494" s="1" t="s">
        <x:v>593</x:v>
      </x:c>
      <x:c r="AJ494" s="1" t="s">
        <x:v>47</x:v>
      </x:c>
      <x:c r="AK494" s="1">
        <x:v>6.5359999999999996</x:v>
      </x:c>
      <x:c r="AL494" s="1">
        <x:v>353040</x:v>
      </x:c>
      <x:c r="AM494" s="1"/>
      <x:c r="AN494" s="1"/>
      <x:c r="AO494" s="1"/>
      <x:c r="AP494" s="1"/>
      <x:c r="AQ494" s="1"/>
      <x:c r="AR494" s="1"/>
    </x:row>
    <x:row r="495">
      <x:c r="A495" s="1"/>
      <x:c r="B495" s="1"/>
      <x:c r="C495" s="1"/>
      <x:c r="D495" s="1"/>
      <x:c r="E495" s="1"/>
      <x:c r="F495" s="1"/>
      <x:c r="G495" s="1"/>
      <x:c r="H495" s="1"/>
      <x:c r="I495" s="1"/>
      <x:c r="J495" s="1"/>
      <x:c r="K495" s="1"/>
      <x:c r="L495" s="1"/>
      <x:c r="M495" s="1"/>
      <x:c r="N495" s="1"/>
      <x:c r="O495" s="1"/>
      <x:c r="P495" s="1"/>
      <x:c r="Q495" s="1"/>
      <x:c r="R495" s="1"/>
      <x:c r="S495" s="1"/>
      <x:c r="T495" s="1"/>
      <x:c r="U495" s="1"/>
      <x:c r="V495" s="1"/>
      <x:c r="W495" s="1"/>
      <x:c r="X495" s="1"/>
      <x:c r="Y495" s="1"/>
      <x:c r="Z495" s="1"/>
      <x:c r="AA495" s="1"/>
      <x:c r="AB495" s="1"/>
      <x:c r="AC495" s="1"/>
      <x:c r="AD495" s="1"/>
      <x:c r="AE495" s="1"/>
      <x:c r="AF495" s="1"/>
      <x:c r="AG495" s="1"/>
      <x:c r="AH495" s="1"/>
      <x:c r="AI495" s="1" t="s">
        <x:v>594</x:v>
      </x:c>
      <x:c r="AJ495" s="1" t="s">
        <x:v>59</x:v>
      </x:c>
      <x:c r="AK495" s="1">
        <x:v>6.343</x:v>
      </x:c>
      <x:c r="AL495" s="1">
        <x:v>388900</x:v>
      </x:c>
      <x:c r="AM495" s="1"/>
      <x:c r="AN495" s="1"/>
      <x:c r="AO495" s="1"/>
      <x:c r="AP495" s="1"/>
      <x:c r="AQ495" s="1"/>
      <x:c r="AR495" s="1"/>
    </x:row>
    <x:row r="496">
      <x:c r="A496" s="1"/>
      <x:c r="B496" s="1"/>
      <x:c r="C496" s="1"/>
      <x:c r="D496" s="1"/>
      <x:c r="E496" s="1"/>
      <x:c r="F496" s="1"/>
      <x:c r="G496" s="1"/>
      <x:c r="H496" s="1"/>
      <x:c r="I496" s="1"/>
      <x:c r="J496" s="1"/>
      <x:c r="K496" s="1"/>
      <x:c r="L496" s="1"/>
      <x:c r="M496" s="1"/>
      <x:c r="N496" s="1"/>
      <x:c r="O496" s="1"/>
      <x:c r="P496" s="1"/>
      <x:c r="Q496" s="1"/>
      <x:c r="R496" s="1"/>
      <x:c r="S496" s="1"/>
      <x:c r="T496" s="1"/>
      <x:c r="U496" s="1"/>
      <x:c r="V496" s="1"/>
      <x:c r="W496" s="1"/>
      <x:c r="X496" s="1"/>
      <x:c r="Y496" s="1"/>
      <x:c r="Z496" s="1"/>
      <x:c r="AA496" s="1"/>
      <x:c r="AB496" s="1"/>
      <x:c r="AC496" s="1"/>
      <x:c r="AD496" s="1"/>
      <x:c r="AE496" s="1"/>
      <x:c r="AF496" s="1"/>
      <x:c r="AG496" s="1"/>
      <x:c r="AH496" s="1"/>
      <x:c r="AI496" s="1" t="s">
        <x:v>595</x:v>
      </x:c>
      <x:c r="AJ496" s="1" t="s">
        <x:v>75</x:v>
      </x:c>
      <x:c r="AK496" s="1">
        <x:v>6.0940000000000003</x:v>
      </x:c>
      <x:c r="AL496" s="1">
        <x:v>7770</x:v>
      </x:c>
      <x:c r="AM496" s="1"/>
      <x:c r="AN496" s="1"/>
      <x:c r="AO496" s="1"/>
      <x:c r="AP496" s="1"/>
      <x:c r="AQ496" s="1"/>
      <x:c r="AR496" s="1"/>
    </x:row>
    <x:row r="497">
      <x:c r="A497" s="1"/>
      <x:c r="B497" s="1"/>
      <x:c r="C497" s="1"/>
      <x:c r="D497" s="1"/>
      <x:c r="E497" s="1"/>
      <x:c r="F497" s="1"/>
      <x:c r="G497" s="1"/>
      <x:c r="H497" s="1"/>
      <x:c r="I497" s="1"/>
      <x:c r="J497" s="1"/>
      <x:c r="K497" s="1"/>
      <x:c r="L497" s="1"/>
      <x:c r="M497" s="1"/>
      <x:c r="N497" s="1"/>
      <x:c r="O497" s="1"/>
      <x:c r="P497" s="1"/>
      <x:c r="Q497" s="1"/>
      <x:c r="R497" s="1"/>
      <x:c r="S497" s="1"/>
      <x:c r="T497" s="1"/>
      <x:c r="U497" s="1"/>
      <x:c r="V497" s="1"/>
      <x:c r="W497" s="1"/>
      <x:c r="X497" s="1"/>
      <x:c r="Y497" s="1"/>
      <x:c r="Z497" s="1"/>
      <x:c r="AA497" s="1"/>
      <x:c r="AB497" s="1"/>
      <x:c r="AC497" s="1"/>
      <x:c r="AD497" s="1"/>
      <x:c r="AE497" s="1"/>
      <x:c r="AF497" s="1"/>
      <x:c r="AG497" s="1"/>
      <x:c r="AH497" s="1"/>
      <x:c r="AI497" s="1" t="s">
        <x:v>596</x:v>
      </x:c>
      <x:c r="AJ497" s="1" t="s">
        <x:v>63</x:v>
      </x:c>
      <x:c r="AK497" s="1">
        <x:v>6.0620000000000003</x:v>
      </x:c>
      <x:c r="AL497" s="1">
        <x:v>490660</x:v>
      </x:c>
      <x:c r="AM497" s="1"/>
      <x:c r="AN497" s="1"/>
      <x:c r="AO497" s="1"/>
      <x:c r="AP497" s="1"/>
      <x:c r="AQ497" s="1"/>
      <x:c r="AR497" s="1"/>
    </x:row>
    <x:row r="498">
      <x:c r="A498" s="1"/>
      <x:c r="B498" s="1"/>
      <x:c r="C498" s="1"/>
      <x:c r="D498" s="1"/>
      <x:c r="E498" s="1"/>
      <x:c r="F498" s="1"/>
      <x:c r="G498" s="1"/>
      <x:c r="H498" s="1"/>
      <x:c r="I498" s="1"/>
      <x:c r="J498" s="1"/>
      <x:c r="K498" s="1"/>
      <x:c r="L498" s="1"/>
      <x:c r="M498" s="1"/>
      <x:c r="N498" s="1"/>
      <x:c r="O498" s="1"/>
      <x:c r="P498" s="1"/>
      <x:c r="Q498" s="1"/>
      <x:c r="R498" s="1"/>
      <x:c r="S498" s="1"/>
      <x:c r="T498" s="1"/>
      <x:c r="U498" s="1"/>
      <x:c r="V498" s="1"/>
      <x:c r="W498" s="1"/>
      <x:c r="X498" s="1"/>
      <x:c r="Y498" s="1"/>
      <x:c r="Z498" s="1"/>
      <x:c r="AA498" s="1"/>
      <x:c r="AB498" s="1"/>
      <x:c r="AC498" s="1"/>
      <x:c r="AD498" s="1"/>
      <x:c r="AE498" s="1"/>
      <x:c r="AF498" s="1"/>
      <x:c r="AG498" s="1"/>
      <x:c r="AH498" s="1"/>
      <x:c r="AI498" s="1" t="s">
        <x:v>597</x:v>
      </x:c>
      <x:c r="AJ498" s="1" t="s">
        <x:v>71</x:v>
      </x:c>
      <x:c r="AK498" s="1">
        <x:v>6.0330000000000004</x:v>
      </x:c>
      <x:c r="AL498" s="1">
        <x:v>739690</x:v>
      </x:c>
      <x:c r="AM498" s="1"/>
      <x:c r="AN498" s="1"/>
      <x:c r="AO498" s="1"/>
      <x:c r="AP498" s="1"/>
      <x:c r="AQ498" s="1"/>
      <x:c r="AR498" s="1"/>
    </x:row>
    <x:row r="499">
      <x:c r="A499" s="1"/>
      <x:c r="B499" s="1"/>
      <x:c r="C499" s="1"/>
      <x:c r="D499" s="1"/>
      <x:c r="E499" s="1"/>
      <x:c r="F499" s="1"/>
      <x:c r="G499" s="1"/>
      <x:c r="H499" s="1"/>
      <x:c r="I499" s="1"/>
      <x:c r="J499" s="1"/>
      <x:c r="K499" s="1"/>
      <x:c r="L499" s="1"/>
      <x:c r="M499" s="1"/>
      <x:c r="N499" s="1"/>
      <x:c r="O499" s="1"/>
      <x:c r="P499" s="1"/>
      <x:c r="Q499" s="1"/>
      <x:c r="R499" s="1"/>
      <x:c r="S499" s="1"/>
      <x:c r="T499" s="1"/>
      <x:c r="U499" s="1"/>
      <x:c r="V499" s="1"/>
      <x:c r="W499" s="1"/>
      <x:c r="X499" s="1"/>
      <x:c r="Y499" s="1"/>
      <x:c r="Z499" s="1"/>
      <x:c r="AA499" s="1"/>
      <x:c r="AB499" s="1"/>
      <x:c r="AC499" s="1"/>
      <x:c r="AD499" s="1"/>
      <x:c r="AE499" s="1"/>
      <x:c r="AF499" s="1"/>
      <x:c r="AG499" s="1"/>
      <x:c r="AH499" s="1"/>
      <x:c r="AI499" s="1" t="s">
        <x:v>598</x:v>
      </x:c>
      <x:c r="AJ499" s="1" t="s">
        <x:v>79</x:v>
      </x:c>
      <x:c r="AK499" s="1">
        <x:v>5.6120000000000001</x:v>
      </x:c>
      <x:c r="AL499" s="1">
        <x:v>218870</x:v>
      </x:c>
      <x:c r="AM499" s="1"/>
      <x:c r="AN499" s="1"/>
      <x:c r="AO499" s="1"/>
      <x:c r="AP499" s="1"/>
      <x:c r="AQ499" s="1"/>
      <x:c r="AR499" s="1"/>
    </x:row>
    <x:row r="500">
      <x:c r="A500" s="1"/>
      <x:c r="B500" s="1"/>
      <x:c r="C500" s="1"/>
      <x:c r="D500" s="1"/>
      <x:c r="E500" s="1"/>
      <x:c r="F500" s="1"/>
      <x:c r="G500" s="1"/>
      <x:c r="H500" s="1"/>
      <x:c r="I500" s="1"/>
      <x:c r="J500" s="1"/>
      <x:c r="K500" s="1"/>
      <x:c r="L500" s="1"/>
      <x:c r="M500" s="1"/>
      <x:c r="N500" s="1"/>
      <x:c r="O500" s="1"/>
      <x:c r="P500" s="1"/>
      <x:c r="Q500" s="1"/>
      <x:c r="R500" s="1"/>
      <x:c r="S500" s="1"/>
      <x:c r="T500" s="1"/>
      <x:c r="U500" s="1"/>
      <x:c r="V500" s="1"/>
      <x:c r="W500" s="1"/>
      <x:c r="X500" s="1"/>
      <x:c r="Y500" s="1"/>
      <x:c r="Z500" s="1"/>
      <x:c r="AA500" s="1"/>
      <x:c r="AB500" s="1"/>
      <x:c r="AC500" s="1"/>
      <x:c r="AD500" s="1"/>
      <x:c r="AE500" s="1"/>
      <x:c r="AF500" s="1"/>
      <x:c r="AG500" s="1"/>
      <x:c r="AH500" s="1"/>
      <x:c r="AI500" s="1" t="s">
        <x:v>599</x:v>
      </x:c>
      <x:c r="AJ500" s="1" t="s">
        <x:v>83</x:v>
      </x:c>
      <x:c r="AK500" s="1">
        <x:v>4.9409999999999998</x:v>
      </x:c>
      <x:c r="AL500" s="1">
        <x:v>170720</x:v>
      </x:c>
      <x:c r="AM500" s="1"/>
      <x:c r="AN500" s="1"/>
      <x:c r="AO500" s="1"/>
      <x:c r="AP500" s="1"/>
      <x:c r="AQ500" s="1"/>
      <x:c r="AR500" s="1"/>
    </x:row>
    <x:row r="501">
      <x:c r="A501" s="1"/>
      <x:c r="B501" s="1"/>
      <x:c r="C501" s="1"/>
      <x:c r="D501" s="1"/>
      <x:c r="E501" s="1"/>
      <x:c r="F501" s="1"/>
      <x:c r="G501" s="1"/>
      <x:c r="H501" s="1"/>
      <x:c r="I501" s="1"/>
      <x:c r="J501" s="1"/>
      <x:c r="K501" s="1"/>
      <x:c r="L501" s="1"/>
      <x:c r="M501" s="1"/>
      <x:c r="N501" s="1"/>
      <x:c r="O501" s="1"/>
      <x:c r="P501" s="1"/>
      <x:c r="Q501" s="1"/>
      <x:c r="R501" s="1"/>
      <x:c r="S501" s="1"/>
      <x:c r="T501" s="1"/>
      <x:c r="U501" s="1"/>
      <x:c r="V501" s="1"/>
      <x:c r="W501" s="1"/>
      <x:c r="X501" s="1"/>
      <x:c r="Y501" s="1"/>
      <x:c r="Z501" s="1"/>
      <x:c r="AA501" s="1"/>
      <x:c r="AB501" s="1"/>
      <x:c r="AC501" s="1"/>
      <x:c r="AD501" s="1"/>
      <x:c r="AE501" s="1"/>
      <x:c r="AF501" s="1"/>
      <x:c r="AG501" s="1"/>
      <x:c r="AH501" s="1"/>
      <x:c r="AI501" s="1" t="s">
        <x:v>476</x:v>
      </x:c>
      <x:c r="AJ501" s="1" t="s">
        <x:v>10</x:v>
      </x:c>
      <x:c r="AK501" s="1">
        <x:v>11.202999999999999</x:v>
      </x:c>
      <x:c r="AL501" s="1">
        <x:v>19540</x:v>
      </x:c>
      <x:c r="AM501" s="1"/>
      <x:c r="AN501" s="1"/>
      <x:c r="AO501" s="1"/>
      <x:c r="AP501" s="1"/>
      <x:c r="AQ501" s="1"/>
      <x:c r="AR501" s="1"/>
    </x:row>
    <x:row r="502">
      <x:c r="A502" s="1"/>
      <x:c r="B502" s="1"/>
      <x:c r="C502" s="1"/>
      <x:c r="D502" s="1"/>
      <x:c r="E502" s="1"/>
      <x:c r="F502" s="1"/>
      <x:c r="G502" s="1"/>
      <x:c r="H502" s="1"/>
      <x:c r="I502" s="1"/>
      <x:c r="J502" s="1"/>
      <x:c r="K502" s="1"/>
      <x:c r="L502" s="1"/>
      <x:c r="M502" s="1"/>
      <x:c r="N502" s="1"/>
      <x:c r="O502" s="1"/>
      <x:c r="P502" s="1"/>
      <x:c r="Q502" s="1"/>
      <x:c r="R502" s="1"/>
      <x:c r="S502" s="1"/>
      <x:c r="T502" s="1"/>
      <x:c r="U502" s="1"/>
      <x:c r="V502" s="1"/>
      <x:c r="W502" s="1"/>
      <x:c r="X502" s="1"/>
      <x:c r="Y502" s="1"/>
      <x:c r="Z502" s="1"/>
      <x:c r="AA502" s="1"/>
      <x:c r="AB502" s="1"/>
      <x:c r="AC502" s="1"/>
      <x:c r="AD502" s="1"/>
      <x:c r="AE502" s="1"/>
      <x:c r="AF502" s="1"/>
      <x:c r="AG502" s="1"/>
      <x:c r="AH502" s="1"/>
      <x:c r="AI502" s="1" t="s">
        <x:v>478</x:v>
      </x:c>
      <x:c r="AJ502" s="1" t="s">
        <x:v>14</x:v>
      </x:c>
      <x:c r="AK502" s="1">
        <x:v>10.817</x:v>
      </x:c>
      <x:c r="AL502" s="1">
        <x:v>17480</x:v>
      </x:c>
      <x:c r="AM502" s="1"/>
      <x:c r="AN502" s="1"/>
      <x:c r="AO502" s="1"/>
      <x:c r="AP502" s="1"/>
      <x:c r="AQ502" s="1"/>
      <x:c r="AR502" s="1"/>
    </x:row>
    <x:row r="503">
      <x:c r="A503" s="1"/>
      <x:c r="B503" s="1"/>
      <x:c r="C503" s="1"/>
      <x:c r="D503" s="1"/>
      <x:c r="E503" s="1"/>
      <x:c r="F503" s="1"/>
      <x:c r="G503" s="1"/>
      <x:c r="H503" s="1"/>
      <x:c r="I503" s="1"/>
      <x:c r="J503" s="1"/>
      <x:c r="K503" s="1"/>
      <x:c r="L503" s="1"/>
      <x:c r="M503" s="1"/>
      <x:c r="N503" s="1"/>
      <x:c r="O503" s="1"/>
      <x:c r="P503" s="1"/>
      <x:c r="Q503" s="1"/>
      <x:c r="R503" s="1"/>
      <x:c r="S503" s="1"/>
      <x:c r="T503" s="1"/>
      <x:c r="U503" s="1"/>
      <x:c r="V503" s="1"/>
      <x:c r="W503" s="1"/>
      <x:c r="X503" s="1"/>
      <x:c r="Y503" s="1"/>
      <x:c r="Z503" s="1"/>
      <x:c r="AA503" s="1"/>
      <x:c r="AB503" s="1"/>
      <x:c r="AC503" s="1"/>
      <x:c r="AD503" s="1"/>
      <x:c r="AE503" s="1"/>
      <x:c r="AF503" s="1"/>
      <x:c r="AG503" s="1"/>
      <x:c r="AH503" s="1"/>
      <x:c r="AI503" s="1" t="s">
        <x:v>480</x:v>
      </x:c>
      <x:c r="AJ503" s="1" t="s">
        <x:v>20</x:v>
      </x:c>
      <x:c r="AK503" s="1">
        <x:v>9.26</x:v>
      </x:c>
      <x:c r="AL503" s="1">
        <x:v>41710</x:v>
      </x:c>
      <x:c r="AM503" s="1"/>
      <x:c r="AN503" s="1"/>
      <x:c r="AO503" s="1"/>
      <x:c r="AP503" s="1"/>
      <x:c r="AQ503" s="1"/>
      <x:c r="AR503" s="1"/>
    </x:row>
    <x:row r="504">
      <x:c r="A504" s="1"/>
      <x:c r="B504" s="1"/>
      <x:c r="C504" s="1"/>
      <x:c r="D504" s="1"/>
      <x:c r="E504" s="1"/>
      <x:c r="F504" s="1"/>
      <x:c r="G504" s="1"/>
      <x:c r="H504" s="1"/>
      <x:c r="I504" s="1"/>
      <x:c r="J504" s="1"/>
      <x:c r="K504" s="1"/>
      <x:c r="L504" s="1"/>
      <x:c r="M504" s="1"/>
      <x:c r="N504" s="1"/>
      <x:c r="O504" s="1"/>
      <x:c r="P504" s="1"/>
      <x:c r="Q504" s="1"/>
      <x:c r="R504" s="1"/>
      <x:c r="S504" s="1"/>
      <x:c r="T504" s="1"/>
      <x:c r="U504" s="1"/>
      <x:c r="V504" s="1"/>
      <x:c r="W504" s="1"/>
      <x:c r="X504" s="1"/>
      <x:c r="Y504" s="1"/>
      <x:c r="Z504" s="1"/>
      <x:c r="AA504" s="1"/>
      <x:c r="AB504" s="1"/>
      <x:c r="AC504" s="1"/>
      <x:c r="AD504" s="1"/>
      <x:c r="AE504" s="1"/>
      <x:c r="AF504" s="1"/>
      <x:c r="AG504" s="1"/>
      <x:c r="AH504" s="1"/>
      <x:c r="AI504" s="1" t="s">
        <x:v>482</x:v>
      </x:c>
      <x:c r="AJ504" s="1" t="s">
        <x:v>27</x:v>
      </x:c>
      <x:c r="AK504" s="1">
        <x:v>8.8239999999999998</x:v>
      </x:c>
      <x:c r="AL504" s="1">
        <x:v>222270</x:v>
      </x:c>
      <x:c r="AM504" s="1"/>
      <x:c r="AN504" s="1"/>
      <x:c r="AO504" s="1"/>
      <x:c r="AP504" s="1"/>
      <x:c r="AQ504" s="1"/>
      <x:c r="AR504" s="1"/>
    </x:row>
    <x:row r="505">
      <x:c r="A505" s="1"/>
      <x:c r="B505" s="1"/>
      <x:c r="C505" s="1"/>
      <x:c r="D505" s="1"/>
      <x:c r="E505" s="1"/>
      <x:c r="F505" s="1"/>
      <x:c r="G505" s="1"/>
      <x:c r="H505" s="1"/>
      <x:c r="I505" s="1"/>
      <x:c r="J505" s="1"/>
      <x:c r="K505" s="1"/>
      <x:c r="L505" s="1"/>
      <x:c r="M505" s="1"/>
      <x:c r="N505" s="1"/>
      <x:c r="O505" s="1"/>
      <x:c r="P505" s="1"/>
      <x:c r="Q505" s="1"/>
      <x:c r="R505" s="1"/>
      <x:c r="S505" s="1"/>
      <x:c r="T505" s="1"/>
      <x:c r="U505" s="1"/>
      <x:c r="V505" s="1"/>
      <x:c r="W505" s="1"/>
      <x:c r="X505" s="1"/>
      <x:c r="Y505" s="1"/>
      <x:c r="Z505" s="1"/>
      <x:c r="AA505" s="1"/>
      <x:c r="AB505" s="1"/>
      <x:c r="AC505" s="1"/>
      <x:c r="AD505" s="1"/>
      <x:c r="AE505" s="1"/>
      <x:c r="AF505" s="1"/>
      <x:c r="AG505" s="1"/>
      <x:c r="AH505" s="1"/>
      <x:c r="AI505" s="1" t="s">
        <x:v>484</x:v>
      </x:c>
      <x:c r="AJ505" s="1" t="s">
        <x:v>35</x:v>
      </x:c>
      <x:c r="AK505" s="1">
        <x:v>8.6</x:v>
      </x:c>
      <x:c r="AL505" s="1">
        <x:v>113110</x:v>
      </x:c>
      <x:c r="AM505" s="1"/>
      <x:c r="AN505" s="1"/>
      <x:c r="AO505" s="1"/>
      <x:c r="AP505" s="1"/>
      <x:c r="AQ505" s="1"/>
      <x:c r="AR505" s="1"/>
    </x:row>
    <x:row r="506">
      <x:c r="A506" s="1"/>
      <x:c r="B506" s="1"/>
      <x:c r="C506" s="1"/>
      <x:c r="D506" s="1"/>
      <x:c r="E506" s="1"/>
      <x:c r="F506" s="1"/>
      <x:c r="G506" s="1"/>
      <x:c r="H506" s="1"/>
      <x:c r="I506" s="1"/>
      <x:c r="J506" s="1"/>
      <x:c r="K506" s="1"/>
      <x:c r="L506" s="1"/>
      <x:c r="M506" s="1"/>
      <x:c r="N506" s="1"/>
      <x:c r="O506" s="1"/>
      <x:c r="P506" s="1"/>
      <x:c r="Q506" s="1"/>
      <x:c r="R506" s="1"/>
      <x:c r="S506" s="1"/>
      <x:c r="T506" s="1"/>
      <x:c r="U506" s="1"/>
      <x:c r="V506" s="1"/>
      <x:c r="W506" s="1"/>
      <x:c r="X506" s="1"/>
      <x:c r="Y506" s="1"/>
      <x:c r="Z506" s="1"/>
      <x:c r="AA506" s="1"/>
      <x:c r="AB506" s="1"/>
      <x:c r="AC506" s="1"/>
      <x:c r="AD506" s="1"/>
      <x:c r="AE506" s="1"/>
      <x:c r="AF506" s="1"/>
      <x:c r="AG506" s="1"/>
      <x:c r="AH506" s="1"/>
      <x:c r="AI506" s="1" t="s">
        <x:v>486</x:v>
      </x:c>
      <x:c r="AJ506" s="1" t="s">
        <x:v>31</x:v>
      </x:c>
      <x:c r="AK506" s="1">
        <x:v>8.5649999999999995</x:v>
      </x:c>
      <x:c r="AL506" s="1">
        <x:v>241500</x:v>
      </x:c>
      <x:c r="AM506" s="1"/>
      <x:c r="AN506" s="1"/>
      <x:c r="AO506" s="1"/>
      <x:c r="AP506" s="1"/>
      <x:c r="AQ506" s="1"/>
      <x:c r="AR506" s="1"/>
    </x:row>
    <x:row r="507">
      <x:c r="A507" s="1"/>
      <x:c r="B507" s="1"/>
      <x:c r="C507" s="1"/>
      <x:c r="D507" s="1"/>
      <x:c r="E507" s="1"/>
      <x:c r="F507" s="1"/>
      <x:c r="G507" s="1"/>
      <x:c r="H507" s="1"/>
      <x:c r="I507" s="1"/>
      <x:c r="J507" s="1"/>
      <x:c r="K507" s="1"/>
      <x:c r="L507" s="1"/>
      <x:c r="M507" s="1"/>
      <x:c r="N507" s="1"/>
      <x:c r="O507" s="1"/>
      <x:c r="P507" s="1"/>
      <x:c r="Q507" s="1"/>
      <x:c r="R507" s="1"/>
      <x:c r="S507" s="1"/>
      <x:c r="T507" s="1"/>
      <x:c r="U507" s="1"/>
      <x:c r="V507" s="1"/>
      <x:c r="W507" s="1"/>
      <x:c r="X507" s="1"/>
      <x:c r="Y507" s="1"/>
      <x:c r="Z507" s="1"/>
      <x:c r="AA507" s="1"/>
      <x:c r="AB507" s="1"/>
      <x:c r="AC507" s="1"/>
      <x:c r="AD507" s="1"/>
      <x:c r="AE507" s="1"/>
      <x:c r="AF507" s="1"/>
      <x:c r="AG507" s="1"/>
      <x:c r="AH507" s="1"/>
      <x:c r="AI507" s="1" t="s">
        <x:v>488</x:v>
      </x:c>
      <x:c r="AJ507" s="1" t="s">
        <x:v>39</x:v>
      </x:c>
      <x:c r="AK507" s="1">
        <x:v>8.4949999999999992</x:v>
      </x:c>
      <x:c r="AL507" s="1">
        <x:v>103330</x:v>
      </x:c>
      <x:c r="AM507" s="1"/>
      <x:c r="AN507" s="1"/>
      <x:c r="AO507" s="1"/>
      <x:c r="AP507" s="1"/>
      <x:c r="AQ507" s="1"/>
      <x:c r="AR507" s="1"/>
    </x:row>
    <x:row r="508">
      <x:c r="A508" s="1"/>
      <x:c r="B508" s="1"/>
      <x:c r="C508" s="1"/>
      <x:c r="D508" s="1"/>
      <x:c r="E508" s="1"/>
      <x:c r="F508" s="1"/>
      <x:c r="G508" s="1"/>
      <x:c r="H508" s="1"/>
      <x:c r="I508" s="1"/>
      <x:c r="J508" s="1"/>
      <x:c r="K508" s="1"/>
      <x:c r="L508" s="1"/>
      <x:c r="M508" s="1"/>
      <x:c r="N508" s="1"/>
      <x:c r="O508" s="1"/>
      <x:c r="P508" s="1"/>
      <x:c r="Q508" s="1"/>
      <x:c r="R508" s="1"/>
      <x:c r="S508" s="1"/>
      <x:c r="T508" s="1"/>
      <x:c r="U508" s="1"/>
      <x:c r="V508" s="1"/>
      <x:c r="W508" s="1"/>
      <x:c r="X508" s="1"/>
      <x:c r="Y508" s="1"/>
      <x:c r="Z508" s="1"/>
      <x:c r="AA508" s="1"/>
      <x:c r="AB508" s="1"/>
      <x:c r="AC508" s="1"/>
      <x:c r="AD508" s="1"/>
      <x:c r="AE508" s="1"/>
      <x:c r="AF508" s="1"/>
      <x:c r="AG508" s="1"/>
      <x:c r="AH508" s="1"/>
      <x:c r="AI508" s="1" t="s">
        <x:v>490</x:v>
      </x:c>
      <x:c r="AJ508" s="1" t="s">
        <x:v>43</x:v>
      </x:c>
      <x:c r="AK508" s="1">
        <x:v>8.4079999999999995</x:v>
      </x:c>
      <x:c r="AL508" s="1">
        <x:v>12800</x:v>
      </x:c>
      <x:c r="AM508" s="1"/>
      <x:c r="AN508" s="1"/>
      <x:c r="AO508" s="1"/>
      <x:c r="AP508" s="1"/>
      <x:c r="AQ508" s="1"/>
      <x:c r="AR508" s="1"/>
    </x:row>
    <x:row r="509">
      <x:c r="A509" s="1"/>
      <x:c r="B509" s="1"/>
      <x:c r="C509" s="1"/>
      <x:c r="D509" s="1"/>
      <x:c r="E509" s="1"/>
      <x:c r="F509" s="1"/>
      <x:c r="G509" s="1"/>
      <x:c r="H509" s="1"/>
      <x:c r="I509" s="1"/>
      <x:c r="J509" s="1"/>
      <x:c r="K509" s="1"/>
      <x:c r="L509" s="1"/>
      <x:c r="M509" s="1"/>
      <x:c r="N509" s="1"/>
      <x:c r="O509" s="1"/>
      <x:c r="P509" s="1"/>
      <x:c r="Q509" s="1"/>
      <x:c r="R509" s="1"/>
      <x:c r="S509" s="1"/>
      <x:c r="T509" s="1"/>
      <x:c r="U509" s="1"/>
      <x:c r="V509" s="1"/>
      <x:c r="W509" s="1"/>
      <x:c r="X509" s="1"/>
      <x:c r="Y509" s="1"/>
      <x:c r="Z509" s="1"/>
      <x:c r="AA509" s="1"/>
      <x:c r="AB509" s="1"/>
      <x:c r="AC509" s="1"/>
      <x:c r="AD509" s="1"/>
      <x:c r="AE509" s="1"/>
      <x:c r="AF509" s="1"/>
      <x:c r="AG509" s="1"/>
      <x:c r="AH509" s="1"/>
      <x:c r="AI509" s="1" t="s">
        <x:v>492</x:v>
      </x:c>
      <x:c r="AJ509" s="1" t="s">
        <x:v>55</x:v>
      </x:c>
      <x:c r="AK509" s="1">
        <x:v>7.9029999999999996</x:v>
      </x:c>
      <x:c r="AL509" s="1">
        <x:v>124760</x:v>
      </x:c>
      <x:c r="AM509" s="1"/>
      <x:c r="AN509" s="1"/>
      <x:c r="AO509" s="1"/>
      <x:c r="AP509" s="1"/>
      <x:c r="AQ509" s="1"/>
      <x:c r="AR509" s="1"/>
    </x:row>
    <x:row r="510">
      <x:c r="A510" s="1"/>
      <x:c r="B510" s="1"/>
      <x:c r="C510" s="1"/>
      <x:c r="D510" s="1"/>
      <x:c r="E510" s="1"/>
      <x:c r="F510" s="1"/>
      <x:c r="G510" s="1"/>
      <x:c r="H510" s="1"/>
      <x:c r="I510" s="1"/>
      <x:c r="J510" s="1"/>
      <x:c r="K510" s="1"/>
      <x:c r="L510" s="1"/>
      <x:c r="M510" s="1"/>
      <x:c r="N510" s="1"/>
      <x:c r="O510" s="1"/>
      <x:c r="P510" s="1"/>
      <x:c r="Q510" s="1"/>
      <x:c r="R510" s="1"/>
      <x:c r="S510" s="1"/>
      <x:c r="T510" s="1"/>
      <x:c r="U510" s="1"/>
      <x:c r="V510" s="1"/>
      <x:c r="W510" s="1"/>
      <x:c r="X510" s="1"/>
      <x:c r="Y510" s="1"/>
      <x:c r="Z510" s="1"/>
      <x:c r="AA510" s="1"/>
      <x:c r="AB510" s="1"/>
      <x:c r="AC510" s="1"/>
      <x:c r="AD510" s="1"/>
      <x:c r="AE510" s="1"/>
      <x:c r="AF510" s="1"/>
      <x:c r="AG510" s="1"/>
      <x:c r="AH510" s="1"/>
      <x:c r="AI510" s="1" t="s">
        <x:v>493</x:v>
      </x:c>
      <x:c r="AJ510" s="1" t="s">
        <x:v>51</x:v>
      </x:c>
      <x:c r="AK510" s="1">
        <x:v>7.7830000000000004</x:v>
      </x:c>
      <x:c r="AL510" s="1">
        <x:v>228510</x:v>
      </x:c>
      <x:c r="AM510" s="1"/>
      <x:c r="AN510" s="1"/>
      <x:c r="AO510" s="1"/>
      <x:c r="AP510" s="1"/>
      <x:c r="AQ510" s="1"/>
      <x:c r="AR510" s="1"/>
    </x:row>
    <x:row r="511">
      <x:c r="A511" s="1"/>
      <x:c r="B511" s="1"/>
      <x:c r="C511" s="1"/>
      <x:c r="D511" s="1"/>
      <x:c r="E511" s="1"/>
      <x:c r="F511" s="1"/>
      <x:c r="G511" s="1"/>
      <x:c r="H511" s="1"/>
      <x:c r="I511" s="1"/>
      <x:c r="J511" s="1"/>
      <x:c r="K511" s="1"/>
      <x:c r="L511" s="1"/>
      <x:c r="M511" s="1"/>
      <x:c r="N511" s="1"/>
      <x:c r="O511" s="1"/>
      <x:c r="P511" s="1"/>
      <x:c r="Q511" s="1"/>
      <x:c r="R511" s="1"/>
      <x:c r="S511" s="1"/>
      <x:c r="T511" s="1"/>
      <x:c r="U511" s="1"/>
      <x:c r="V511" s="1"/>
      <x:c r="W511" s="1"/>
      <x:c r="X511" s="1"/>
      <x:c r="Y511" s="1"/>
      <x:c r="Z511" s="1"/>
      <x:c r="AA511" s="1"/>
      <x:c r="AB511" s="1"/>
      <x:c r="AC511" s="1"/>
      <x:c r="AD511" s="1"/>
      <x:c r="AE511" s="1"/>
      <x:c r="AF511" s="1"/>
      <x:c r="AG511" s="1"/>
      <x:c r="AH511" s="1"/>
      <x:c r="AI511" s="1" t="s">
        <x:v>600</x:v>
      </x:c>
      <x:c r="AJ511" s="1" t="s">
        <x:v>47</x:v>
      </x:c>
      <x:c r="AK511" s="1">
        <x:v>7.6310000000000002</x:v>
      </x:c>
      <x:c r="AL511" s="1">
        <x:v>196660</x:v>
      </x:c>
      <x:c r="AM511" s="1"/>
      <x:c r="AN511" s="1"/>
      <x:c r="AO511" s="1"/>
      <x:c r="AP511" s="1"/>
      <x:c r="AQ511" s="1"/>
      <x:c r="AR511" s="1"/>
    </x:row>
    <x:row r="512">
      <x:c r="A512" s="1"/>
      <x:c r="B512" s="1"/>
      <x:c r="C512" s="1"/>
      <x:c r="D512" s="1"/>
      <x:c r="E512" s="1"/>
      <x:c r="F512" s="1"/>
      <x:c r="G512" s="1"/>
      <x:c r="H512" s="1"/>
      <x:c r="I512" s="1"/>
      <x:c r="J512" s="1"/>
      <x:c r="K512" s="1"/>
      <x:c r="L512" s="1"/>
      <x:c r="M512" s="1"/>
      <x:c r="N512" s="1"/>
      <x:c r="O512" s="1"/>
      <x:c r="P512" s="1"/>
      <x:c r="Q512" s="1"/>
      <x:c r="R512" s="1"/>
      <x:c r="S512" s="1"/>
      <x:c r="T512" s="1"/>
      <x:c r="U512" s="1"/>
      <x:c r="V512" s="1"/>
      <x:c r="W512" s="1"/>
      <x:c r="X512" s="1"/>
      <x:c r="Y512" s="1"/>
      <x:c r="Z512" s="1"/>
      <x:c r="AA512" s="1"/>
      <x:c r="AB512" s="1"/>
      <x:c r="AC512" s="1"/>
      <x:c r="AD512" s="1"/>
      <x:c r="AE512" s="1"/>
      <x:c r="AF512" s="1"/>
      <x:c r="AG512" s="1"/>
      <x:c r="AH512" s="1"/>
      <x:c r="AI512" s="1" t="s">
        <x:v>601</x:v>
      </x:c>
      <x:c r="AJ512" s="1" t="s">
        <x:v>59</x:v>
      </x:c>
      <x:c r="AK512" s="1">
        <x:v>7.4740000000000002</x:v>
      </x:c>
      <x:c r="AL512" s="1">
        <x:v>220090</x:v>
      </x:c>
      <x:c r="AM512" s="1"/>
      <x:c r="AN512" s="1"/>
      <x:c r="AO512" s="1"/>
      <x:c r="AP512" s="1"/>
      <x:c r="AQ512" s="1"/>
      <x:c r="AR512" s="1"/>
    </x:row>
    <x:row r="513">
      <x:c r="A513" s="1"/>
      <x:c r="B513" s="1"/>
      <x:c r="C513" s="1"/>
      <x:c r="D513" s="1"/>
      <x:c r="E513" s="1"/>
      <x:c r="F513" s="1"/>
      <x:c r="G513" s="1"/>
      <x:c r="H513" s="1"/>
      <x:c r="I513" s="1"/>
      <x:c r="J513" s="1"/>
      <x:c r="K513" s="1"/>
      <x:c r="L513" s="1"/>
      <x:c r="M513" s="1"/>
      <x:c r="N513" s="1"/>
      <x:c r="O513" s="1"/>
      <x:c r="P513" s="1"/>
      <x:c r="Q513" s="1"/>
      <x:c r="R513" s="1"/>
      <x:c r="S513" s="1"/>
      <x:c r="T513" s="1"/>
      <x:c r="U513" s="1"/>
      <x:c r="V513" s="1"/>
      <x:c r="W513" s="1"/>
      <x:c r="X513" s="1"/>
      <x:c r="Y513" s="1"/>
      <x:c r="Z513" s="1"/>
      <x:c r="AA513" s="1"/>
      <x:c r="AB513" s="1"/>
      <x:c r="AC513" s="1"/>
      <x:c r="AD513" s="1"/>
      <x:c r="AE513" s="1"/>
      <x:c r="AF513" s="1"/>
      <x:c r="AG513" s="1"/>
      <x:c r="AH513" s="1"/>
      <x:c r="AI513" s="1" t="s">
        <x:v>602</x:v>
      </x:c>
      <x:c r="AJ513" s="1" t="s">
        <x:v>63</x:v>
      </x:c>
      <x:c r="AK513" s="1">
        <x:v>6.9980000000000002</x:v>
      </x:c>
      <x:c r="AL513" s="1">
        <x:v>272920</x:v>
      </x:c>
      <x:c r="AM513" s="1"/>
      <x:c r="AN513" s="1"/>
      <x:c r="AO513" s="1"/>
      <x:c r="AP513" s="1"/>
      <x:c r="AQ513" s="1"/>
      <x:c r="AR513" s="1"/>
    </x:row>
    <x:row r="514">
      <x:c r="A514" s="1"/>
      <x:c r="B514" s="1"/>
      <x:c r="C514" s="1"/>
      <x:c r="D514" s="1"/>
      <x:c r="E514" s="1"/>
      <x:c r="F514" s="1"/>
      <x:c r="G514" s="1"/>
      <x:c r="H514" s="1"/>
      <x:c r="I514" s="1"/>
      <x:c r="J514" s="1"/>
      <x:c r="K514" s="1"/>
      <x:c r="L514" s="1"/>
      <x:c r="M514" s="1"/>
      <x:c r="N514" s="1"/>
      <x:c r="O514" s="1"/>
      <x:c r="P514" s="1"/>
      <x:c r="Q514" s="1"/>
      <x:c r="R514" s="1"/>
      <x:c r="S514" s="1"/>
      <x:c r="T514" s="1"/>
      <x:c r="U514" s="1"/>
      <x:c r="V514" s="1"/>
      <x:c r="W514" s="1"/>
      <x:c r="X514" s="1"/>
      <x:c r="Y514" s="1"/>
      <x:c r="Z514" s="1"/>
      <x:c r="AA514" s="1"/>
      <x:c r="AB514" s="1"/>
      <x:c r="AC514" s="1"/>
      <x:c r="AD514" s="1"/>
      <x:c r="AE514" s="1"/>
      <x:c r="AF514" s="1"/>
      <x:c r="AG514" s="1"/>
      <x:c r="AH514" s="1"/>
      <x:c r="AI514" s="1" t="s">
        <x:v>603</x:v>
      </x:c>
      <x:c r="AJ514" s="1" t="s">
        <x:v>71</x:v>
      </x:c>
      <x:c r="AK514" s="1">
        <x:v>6.8970000000000002</x:v>
      </x:c>
      <x:c r="AL514" s="1">
        <x:v>405180</x:v>
      </x:c>
      <x:c r="AM514" s="1"/>
      <x:c r="AN514" s="1"/>
      <x:c r="AO514" s="1"/>
      <x:c r="AP514" s="1"/>
      <x:c r="AQ514" s="1"/>
      <x:c r="AR514" s="1"/>
    </x:row>
    <x:row r="515">
      <x:c r="A515" s="1"/>
      <x:c r="B515" s="1"/>
      <x:c r="C515" s="1"/>
      <x:c r="D515" s="1"/>
      <x:c r="E515" s="1"/>
      <x:c r="F515" s="1"/>
      <x:c r="G515" s="1"/>
      <x:c r="H515" s="1"/>
      <x:c r="I515" s="1"/>
      <x:c r="J515" s="1"/>
      <x:c r="K515" s="1"/>
      <x:c r="L515" s="1"/>
      <x:c r="M515" s="1"/>
      <x:c r="N515" s="1"/>
      <x:c r="O515" s="1"/>
      <x:c r="P515" s="1"/>
      <x:c r="Q515" s="1"/>
      <x:c r="R515" s="1"/>
      <x:c r="S515" s="1"/>
      <x:c r="T515" s="1"/>
      <x:c r="U515" s="1"/>
      <x:c r="V515" s="1"/>
      <x:c r="W515" s="1"/>
      <x:c r="X515" s="1"/>
      <x:c r="Y515" s="1"/>
      <x:c r="Z515" s="1"/>
      <x:c r="AA515" s="1"/>
      <x:c r="AB515" s="1"/>
      <x:c r="AC515" s="1"/>
      <x:c r="AD515" s="1"/>
      <x:c r="AE515" s="1"/>
      <x:c r="AF515" s="1"/>
      <x:c r="AG515" s="1"/>
      <x:c r="AH515" s="1"/>
      <x:c r="AI515" s="1" t="s">
        <x:v>604</x:v>
      </x:c>
      <x:c r="AJ515" s="1" t="s">
        <x:v>79</x:v>
      </x:c>
      <x:c r="AK515" s="1">
        <x:v>6.6040000000000001</x:v>
      </x:c>
      <x:c r="AL515" s="1">
        <x:v>124260</x:v>
      </x:c>
      <x:c r="AM515" s="1"/>
      <x:c r="AN515" s="1"/>
      <x:c r="AO515" s="1"/>
      <x:c r="AP515" s="1"/>
      <x:c r="AQ515" s="1"/>
      <x:c r="AR515" s="1"/>
    </x:row>
    <x:row r="516">
      <x:c r="A516" s="1"/>
      <x:c r="B516" s="1"/>
      <x:c r="C516" s="1"/>
      <x:c r="D516" s="1"/>
      <x:c r="E516" s="1"/>
      <x:c r="F516" s="1"/>
      <x:c r="G516" s="1"/>
      <x:c r="H516" s="1"/>
      <x:c r="I516" s="1"/>
      <x:c r="J516" s="1"/>
      <x:c r="K516" s="1"/>
      <x:c r="L516" s="1"/>
      <x:c r="M516" s="1"/>
      <x:c r="N516" s="1"/>
      <x:c r="O516" s="1"/>
      <x:c r="P516" s="1"/>
      <x:c r="Q516" s="1"/>
      <x:c r="R516" s="1"/>
      <x:c r="S516" s="1"/>
      <x:c r="T516" s="1"/>
      <x:c r="U516" s="1"/>
      <x:c r="V516" s="1"/>
      <x:c r="W516" s="1"/>
      <x:c r="X516" s="1"/>
      <x:c r="Y516" s="1"/>
      <x:c r="Z516" s="1"/>
      <x:c r="AA516" s="1"/>
      <x:c r="AB516" s="1"/>
      <x:c r="AC516" s="1"/>
      <x:c r="AD516" s="1"/>
      <x:c r="AE516" s="1"/>
      <x:c r="AF516" s="1"/>
      <x:c r="AG516" s="1"/>
      <x:c r="AH516" s="1"/>
      <x:c r="AI516" s="1" t="s">
        <x:v>605</x:v>
      </x:c>
      <x:c r="AJ516" s="1" t="s">
        <x:v>67</x:v>
      </x:c>
      <x:c r="AK516" s="1">
        <x:v>6.383</x:v>
      </x:c>
      <x:c r="AL516" s="1">
        <x:v>6000</x:v>
      </x:c>
      <x:c r="AM516" s="1"/>
      <x:c r="AN516" s="1"/>
      <x:c r="AO516" s="1"/>
      <x:c r="AP516" s="1"/>
      <x:c r="AQ516" s="1"/>
      <x:c r="AR516" s="1"/>
    </x:row>
    <x:row r="517">
      <x:c r="A517" s="1"/>
      <x:c r="B517" s="1"/>
      <x:c r="C517" s="1"/>
      <x:c r="D517" s="1"/>
      <x:c r="E517" s="1"/>
      <x:c r="F517" s="1"/>
      <x:c r="G517" s="1"/>
      <x:c r="H517" s="1"/>
      <x:c r="I517" s="1"/>
      <x:c r="J517" s="1"/>
      <x:c r="K517" s="1"/>
      <x:c r="L517" s="1"/>
      <x:c r="M517" s="1"/>
      <x:c r="N517" s="1"/>
      <x:c r="O517" s="1"/>
      <x:c r="P517" s="1"/>
      <x:c r="Q517" s="1"/>
      <x:c r="R517" s="1"/>
      <x:c r="S517" s="1"/>
      <x:c r="T517" s="1"/>
      <x:c r="U517" s="1"/>
      <x:c r="V517" s="1"/>
      <x:c r="W517" s="1"/>
      <x:c r="X517" s="1"/>
      <x:c r="Y517" s="1"/>
      <x:c r="Z517" s="1"/>
      <x:c r="AA517" s="1"/>
      <x:c r="AB517" s="1"/>
      <x:c r="AC517" s="1"/>
      <x:c r="AD517" s="1"/>
      <x:c r="AE517" s="1"/>
      <x:c r="AF517" s="1"/>
      <x:c r="AG517" s="1"/>
      <x:c r="AH517" s="1"/>
      <x:c r="AI517" s="1" t="s">
        <x:v>606</x:v>
      </x:c>
      <x:c r="AJ517" s="1" t="s">
        <x:v>75</x:v>
      </x:c>
      <x:c r="AK517" s="1">
        <x:v>6.032</x:v>
      </x:c>
      <x:c r="AL517" s="1">
        <x:v>3420</x:v>
      </x:c>
      <x:c r="AM517" s="1"/>
      <x:c r="AN517" s="1"/>
      <x:c r="AO517" s="1"/>
      <x:c r="AP517" s="1"/>
      <x:c r="AQ517" s="1"/>
      <x:c r="AR517" s="1"/>
    </x:row>
    <x:row r="518">
      <x:c r="A518" s="1"/>
      <x:c r="B518" s="1"/>
      <x:c r="C518" s="1"/>
      <x:c r="D518" s="1"/>
      <x:c r="E518" s="1"/>
      <x:c r="F518" s="1"/>
      <x:c r="G518" s="1"/>
      <x:c r="H518" s="1"/>
      <x:c r="I518" s="1"/>
      <x:c r="J518" s="1"/>
      <x:c r="K518" s="1"/>
      <x:c r="L518" s="1"/>
      <x:c r="M518" s="1"/>
      <x:c r="N518" s="1"/>
      <x:c r="O518" s="1"/>
      <x:c r="P518" s="1"/>
      <x:c r="Q518" s="1"/>
      <x:c r="R518" s="1"/>
      <x:c r="S518" s="1"/>
      <x:c r="T518" s="1"/>
      <x:c r="U518" s="1"/>
      <x:c r="V518" s="1"/>
      <x:c r="W518" s="1"/>
      <x:c r="X518" s="1"/>
      <x:c r="Y518" s="1"/>
      <x:c r="Z518" s="1"/>
      <x:c r="AA518" s="1"/>
      <x:c r="AB518" s="1"/>
      <x:c r="AC518" s="1"/>
      <x:c r="AD518" s="1"/>
      <x:c r="AE518" s="1"/>
      <x:c r="AF518" s="1"/>
      <x:c r="AG518" s="1"/>
      <x:c r="AH518" s="1"/>
      <x:c r="AI518" s="1" t="s">
        <x:v>607</x:v>
      </x:c>
      <x:c r="AJ518" s="1" t="s">
        <x:v>83</x:v>
      </x:c>
      <x:c r="AK518" s="1">
        <x:v>5.8789999999999996</x:v>
      </x:c>
      <x:c r="AL518" s="1">
        <x:v>97700</x:v>
      </x:c>
      <x:c r="AM518" s="1"/>
      <x:c r="AN518" s="1"/>
      <x:c r="AO518" s="1"/>
      <x:c r="AP518" s="1"/>
      <x:c r="AQ518" s="1"/>
      <x:c r="AR518" s="1"/>
    </x:row>
    <x:row r="519">
      <x:c r="A519" s="1"/>
      <x:c r="B519" s="1"/>
      <x:c r="C519" s="1"/>
      <x:c r="D519" s="1"/>
      <x:c r="E519" s="1"/>
      <x:c r="F519" s="1"/>
      <x:c r="G519" s="1"/>
      <x:c r="H519" s="1"/>
      <x:c r="I519" s="1"/>
      <x:c r="J519" s="1"/>
      <x:c r="K519" s="1"/>
      <x:c r="L519" s="1"/>
      <x:c r="M519" s="1"/>
      <x:c r="N519" s="1"/>
      <x:c r="O519" s="1"/>
      <x:c r="P519" s="1"/>
      <x:c r="Q519" s="1"/>
      <x:c r="R519" s="1"/>
      <x:c r="S519" s="1"/>
      <x:c r="T519" s="1"/>
      <x:c r="U519" s="1"/>
      <x:c r="V519" s="1"/>
      <x:c r="W519" s="1"/>
      <x:c r="X519" s="1"/>
      <x:c r="Y519" s="1"/>
      <x:c r="Z519" s="1"/>
      <x:c r="AA519" s="1"/>
      <x:c r="AB519" s="1"/>
      <x:c r="AC519" s="1"/>
      <x:c r="AD519" s="1"/>
      <x:c r="AE519" s="1"/>
      <x:c r="AF519" s="1"/>
      <x:c r="AG519" s="1"/>
      <x:c r="AH519" s="1"/>
      <x:c r="AI519" s="1" t="s">
        <x:v>494</x:v>
      </x:c>
      <x:c r="AJ519" s="1" t="s">
        <x:v>10</x:v>
      </x:c>
      <x:c r="AK519" s="1">
        <x:v>12.38</x:v>
      </x:c>
      <x:c r="AL519" s="1">
        <x:v>26360</x:v>
      </x:c>
      <x:c r="AM519" s="1"/>
      <x:c r="AN519" s="1"/>
      <x:c r="AO519" s="1"/>
      <x:c r="AP519" s="1"/>
      <x:c r="AQ519" s="1"/>
      <x:c r="AR519" s="1"/>
    </x:row>
    <x:row r="520">
      <x:c r="A520" s="1"/>
      <x:c r="B520" s="1"/>
      <x:c r="C520" s="1"/>
      <x:c r="D520" s="1"/>
      <x:c r="E520" s="1"/>
      <x:c r="F520" s="1"/>
      <x:c r="G520" s="1"/>
      <x:c r="H520" s="1"/>
      <x:c r="I520" s="1"/>
      <x:c r="J520" s="1"/>
      <x:c r="K520" s="1"/>
      <x:c r="L520" s="1"/>
      <x:c r="M520" s="1"/>
      <x:c r="N520" s="1"/>
      <x:c r="O520" s="1"/>
      <x:c r="P520" s="1"/>
      <x:c r="Q520" s="1"/>
      <x:c r="R520" s="1"/>
      <x:c r="S520" s="1"/>
      <x:c r="T520" s="1"/>
      <x:c r="U520" s="1"/>
      <x:c r="V520" s="1"/>
      <x:c r="W520" s="1"/>
      <x:c r="X520" s="1"/>
      <x:c r="Y520" s="1"/>
      <x:c r="Z520" s="1"/>
      <x:c r="AA520" s="1"/>
      <x:c r="AB520" s="1"/>
      <x:c r="AC520" s="1"/>
      <x:c r="AD520" s="1"/>
      <x:c r="AE520" s="1"/>
      <x:c r="AF520" s="1"/>
      <x:c r="AG520" s="1"/>
      <x:c r="AH520" s="1"/>
      <x:c r="AI520" s="1" t="s">
        <x:v>495</x:v>
      </x:c>
      <x:c r="AJ520" s="1" t="s">
        <x:v>14</x:v>
      </x:c>
      <x:c r="AK520" s="1">
        <x:v>11.411</x:v>
      </x:c>
      <x:c r="AL520" s="1">
        <x:v>22720</x:v>
      </x:c>
      <x:c r="AM520" s="1"/>
      <x:c r="AN520" s="1"/>
      <x:c r="AO520" s="1"/>
      <x:c r="AP520" s="1"/>
      <x:c r="AQ520" s="1"/>
      <x:c r="AR520" s="1"/>
    </x:row>
    <x:row r="521">
      <x:c r="A521" s="1"/>
      <x:c r="B521" s="1"/>
      <x:c r="C521" s="1"/>
      <x:c r="D521" s="1"/>
      <x:c r="E521" s="1"/>
      <x:c r="F521" s="1"/>
      <x:c r="G521" s="1"/>
      <x:c r="H521" s="1"/>
      <x:c r="I521" s="1"/>
      <x:c r="J521" s="1"/>
      <x:c r="K521" s="1"/>
      <x:c r="L521" s="1"/>
      <x:c r="M521" s="1"/>
      <x:c r="N521" s="1"/>
      <x:c r="O521" s="1"/>
      <x:c r="P521" s="1"/>
      <x:c r="Q521" s="1"/>
      <x:c r="R521" s="1"/>
      <x:c r="S521" s="1"/>
      <x:c r="T521" s="1"/>
      <x:c r="U521" s="1"/>
      <x:c r="V521" s="1"/>
      <x:c r="W521" s="1"/>
      <x:c r="X521" s="1"/>
      <x:c r="Y521" s="1"/>
      <x:c r="Z521" s="1"/>
      <x:c r="AA521" s="1"/>
      <x:c r="AB521" s="1"/>
      <x:c r="AC521" s="1"/>
      <x:c r="AD521" s="1"/>
      <x:c r="AE521" s="1"/>
      <x:c r="AF521" s="1"/>
      <x:c r="AG521" s="1"/>
      <x:c r="AH521" s="1"/>
      <x:c r="AI521" s="1" t="s">
        <x:v>496</x:v>
      </x:c>
      <x:c r="AJ521" s="1" t="s">
        <x:v>20</x:v>
      </x:c>
      <x:c r="AK521" s="1">
        <x:v>9.7870000000000008</x:v>
      </x:c>
      <x:c r="AL521" s="1">
        <x:v>48160</x:v>
      </x:c>
      <x:c r="AM521" s="1"/>
      <x:c r="AN521" s="1"/>
      <x:c r="AO521" s="1"/>
      <x:c r="AP521" s="1"/>
      <x:c r="AQ521" s="1"/>
      <x:c r="AR521" s="1"/>
    </x:row>
    <x:row r="522">
      <x:c r="A522" s="1"/>
      <x:c r="B522" s="1"/>
      <x:c r="C522" s="1"/>
      <x:c r="D522" s="1"/>
      <x:c r="E522" s="1"/>
      <x:c r="F522" s="1"/>
      <x:c r="G522" s="1"/>
      <x:c r="H522" s="1"/>
      <x:c r="I522" s="1"/>
      <x:c r="J522" s="1"/>
      <x:c r="K522" s="1"/>
      <x:c r="L522" s="1"/>
      <x:c r="M522" s="1"/>
      <x:c r="N522" s="1"/>
      <x:c r="O522" s="1"/>
      <x:c r="P522" s="1"/>
      <x:c r="Q522" s="1"/>
      <x:c r="R522" s="1"/>
      <x:c r="S522" s="1"/>
      <x:c r="T522" s="1"/>
      <x:c r="U522" s="1"/>
      <x:c r="V522" s="1"/>
      <x:c r="W522" s="1"/>
      <x:c r="X522" s="1"/>
      <x:c r="Y522" s="1"/>
      <x:c r="Z522" s="1"/>
      <x:c r="AA522" s="1"/>
      <x:c r="AB522" s="1"/>
      <x:c r="AC522" s="1"/>
      <x:c r="AD522" s="1"/>
      <x:c r="AE522" s="1"/>
      <x:c r="AF522" s="1"/>
      <x:c r="AG522" s="1"/>
      <x:c r="AH522" s="1"/>
      <x:c r="AI522" s="1" t="s">
        <x:v>497</x:v>
      </x:c>
      <x:c r="AJ522" s="1" t="s">
        <x:v>31</x:v>
      </x:c>
      <x:c r="AK522" s="1">
        <x:v>6.9169999999999998</x:v>
      </x:c>
      <x:c r="AL522" s="1">
        <x:v>209970</x:v>
      </x:c>
      <x:c r="AM522" s="1"/>
      <x:c r="AN522" s="1"/>
      <x:c r="AO522" s="1"/>
      <x:c r="AP522" s="1"/>
      <x:c r="AQ522" s="1"/>
      <x:c r="AR522" s="1"/>
    </x:row>
    <x:row r="523">
      <x:c r="A523" s="1"/>
      <x:c r="B523" s="1"/>
      <x:c r="C523" s="1"/>
      <x:c r="D523" s="1"/>
      <x:c r="E523" s="1"/>
      <x:c r="F523" s="1"/>
      <x:c r="G523" s="1"/>
      <x:c r="H523" s="1"/>
      <x:c r="I523" s="1"/>
      <x:c r="J523" s="1"/>
      <x:c r="K523" s="1"/>
      <x:c r="L523" s="1"/>
      <x:c r="M523" s="1"/>
      <x:c r="N523" s="1"/>
      <x:c r="O523" s="1"/>
      <x:c r="P523" s="1"/>
      <x:c r="Q523" s="1"/>
      <x:c r="R523" s="1"/>
      <x:c r="S523" s="1"/>
      <x:c r="T523" s="1"/>
      <x:c r="U523" s="1"/>
      <x:c r="V523" s="1"/>
      <x:c r="W523" s="1"/>
      <x:c r="X523" s="1"/>
      <x:c r="Y523" s="1"/>
      <x:c r="Z523" s="1"/>
      <x:c r="AA523" s="1"/>
      <x:c r="AB523" s="1"/>
      <x:c r="AC523" s="1"/>
      <x:c r="AD523" s="1"/>
      <x:c r="AE523" s="1"/>
      <x:c r="AF523" s="1"/>
      <x:c r="AG523" s="1"/>
      <x:c r="AH523" s="1"/>
      <x:c r="AI523" s="1" t="s">
        <x:v>498</x:v>
      </x:c>
      <x:c r="AJ523" s="1" t="s">
        <x:v>27</x:v>
      </x:c>
      <x:c r="AK523" s="1">
        <x:v>6.8330000000000002</x:v>
      </x:c>
      <x:c r="AL523" s="1">
        <x:v>185850</x:v>
      </x:c>
      <x:c r="AM523" s="1"/>
      <x:c r="AN523" s="1"/>
      <x:c r="AO523" s="1"/>
      <x:c r="AP523" s="1"/>
      <x:c r="AQ523" s="1"/>
      <x:c r="AR523" s="1"/>
    </x:row>
    <x:row r="524">
      <x:c r="A524" s="1"/>
      <x:c r="B524" s="1"/>
      <x:c r="C524" s="1"/>
      <x:c r="D524" s="1"/>
      <x:c r="E524" s="1"/>
      <x:c r="F524" s="1"/>
      <x:c r="G524" s="1"/>
      <x:c r="H524" s="1"/>
      <x:c r="I524" s="1"/>
      <x:c r="J524" s="1"/>
      <x:c r="K524" s="1"/>
      <x:c r="L524" s="1"/>
      <x:c r="M524" s="1"/>
      <x:c r="N524" s="1"/>
      <x:c r="O524" s="1"/>
      <x:c r="P524" s="1"/>
      <x:c r="Q524" s="1"/>
      <x:c r="R524" s="1"/>
      <x:c r="S524" s="1"/>
      <x:c r="T524" s="1"/>
      <x:c r="U524" s="1"/>
      <x:c r="V524" s="1"/>
      <x:c r="W524" s="1"/>
      <x:c r="X524" s="1"/>
      <x:c r="Y524" s="1"/>
      <x:c r="Z524" s="1"/>
      <x:c r="AA524" s="1"/>
      <x:c r="AB524" s="1"/>
      <x:c r="AC524" s="1"/>
      <x:c r="AD524" s="1"/>
      <x:c r="AE524" s="1"/>
      <x:c r="AF524" s="1"/>
      <x:c r="AG524" s="1"/>
      <x:c r="AH524" s="1"/>
      <x:c r="AI524" s="1" t="s">
        <x:v>499</x:v>
      </x:c>
      <x:c r="AJ524" s="1" t="s">
        <x:v>67</x:v>
      </x:c>
      <x:c r="AK524" s="1">
        <x:v>6.7839999999999998</x:v>
      </x:c>
      <x:c r="AL524" s="1">
        <x:v>7600</x:v>
      </x:c>
      <x:c r="AM524" s="1"/>
      <x:c r="AN524" s="1"/>
      <x:c r="AO524" s="1"/>
      <x:c r="AP524" s="1"/>
      <x:c r="AQ524" s="1"/>
      <x:c r="AR524" s="1"/>
    </x:row>
    <x:row r="525">
      <x:c r="A525" s="1"/>
      <x:c r="B525" s="1"/>
      <x:c r="C525" s="1"/>
      <x:c r="D525" s="1"/>
      <x:c r="E525" s="1"/>
      <x:c r="F525" s="1"/>
      <x:c r="G525" s="1"/>
      <x:c r="H525" s="1"/>
      <x:c r="I525" s="1"/>
      <x:c r="J525" s="1"/>
      <x:c r="K525" s="1"/>
      <x:c r="L525" s="1"/>
      <x:c r="M525" s="1"/>
      <x:c r="N525" s="1"/>
      <x:c r="O525" s="1"/>
      <x:c r="P525" s="1"/>
      <x:c r="Q525" s="1"/>
      <x:c r="R525" s="1"/>
      <x:c r="S525" s="1"/>
      <x:c r="T525" s="1"/>
      <x:c r="U525" s="1"/>
      <x:c r="V525" s="1"/>
      <x:c r="W525" s="1"/>
      <x:c r="X525" s="1"/>
      <x:c r="Y525" s="1"/>
      <x:c r="Z525" s="1"/>
      <x:c r="AA525" s="1"/>
      <x:c r="AB525" s="1"/>
      <x:c r="AC525" s="1"/>
      <x:c r="AD525" s="1"/>
      <x:c r="AE525" s="1"/>
      <x:c r="AF525" s="1"/>
      <x:c r="AG525" s="1"/>
      <x:c r="AH525" s="1"/>
      <x:c r="AI525" s="1" t="s">
        <x:v>500</x:v>
      </x:c>
      <x:c r="AJ525" s="1" t="s">
        <x:v>35</x:v>
      </x:c>
      <x:c r="AK525" s="1">
        <x:v>6.4630000000000001</x:v>
      </x:c>
      <x:c r="AL525" s="1">
        <x:v>91430</x:v>
      </x:c>
      <x:c r="AM525" s="1"/>
      <x:c r="AN525" s="1"/>
      <x:c r="AO525" s="1"/>
      <x:c r="AP525" s="1"/>
      <x:c r="AQ525" s="1"/>
      <x:c r="AR525" s="1"/>
    </x:row>
    <x:row r="526">
      <x:c r="A526" s="1"/>
      <x:c r="B526" s="1"/>
      <x:c r="C526" s="1"/>
      <x:c r="D526" s="1"/>
      <x:c r="E526" s="1"/>
      <x:c r="F526" s="1"/>
      <x:c r="G526" s="1"/>
      <x:c r="H526" s="1"/>
      <x:c r="I526" s="1"/>
      <x:c r="J526" s="1"/>
      <x:c r="K526" s="1"/>
      <x:c r="L526" s="1"/>
      <x:c r="M526" s="1"/>
      <x:c r="N526" s="1"/>
      <x:c r="O526" s="1"/>
      <x:c r="P526" s="1"/>
      <x:c r="Q526" s="1"/>
      <x:c r="R526" s="1"/>
      <x:c r="S526" s="1"/>
      <x:c r="T526" s="1"/>
      <x:c r="U526" s="1"/>
      <x:c r="V526" s="1"/>
      <x:c r="W526" s="1"/>
      <x:c r="X526" s="1"/>
      <x:c r="Y526" s="1"/>
      <x:c r="Z526" s="1"/>
      <x:c r="AA526" s="1"/>
      <x:c r="AB526" s="1"/>
      <x:c r="AC526" s="1"/>
      <x:c r="AD526" s="1"/>
      <x:c r="AE526" s="1"/>
      <x:c r="AF526" s="1"/>
      <x:c r="AG526" s="1"/>
      <x:c r="AH526" s="1"/>
      <x:c r="AI526" s="1" t="s">
        <x:v>501</x:v>
      </x:c>
      <x:c r="AJ526" s="1" t="s">
        <x:v>39</x:v>
      </x:c>
      <x:c r="AK526" s="1">
        <x:v>6.319</x:v>
      </x:c>
      <x:c r="AL526" s="1">
        <x:v>83750</x:v>
      </x:c>
      <x:c r="AM526" s="1"/>
      <x:c r="AN526" s="1"/>
      <x:c r="AO526" s="1"/>
      <x:c r="AP526" s="1"/>
      <x:c r="AQ526" s="1"/>
      <x:c r="AR526" s="1"/>
    </x:row>
    <x:row r="527">
      <x:c r="A527" s="1"/>
      <x:c r="B527" s="1"/>
      <x:c r="C527" s="1"/>
      <x:c r="D527" s="1"/>
      <x:c r="E527" s="1"/>
      <x:c r="F527" s="1"/>
      <x:c r="G527" s="1"/>
      <x:c r="H527" s="1"/>
      <x:c r="I527" s="1"/>
      <x:c r="J527" s="1"/>
      <x:c r="K527" s="1"/>
      <x:c r="L527" s="1"/>
      <x:c r="M527" s="1"/>
      <x:c r="N527" s="1"/>
      <x:c r="O527" s="1"/>
      <x:c r="P527" s="1"/>
      <x:c r="Q527" s="1"/>
      <x:c r="R527" s="1"/>
      <x:c r="S527" s="1"/>
      <x:c r="T527" s="1"/>
      <x:c r="U527" s="1"/>
      <x:c r="V527" s="1"/>
      <x:c r="W527" s="1"/>
      <x:c r="X527" s="1"/>
      <x:c r="Y527" s="1"/>
      <x:c r="Z527" s="1"/>
      <x:c r="AA527" s="1"/>
      <x:c r="AB527" s="1"/>
      <x:c r="AC527" s="1"/>
      <x:c r="AD527" s="1"/>
      <x:c r="AE527" s="1"/>
      <x:c r="AF527" s="1"/>
      <x:c r="AG527" s="1"/>
      <x:c r="AH527" s="1"/>
      <x:c r="AI527" s="1" t="s">
        <x:v>502</x:v>
      </x:c>
      <x:c r="AJ527" s="1" t="s">
        <x:v>75</x:v>
      </x:c>
      <x:c r="AK527" s="1">
        <x:v>6.1429999999999998</x:v>
      </x:c>
      <x:c r="AL527" s="1">
        <x:v>4340</x:v>
      </x:c>
      <x:c r="AM527" s="1"/>
      <x:c r="AN527" s="1"/>
      <x:c r="AO527" s="1"/>
      <x:c r="AP527" s="1"/>
      <x:c r="AQ527" s="1"/>
      <x:c r="AR527" s="1"/>
    </x:row>
    <x:row r="528">
      <x:c r="A528" s="1"/>
      <x:c r="B528" s="1"/>
      <x:c r="C528" s="1"/>
      <x:c r="D528" s="1"/>
      <x:c r="E528" s="1"/>
      <x:c r="F528" s="1"/>
      <x:c r="G528" s="1"/>
      <x:c r="H528" s="1"/>
      <x:c r="I528" s="1"/>
      <x:c r="J528" s="1"/>
      <x:c r="K528" s="1"/>
      <x:c r="L528" s="1"/>
      <x:c r="M528" s="1"/>
      <x:c r="N528" s="1"/>
      <x:c r="O528" s="1"/>
      <x:c r="P528" s="1"/>
      <x:c r="Q528" s="1"/>
      <x:c r="R528" s="1"/>
      <x:c r="S528" s="1"/>
      <x:c r="T528" s="1"/>
      <x:c r="U528" s="1"/>
      <x:c r="V528" s="1"/>
      <x:c r="W528" s="1"/>
      <x:c r="X528" s="1"/>
      <x:c r="Y528" s="1"/>
      <x:c r="Z528" s="1"/>
      <x:c r="AA528" s="1"/>
      <x:c r="AB528" s="1"/>
      <x:c r="AC528" s="1"/>
      <x:c r="AD528" s="1"/>
      <x:c r="AE528" s="1"/>
      <x:c r="AF528" s="1"/>
      <x:c r="AG528" s="1"/>
      <x:c r="AH528" s="1"/>
      <x:c r="AI528" s="1" t="s">
        <x:v>504</x:v>
      </x:c>
      <x:c r="AJ528" s="1" t="s">
        <x:v>43</x:v>
      </x:c>
      <x:c r="AK528" s="1">
        <x:v>5.9009999999999998</x:v>
      </x:c>
      <x:c r="AL528" s="1">
        <x:v>9740</x:v>
      </x:c>
      <x:c r="AM528" s="1"/>
      <x:c r="AN528" s="1"/>
      <x:c r="AO528" s="1"/>
      <x:c r="AP528" s="1"/>
      <x:c r="AQ528" s="1"/>
      <x:c r="AR528" s="1"/>
    </x:row>
    <x:row r="529">
      <x:c r="A529" s="1"/>
      <x:c r="B529" s="1"/>
      <x:c r="C529" s="1"/>
      <x:c r="D529" s="1"/>
      <x:c r="E529" s="1"/>
      <x:c r="F529" s="1"/>
      <x:c r="G529" s="1"/>
      <x:c r="H529" s="1"/>
      <x:c r="I529" s="1"/>
      <x:c r="J529" s="1"/>
      <x:c r="K529" s="1"/>
      <x:c r="L529" s="1"/>
      <x:c r="M529" s="1"/>
      <x:c r="N529" s="1"/>
      <x:c r="O529" s="1"/>
      <x:c r="P529" s="1"/>
      <x:c r="Q529" s="1"/>
      <x:c r="R529" s="1"/>
      <x:c r="S529" s="1"/>
      <x:c r="T529" s="1"/>
      <x:c r="U529" s="1"/>
      <x:c r="V529" s="1"/>
      <x:c r="W529" s="1"/>
      <x:c r="X529" s="1"/>
      <x:c r="Y529" s="1"/>
      <x:c r="Z529" s="1"/>
      <x:c r="AA529" s="1"/>
      <x:c r="AB529" s="1"/>
      <x:c r="AC529" s="1"/>
      <x:c r="AD529" s="1"/>
      <x:c r="AE529" s="1"/>
      <x:c r="AF529" s="1"/>
      <x:c r="AG529" s="1"/>
      <x:c r="AH529" s="1"/>
      <x:c r="AI529" s="1" t="s">
        <x:v>608</x:v>
      </x:c>
      <x:c r="AJ529" s="1" t="s">
        <x:v>55</x:v>
      </x:c>
      <x:c r="AK529" s="1">
        <x:v>5.7939999999999996</x:v>
      </x:c>
      <x:c r="AL529" s="1">
        <x:v>99460</x:v>
      </x:c>
      <x:c r="AM529" s="1"/>
      <x:c r="AN529" s="1"/>
      <x:c r="AO529" s="1"/>
      <x:c r="AP529" s="1"/>
      <x:c r="AQ529" s="1"/>
      <x:c r="AR529" s="1"/>
    </x:row>
    <x:row r="530">
      <x:c r="A530" s="1"/>
      <x:c r="B530" s="1"/>
      <x:c r="C530" s="1"/>
      <x:c r="D530" s="1"/>
      <x:c r="E530" s="1"/>
      <x:c r="F530" s="1"/>
      <x:c r="G530" s="1"/>
      <x:c r="H530" s="1"/>
      <x:c r="I530" s="1"/>
      <x:c r="J530" s="1"/>
      <x:c r="K530" s="1"/>
      <x:c r="L530" s="1"/>
      <x:c r="M530" s="1"/>
      <x:c r="N530" s="1"/>
      <x:c r="O530" s="1"/>
      <x:c r="P530" s="1"/>
      <x:c r="Q530" s="1"/>
      <x:c r="R530" s="1"/>
      <x:c r="S530" s="1"/>
      <x:c r="T530" s="1"/>
      <x:c r="U530" s="1"/>
      <x:c r="V530" s="1"/>
      <x:c r="W530" s="1"/>
      <x:c r="X530" s="1"/>
      <x:c r="Y530" s="1"/>
      <x:c r="Z530" s="1"/>
      <x:c r="AA530" s="1"/>
      <x:c r="AB530" s="1"/>
      <x:c r="AC530" s="1"/>
      <x:c r="AD530" s="1"/>
      <x:c r="AE530" s="1"/>
      <x:c r="AF530" s="1"/>
      <x:c r="AG530" s="1"/>
      <x:c r="AH530" s="1"/>
      <x:c r="AI530" s="1" t="s">
        <x:v>609</x:v>
      </x:c>
      <x:c r="AJ530" s="1" t="s">
        <x:v>47</x:v>
      </x:c>
      <x:c r="AK530" s="1">
        <x:v>5.5369999999999999</x:v>
      </x:c>
      <x:c r="AL530" s="1">
        <x:v>156390</x:v>
      </x:c>
      <x:c r="AM530" s="1"/>
      <x:c r="AN530" s="1"/>
      <x:c r="AO530" s="1"/>
      <x:c r="AP530" s="1"/>
      <x:c r="AQ530" s="1"/>
      <x:c r="AR530" s="1"/>
    </x:row>
    <x:row r="531">
      <x:c r="A531" s="1"/>
      <x:c r="B531" s="1"/>
      <x:c r="C531" s="1"/>
      <x:c r="D531" s="1"/>
      <x:c r="E531" s="1"/>
      <x:c r="F531" s="1"/>
      <x:c r="G531" s="1"/>
      <x:c r="H531" s="1"/>
      <x:c r="I531" s="1"/>
      <x:c r="J531" s="1"/>
      <x:c r="K531" s="1"/>
      <x:c r="L531" s="1"/>
      <x:c r="M531" s="1"/>
      <x:c r="N531" s="1"/>
      <x:c r="O531" s="1"/>
      <x:c r="P531" s="1"/>
      <x:c r="Q531" s="1"/>
      <x:c r="R531" s="1"/>
      <x:c r="S531" s="1"/>
      <x:c r="T531" s="1"/>
      <x:c r="U531" s="1"/>
      <x:c r="V531" s="1"/>
      <x:c r="W531" s="1"/>
      <x:c r="X531" s="1"/>
      <x:c r="Y531" s="1"/>
      <x:c r="Z531" s="1"/>
      <x:c r="AA531" s="1"/>
      <x:c r="AB531" s="1"/>
      <x:c r="AC531" s="1"/>
      <x:c r="AD531" s="1"/>
      <x:c r="AE531" s="1"/>
      <x:c r="AF531" s="1"/>
      <x:c r="AG531" s="1"/>
      <x:c r="AH531" s="1"/>
      <x:c r="AI531" s="1" t="s">
        <x:v>610</x:v>
      </x:c>
      <x:c r="AJ531" s="1" t="s">
        <x:v>51</x:v>
      </x:c>
      <x:c r="AK531" s="1">
        <x:v>5.4649999999999999</x:v>
      </x:c>
      <x:c r="AL531" s="1">
        <x:v>174820</x:v>
      </x:c>
      <x:c r="AM531" s="1"/>
      <x:c r="AN531" s="1"/>
      <x:c r="AO531" s="1"/>
      <x:c r="AP531" s="1"/>
      <x:c r="AQ531" s="1"/>
      <x:c r="AR531" s="1"/>
    </x:row>
    <x:row r="532">
      <x:c r="A532" s="1"/>
      <x:c r="B532" s="1"/>
      <x:c r="C532" s="1"/>
      <x:c r="D532" s="1"/>
      <x:c r="E532" s="1"/>
      <x:c r="F532" s="1"/>
      <x:c r="G532" s="1"/>
      <x:c r="H532" s="1"/>
      <x:c r="I532" s="1"/>
      <x:c r="J532" s="1"/>
      <x:c r="K532" s="1"/>
      <x:c r="L532" s="1"/>
      <x:c r="M532" s="1"/>
      <x:c r="N532" s="1"/>
      <x:c r="O532" s="1"/>
      <x:c r="P532" s="1"/>
      <x:c r="Q532" s="1"/>
      <x:c r="R532" s="1"/>
      <x:c r="S532" s="1"/>
      <x:c r="T532" s="1"/>
      <x:c r="U532" s="1"/>
      <x:c r="V532" s="1"/>
      <x:c r="W532" s="1"/>
      <x:c r="X532" s="1"/>
      <x:c r="Y532" s="1"/>
      <x:c r="Z532" s="1"/>
      <x:c r="AA532" s="1"/>
      <x:c r="AB532" s="1"/>
      <x:c r="AC532" s="1"/>
      <x:c r="AD532" s="1"/>
      <x:c r="AE532" s="1"/>
      <x:c r="AF532" s="1"/>
      <x:c r="AG532" s="1"/>
      <x:c r="AH532" s="1"/>
      <x:c r="AI532" s="1" t="s">
        <x:v>611</x:v>
      </x:c>
      <x:c r="AJ532" s="1" t="s">
        <x:v>59</x:v>
      </x:c>
      <x:c r="AK532" s="1">
        <x:v>5.2969999999999997</x:v>
      </x:c>
      <x:c r="AL532" s="1">
        <x:v>168810</x:v>
      </x:c>
      <x:c r="AM532" s="1"/>
      <x:c r="AN532" s="1"/>
      <x:c r="AO532" s="1"/>
      <x:c r="AP532" s="1"/>
      <x:c r="AQ532" s="1"/>
      <x:c r="AR532" s="1"/>
    </x:row>
    <x:row r="533">
      <x:c r="A533" s="1"/>
      <x:c r="B533" s="1"/>
      <x:c r="C533" s="1"/>
      <x:c r="D533" s="1"/>
      <x:c r="E533" s="1"/>
      <x:c r="F533" s="1"/>
      <x:c r="G533" s="1"/>
      <x:c r="H533" s="1"/>
      <x:c r="I533" s="1"/>
      <x:c r="J533" s="1"/>
      <x:c r="K533" s="1"/>
      <x:c r="L533" s="1"/>
      <x:c r="M533" s="1"/>
      <x:c r="N533" s="1"/>
      <x:c r="O533" s="1"/>
      <x:c r="P533" s="1"/>
      <x:c r="Q533" s="1"/>
      <x:c r="R533" s="1"/>
      <x:c r="S533" s="1"/>
      <x:c r="T533" s="1"/>
      <x:c r="U533" s="1"/>
      <x:c r="V533" s="1"/>
      <x:c r="W533" s="1"/>
      <x:c r="X533" s="1"/>
      <x:c r="Y533" s="1"/>
      <x:c r="Z533" s="1"/>
      <x:c r="AA533" s="1"/>
      <x:c r="AB533" s="1"/>
      <x:c r="AC533" s="1"/>
      <x:c r="AD533" s="1"/>
      <x:c r="AE533" s="1"/>
      <x:c r="AF533" s="1"/>
      <x:c r="AG533" s="1"/>
      <x:c r="AH533" s="1"/>
      <x:c r="AI533" s="1" t="s">
        <x:v>612</x:v>
      </x:c>
      <x:c r="AJ533" s="1" t="s">
        <x:v>71</x:v>
      </x:c>
      <x:c r="AK533" s="1">
        <x:v>5.2370000000000001</x:v>
      </x:c>
      <x:c r="AL533" s="1">
        <x:v>334510</x:v>
      </x:c>
      <x:c r="AM533" s="1"/>
      <x:c r="AN533" s="1"/>
      <x:c r="AO533" s="1"/>
      <x:c r="AP533" s="1"/>
      <x:c r="AQ533" s="1"/>
      <x:c r="AR533" s="1"/>
    </x:row>
    <x:row r="534">
      <x:c r="A534" s="1"/>
      <x:c r="B534" s="1"/>
      <x:c r="C534" s="1"/>
      <x:c r="D534" s="1"/>
      <x:c r="E534" s="1"/>
      <x:c r="F534" s="1"/>
      <x:c r="G534" s="1"/>
      <x:c r="H534" s="1"/>
      <x:c r="I534" s="1"/>
      <x:c r="J534" s="1"/>
      <x:c r="K534" s="1"/>
      <x:c r="L534" s="1"/>
      <x:c r="M534" s="1"/>
      <x:c r="N534" s="1"/>
      <x:c r="O534" s="1"/>
      <x:c r="P534" s="1"/>
      <x:c r="Q534" s="1"/>
      <x:c r="R534" s="1"/>
      <x:c r="S534" s="1"/>
      <x:c r="T534" s="1"/>
      <x:c r="U534" s="1"/>
      <x:c r="V534" s="1"/>
      <x:c r="W534" s="1"/>
      <x:c r="X534" s="1"/>
      <x:c r="Y534" s="1"/>
      <x:c r="Z534" s="1"/>
      <x:c r="AA534" s="1"/>
      <x:c r="AB534" s="1"/>
      <x:c r="AC534" s="1"/>
      <x:c r="AD534" s="1"/>
      <x:c r="AE534" s="1"/>
      <x:c r="AF534" s="1"/>
      <x:c r="AG534" s="1"/>
      <x:c r="AH534" s="1"/>
      <x:c r="AI534" s="1" t="s">
        <x:v>613</x:v>
      </x:c>
      <x:c r="AJ534" s="1" t="s">
        <x:v>63</x:v>
      </x:c>
      <x:c r="AK534" s="1">
        <x:v>5.1920000000000002</x:v>
      </x:c>
      <x:c r="AL534" s="1">
        <x:v>217740</x:v>
      </x:c>
      <x:c r="AM534" s="1"/>
      <x:c r="AN534" s="1"/>
      <x:c r="AO534" s="1"/>
      <x:c r="AP534" s="1"/>
      <x:c r="AQ534" s="1"/>
      <x:c r="AR534" s="1"/>
    </x:row>
    <x:row r="535">
      <x:c r="A535" s="1"/>
      <x:c r="B535" s="1"/>
      <x:c r="C535" s="1"/>
      <x:c r="D535" s="1"/>
      <x:c r="E535" s="1"/>
      <x:c r="F535" s="1"/>
      <x:c r="G535" s="1"/>
      <x:c r="H535" s="1"/>
      <x:c r="I535" s="1"/>
      <x:c r="J535" s="1"/>
      <x:c r="K535" s="1"/>
      <x:c r="L535" s="1"/>
      <x:c r="M535" s="1"/>
      <x:c r="N535" s="1"/>
      <x:c r="O535" s="1"/>
      <x:c r="P535" s="1"/>
      <x:c r="Q535" s="1"/>
      <x:c r="R535" s="1"/>
      <x:c r="S535" s="1"/>
      <x:c r="T535" s="1"/>
      <x:c r="U535" s="1"/>
      <x:c r="V535" s="1"/>
      <x:c r="W535" s="1"/>
      <x:c r="X535" s="1"/>
      <x:c r="Y535" s="1"/>
      <x:c r="Z535" s="1"/>
      <x:c r="AA535" s="1"/>
      <x:c r="AB535" s="1"/>
      <x:c r="AC535" s="1"/>
      <x:c r="AD535" s="1"/>
      <x:c r="AE535" s="1"/>
      <x:c r="AF535" s="1"/>
      <x:c r="AG535" s="1"/>
      <x:c r="AH535" s="1"/>
      <x:c r="AI535" s="1" t="s">
        <x:v>614</x:v>
      </x:c>
      <x:c r="AJ535" s="1" t="s">
        <x:v>79</x:v>
      </x:c>
      <x:c r="AK535" s="1">
        <x:v>4.6870000000000003</x:v>
      </x:c>
      <x:c r="AL535" s="1">
        <x:v>94620</x:v>
      </x:c>
      <x:c r="AM535" s="1"/>
      <x:c r="AN535" s="1"/>
      <x:c r="AO535" s="1"/>
      <x:c r="AP535" s="1"/>
      <x:c r="AQ535" s="1"/>
      <x:c r="AR535" s="1"/>
    </x:row>
    <x:row r="536">
      <x:c r="A536" s="1"/>
      <x:c r="B536" s="1"/>
      <x:c r="C536" s="1"/>
      <x:c r="D536" s="1"/>
      <x:c r="E536" s="1"/>
      <x:c r="F536" s="1"/>
      <x:c r="G536" s="1"/>
      <x:c r="H536" s="1"/>
      <x:c r="I536" s="1"/>
      <x:c r="J536" s="1"/>
      <x:c r="K536" s="1"/>
      <x:c r="L536" s="1"/>
      <x:c r="M536" s="1"/>
      <x:c r="N536" s="1"/>
      <x:c r="O536" s="1"/>
      <x:c r="P536" s="1"/>
      <x:c r="Q536" s="1"/>
      <x:c r="R536" s="1"/>
      <x:c r="S536" s="1"/>
      <x:c r="T536" s="1"/>
      <x:c r="U536" s="1"/>
      <x:c r="V536" s="1"/>
      <x:c r="W536" s="1"/>
      <x:c r="X536" s="1"/>
      <x:c r="Y536" s="1"/>
      <x:c r="Z536" s="1"/>
      <x:c r="AA536" s="1"/>
      <x:c r="AB536" s="1"/>
      <x:c r="AC536" s="1"/>
      <x:c r="AD536" s="1"/>
      <x:c r="AE536" s="1"/>
      <x:c r="AF536" s="1"/>
      <x:c r="AG536" s="1"/>
      <x:c r="AH536" s="1"/>
      <x:c r="AI536" s="1" t="s">
        <x:v>615</x:v>
      </x:c>
      <x:c r="AJ536" s="1" t="s">
        <x:v>83</x:v>
      </x:c>
      <x:c r="AK536" s="1">
        <x:v>4.0720000000000001</x:v>
      </x:c>
      <x:c r="AL536" s="1">
        <x:v>73020</x:v>
      </x:c>
      <x:c r="AM536" s="1"/>
      <x:c r="AN536" s="1"/>
      <x:c r="AO536" s="1"/>
      <x:c r="AP536" s="1"/>
      <x:c r="AQ536" s="1"/>
      <x:c r="AR536" s="1"/>
    </x:row>
  </x:sheetData>
  <x:mergeCells>
    <x:mergeCell ref="A25:F25"/>
    <x:mergeCell ref="G25:L25"/>
    <x:mergeCell ref="A45:F45"/>
    <x:mergeCell ref="G45:L45"/>
    <x:mergeCell ref="A9:F9"/>
    <x:mergeCell ref="G9:L9"/>
    <x:mergeCell ref="A27:F27"/>
    <x:mergeCell ref="G27:L27"/>
    <x:mergeCell ref="A48:D48"/>
    <x:mergeCell ref="E48:H48"/>
    <x:mergeCell ref="I48:L48"/>
    <x:mergeCell ref="A1:L2"/>
    <x:mergeCell ref="A3:L3"/>
    <x:mergeCell ref="F4:L4"/>
    <x:mergeCell ref="A5:C5"/>
    <x:mergeCell ref="A6:C7"/>
    <x:mergeCell ref="D5:F5"/>
    <x:mergeCell ref="D6:F7"/>
    <x:mergeCell ref="G5:I5"/>
    <x:mergeCell ref="G6:I7"/>
    <x:mergeCell ref="J5:L5"/>
    <x:mergeCell ref="J6:L7"/>
  </x:mergeCells>
  <x:dataValidations count="2">
    <x:dataValidation type="list" sqref="B4">
      <x:formula1>"2015,2016,2017,2018,2019,2020,2021,2022,2023,2024"</x:formula1>
    </x:dataValidation>
    <x:dataValidation type="list" sqref="D4">
      <x:formula1>"tous sexes,hommes,femmes"</x:formula1>
    </x:dataValidation>
  </x:dataValidations>
  <x:pageMargins left="0.7" right="0.7" top="0.75" bottom="0.75" header="0.3" footer="0.3"/>
  <x:drawing xmlns:r="http://schemas.openxmlformats.org/officeDocument/2006/relationships" r:id="R0808b82ed27b4730"/>
</x:worksheet>
</file>

<file path=xl/worksheets/sheet2.xml><?xml version="1.0" encoding="utf-8"?>
<x:worksheet xmlns:x="http://schemas.openxmlformats.org/spreadsheetml/2006/main">
  <x:sheetViews>
    <x:sheetView showGridLines="0" workbookViewId="0"/>
  </x:sheetViews>
  <x:sheetFormatPr baseColWidth="10" defaultColWidth="8.88671875" defaultRowHeight="14.399999618530273"/>
  <x:cols>
    <x:col min="1" max="1" width="10" customWidth="1"/>
    <x:col min="2" max="5" width="18" customWidth="1"/>
    <x:col min="6" max="6" width="23" customWidth="1"/>
    <x:col min="7" max="8" width="18" customWidth="1"/>
  </x:cols>
  <x:sheetData>
    <x:row r="1" ht="34.04999923706055" customHeight="1">
      <x:c r="A1" s="58" t="s">
        <x:v>616</x:v>
      </x:c>
      <x:c r="B1" s="58"/>
      <x:c r="C1" s="58"/>
      <x:c r="D1" s="58"/>
      <x:c r="E1" s="58"/>
      <x:c r="F1" s="58"/>
      <x:c r="G1" s="58"/>
      <x:c r="H1" s="58"/>
    </x:row>
    <x:row r="2">
      <x:c r="A2" s="1"/>
      <x:c r="B2" s="1"/>
      <x:c r="C2" s="1"/>
      <x:c r="D2" s="1"/>
      <x:c r="E2" s="1"/>
      <x:c r="F2" s="1"/>
      <x:c r="G2" s="1"/>
      <x:c r="H2" s="1"/>
    </x:row>
    <x:row r="3" ht="28.799999237060547">
      <x:c r="A3" s="2" t="s">
        <x:v>1</x:v>
      </x:c>
      <x:c r="B3" s="3" t="s">
        <x:v>21</x:v>
      </x:c>
      <x:c r="C3" s="3" t="s">
        <x:v>617</x:v>
      </x:c>
      <x:c r="D3" s="3" t="s">
        <x:v>5</x:v>
      </x:c>
      <x:c r="E3" s="3" t="s">
        <x:v>618</x:v>
      </x:c>
      <x:c r="F3" s="3" t="s">
        <x:v>23</x:v>
      </x:c>
      <x:c r="G3" s="3" t="s">
        <x:v>619</x:v>
      </x:c>
      <x:c r="H3" s="4" t="s">
        <x:v>620</x:v>
      </x:c>
    </x:row>
    <x:row r="4">
      <x:c r="A4" s="5">
        <x:v>2015</x:v>
      </x:c>
      <x:c r="B4" s="6">
        <x:v>3591860</x:v>
      </x:c>
      <x:c r="C4" s="6">
        <x:v>64277360</x:v>
      </x:c>
      <x:c r="D4" s="7">
        <x:v>5.5879999999999999E-2</x:v>
      </x:c>
      <x:c r="E4" s="7"/>
      <x:c r="F4" s="8">
        <x:v>7823925081</x:v>
      </x:c>
      <x:c r="G4" s="8">
        <x:v>2178</x:v>
      </x:c>
      <x:c r="H4" s="9"/>
    </x:row>
    <x:row r="5">
      <x:c r="A5" s="5">
        <x:v>2016</x:v>
      </x:c>
      <x:c r="B5" s="6">
        <x:v>3665960</x:v>
      </x:c>
      <x:c r="C5" s="6">
        <x:v>64780400</x:v>
      </x:c>
      <x:c r="D5" s="7">
        <x:v>5.6590000000000001E-2</x:v>
      </x:c>
      <x:c r="E5" s="7" t="n">
        <x:f t="shared" ref="E5:E13" si="0">IFERROR(B5/B4-1,"")</x:f>
        <x:v>0.020629980010356652</x:v>
      </x:c>
      <x:c r="F5" s="8">
        <x:v>7929726324</x:v>
      </x:c>
      <x:c r="G5" s="8">
        <x:v>2163</x:v>
      </x:c>
      <x:c r="H5" s="9" t="n">
        <x:f t="shared" ref="H5:H13" si="1">IFERROR(F5/F4-1,"")</x:f>
        <x:v>0.013522783245577541</x:v>
      </x:c>
    </x:row>
    <x:row r="6">
      <x:c r="A6" s="5">
        <x:v>2017</x:v>
      </x:c>
      <x:c r="B6" s="6">
        <x:v>3752260</x:v>
      </x:c>
      <x:c r="C6" s="6">
        <x:v>65001440</x:v>
      </x:c>
      <x:c r="D6" s="7">
        <x:v>5.7729999999999997E-2</x:v>
      </x:c>
      <x:c r="E6" s="7">
        <x:f t="shared" si="0"/>
        <x:v>2.3540900609935633E-2</x:v>
      </x:c>
      <x:c r="F6" s="8">
        <x:v>8174314539</x:v>
      </x:c>
      <x:c r="G6" s="8">
        <x:v>2179</x:v>
      </x:c>
      <x:c r="H6" s="9">
        <x:f t="shared" si="1"/>
        <x:v>3.084447117168887E-2</x:v>
      </x:c>
    </x:row>
    <x:row r="7">
      <x:c r="A7" s="5">
        <x:v>2018</x:v>
      </x:c>
      <x:c r="B7" s="6">
        <x:v>3827790</x:v>
      </x:c>
      <x:c r="C7" s="6">
        <x:v>65392710</x:v>
      </x:c>
      <x:c r="D7" s="7">
        <x:v>5.8540000000000002E-2</x:v>
      </x:c>
      <x:c r="E7" s="7">
        <x:f t="shared" si="0"/>
        <x:v>2.0129202134180568E-2</x:v>
      </x:c>
      <x:c r="F7" s="8">
        <x:v>8459575144</x:v>
      </x:c>
      <x:c r="G7" s="8">
        <x:v>2210</x:v>
      </x:c>
      <x:c r="H7" s="9">
        <x:f t="shared" si="1"/>
        <x:v>3.489718968349087E-2</x:v>
      </x:c>
    </x:row>
    <x:row r="8">
      <x:c r="A8" s="5">
        <x:v>2019</x:v>
      </x:c>
      <x:c r="B8" s="6">
        <x:v>3923870</x:v>
      </x:c>
      <x:c r="C8" s="6">
        <x:v>65891770</x:v>
      </x:c>
      <x:c r="D8" s="7">
        <x:v>5.9549999999999999E-2</x:v>
      </x:c>
      <x:c r="E8" s="7">
        <x:f t="shared" si="0"/>
        <x:v>2.5100645542205813E-2</x:v>
      </x:c>
      <x:c r="F8" s="8">
        <x:v>8774207275</x:v>
      </x:c>
      <x:c r="G8" s="8">
        <x:v>2236</x:v>
      </x:c>
      <x:c r="H8" s="9">
        <x:f t="shared" si="1"/>
        <x:v>3.7192427000681594E-2</x:v>
      </x:c>
    </x:row>
    <x:row r="9">
      <x:c r="A9" s="5">
        <x:v>2020</x:v>
      </x:c>
      <x:c r="B9" s="6">
        <x:v>4020400</x:v>
      </x:c>
      <x:c r="C9" s="6">
        <x:v>66021710</x:v>
      </x:c>
      <x:c r="D9" s="7">
        <x:v>6.0899999999999996E-2</x:v>
      </x:c>
      <x:c r="E9" s="7">
        <x:f t="shared" si="0"/>
        <x:v>2.4600713071533997E-2</x:v>
      </x:c>
      <x:c r="F9" s="8">
        <x:v>9164276841</x:v>
      </x:c>
      <x:c r="G9" s="8">
        <x:v>2279</x:v>
      </x:c>
      <x:c r="H9" s="9">
        <x:f t="shared" si="1"/>
        <x:v>4.4456388340791797E-2</x:v>
      </x:c>
    </x:row>
    <x:row r="10">
      <x:c r="A10" s="5">
        <x:v>2021</x:v>
      </x:c>
      <x:c r="B10" s="6">
        <x:v>4145680</x:v>
      </x:c>
      <x:c r="C10" s="6">
        <x:v>68615750</x:v>
      </x:c>
      <x:c r="D10" s="7">
        <x:v>6.0420000000000001E-2</x:v>
      </x:c>
      <x:c r="E10" s="7">
        <x:f t="shared" si="0"/>
        <x:v>3.1161078499651884E-2</x:v>
      </x:c>
      <x:c r="F10" s="8">
        <x:v>9829794537</x:v>
      </x:c>
      <x:c r="G10" s="8">
        <x:v>2371</x:v>
      </x:c>
      <x:c r="H10" s="9">
        <x:f t="shared" si="1"/>
        <x:v>7.2620863331249952E-2</x:v>
      </x:c>
    </x:row>
    <x:row r="11">
      <x:c r="A11" s="5">
        <x:v>2022</x:v>
      </x:c>
      <x:c r="B11" s="6">
        <x:v>4251980</x:v>
      </x:c>
      <x:c r="C11" s="6">
        <x:v>68823400</x:v>
      </x:c>
      <x:c r="D11" s="7">
        <x:v>6.1780000000000002E-2</x:v>
      </x:c>
      <x:c r="E11" s="7">
        <x:f t="shared" si="0"/>
        <x:v>2.5641149341000702E-2</x:v>
      </x:c>
      <x:c r="F11" s="8">
        <x:v>10354624311</x:v>
      </x:c>
      <x:c r="G11" s="8">
        <x:v>2435</x:v>
      </x:c>
      <x:c r="H11" s="9">
        <x:f t="shared" si="1"/>
        <x:v>5.339173387851659E-2</x:v>
      </x:c>
    </x:row>
    <x:row r="12">
      <x:c r="A12" s="5">
        <x:v>2023</x:v>
      </x:c>
      <x:c r="B12" s="6">
        <x:v>4352280</x:v>
      </x:c>
      <x:c r="C12" s="6">
        <x:v>67365340</x:v>
      </x:c>
      <x:c r="D12" s="7">
        <x:v>6.4610000000000001E-2</x:v>
      </x:c>
      <x:c r="E12" s="7">
        <x:f t="shared" si="0"/>
        <x:v>2.3589010296379609E-2</x:v>
      </x:c>
      <x:c r="F12" s="8">
        <x:v>10897724979</x:v>
      </x:c>
      <x:c r="G12" s="8">
        <x:v>2504</x:v>
      </x:c>
      <x:c r="H12" s="9">
        <x:f t="shared" si="1"/>
        <x:v>5.2450060155543099E-2</x:v>
      </x:c>
    </x:row>
    <x:row r="13">
      <x:c r="A13" s="10">
        <x:v>2024</x:v>
      </x:c>
      <x:c r="B13" s="11">
        <x:v>4471940</x:v>
      </x:c>
      <x:c r="C13" s="11">
        <x:v>67612360</x:v>
      </x:c>
      <x:c r="D13" s="12">
        <x:v>6.6140000000000004E-2</x:v>
      </x:c>
      <x:c r="E13" s="12">
        <x:f t="shared" si="0"/>
        <x:v>2.7493635519773463E-2</x:v>
      </x:c>
      <x:c r="F13" s="13">
        <x:v>11502298775</x:v>
      </x:c>
      <x:c r="G13" s="13">
        <x:v>2572</x:v>
      </x:c>
      <x:c r="H13" s="14">
        <x:f t="shared" si="1"/>
        <x:v>5.5477064907126783E-2</x:v>
      </x:c>
    </x:row>
  </x:sheetData>
  <x:mergeCells>
    <x:mergeCell ref="A1:H1"/>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baseColWidth="10" defaultColWidth="8.88671875" defaultRowHeight="14.399999618530273"/>
  <x:cols>
    <x:col min="1" max="6" width="18" customWidth="1"/>
  </x:cols>
  <x:sheetData>
    <x:row r="1" ht="25.799999237060547">
      <x:c r="A1" s="58" t="s">
        <x:v>621</x:v>
      </x:c>
      <x:c r="B1" s="58"/>
      <x:c r="C1" s="58"/>
      <x:c r="D1" s="58"/>
      <x:c r="E1" s="58"/>
      <x:c r="F1" s="58"/>
    </x:row>
    <x:row r="2">
      <x:c r="A2" s="1"/>
      <x:c r="B2" s="1"/>
      <x:c r="C2" s="1"/>
      <x:c r="D2" s="1"/>
      <x:c r="E2" s="1"/>
      <x:c r="F2" s="1"/>
    </x:row>
    <x:row r="3">
      <x:c r="A3" s="2" t="s">
        <x:v>1</x:v>
      </x:c>
      <x:c r="B3" s="3" t="s">
        <x:v>622</x:v>
      </x:c>
      <x:c r="C3" s="3" t="s">
        <x:v>15</x:v>
      </x:c>
      <x:c r="D3" s="3" t="s">
        <x:v>6</x:v>
      </x:c>
      <x:c r="E3" s="3" t="s">
        <x:v>617</x:v>
      </x:c>
      <x:c r="F3" s="4" t="s">
        <x:v>5</x:v>
      </x:c>
    </x:row>
    <x:row r="4">
      <x:c r="A4" s="5">
        <x:v>2015</x:v>
      </x:c>
      <x:c r="B4" s="15" t="s">
        <x:v>623</x:v>
      </x:c>
      <x:c r="C4" s="15" t="s">
        <x:v>624</x:v>
      </x:c>
      <x:c r="D4" s="6">
        <x:v>1951890</x:v>
      </x:c>
      <x:c r="E4" s="6">
        <x:v>30654950</x:v>
      </x:c>
      <x:c r="F4" s="9">
        <x:v>6.3670000000000004E-2</x:v>
      </x:c>
    </x:row>
    <x:row r="5">
      <x:c r="A5" s="5">
        <x:v>2015</x:v>
      </x:c>
      <x:c r="B5" s="15" t="s">
        <x:v>625</x:v>
      </x:c>
      <x:c r="C5" s="15" t="s">
        <x:v>16</x:v>
      </x:c>
      <x:c r="D5" s="6">
        <x:v>1639980</x:v>
      </x:c>
      <x:c r="E5" s="6">
        <x:v>33622410</x:v>
      </x:c>
      <x:c r="F5" s="9">
        <x:v>4.8780000000000004E-2</x:v>
      </x:c>
    </x:row>
    <x:row r="6">
      <x:c r="A6" s="5">
        <x:v>2015</x:v>
      </x:c>
      <x:c r="B6" s="15" t="s">
        <x:v>626</x:v>
      </x:c>
      <x:c r="C6" s="15" t="s">
        <x:v>627</x:v>
      </x:c>
      <x:c r="D6" s="6">
        <x:v>3591860</x:v>
      </x:c>
      <x:c r="E6" s="6">
        <x:v>64277360</x:v>
      </x:c>
      <x:c r="F6" s="9">
        <x:v>5.5879999999999999E-2</x:v>
      </x:c>
    </x:row>
    <x:row r="7">
      <x:c r="A7" s="5">
        <x:v>2016</x:v>
      </x:c>
      <x:c r="B7" s="15" t="s">
        <x:v>623</x:v>
      </x:c>
      <x:c r="C7" s="15" t="s">
        <x:v>624</x:v>
      </x:c>
      <x:c r="D7" s="6">
        <x:v>1998860</x:v>
      </x:c>
      <x:c r="E7" s="6">
        <x:v>30933280</x:v>
      </x:c>
      <x:c r="F7" s="9">
        <x:v>6.4619999999999997E-2</x:v>
      </x:c>
    </x:row>
    <x:row r="8">
      <x:c r="A8" s="5">
        <x:v>2016</x:v>
      </x:c>
      <x:c r="B8" s="15" t="s">
        <x:v>625</x:v>
      </x:c>
      <x:c r="C8" s="15" t="s">
        <x:v>16</x:v>
      </x:c>
      <x:c r="D8" s="6">
        <x:v>1667100</x:v>
      </x:c>
      <x:c r="E8" s="6">
        <x:v>33847120</x:v>
      </x:c>
      <x:c r="F8" s="9">
        <x:v>4.9249999999999995E-2</x:v>
      </x:c>
    </x:row>
    <x:row r="9">
      <x:c r="A9" s="5">
        <x:v>2016</x:v>
      </x:c>
      <x:c r="B9" s="15" t="s">
        <x:v>626</x:v>
      </x:c>
      <x:c r="C9" s="15" t="s">
        <x:v>627</x:v>
      </x:c>
      <x:c r="D9" s="6">
        <x:v>3665960</x:v>
      </x:c>
      <x:c r="E9" s="6">
        <x:v>64780400</x:v>
      </x:c>
      <x:c r="F9" s="9">
        <x:v>5.6590000000000001E-2</x:v>
      </x:c>
    </x:row>
    <x:row r="10">
      <x:c r="A10" s="5">
        <x:v>2017</x:v>
      </x:c>
      <x:c r="B10" s="15" t="s">
        <x:v>623</x:v>
      </x:c>
      <x:c r="C10" s="15" t="s">
        <x:v>624</x:v>
      </x:c>
      <x:c r="D10" s="6">
        <x:v>2052370</x:v>
      </x:c>
      <x:c r="E10" s="6">
        <x:v>31013270</x:v>
      </x:c>
      <x:c r="F10" s="9">
        <x:v>6.6180000000000003E-2</x:v>
      </x:c>
    </x:row>
    <x:row r="11">
      <x:c r="A11" s="5">
        <x:v>2017</x:v>
      </x:c>
      <x:c r="B11" s="15" t="s">
        <x:v>625</x:v>
      </x:c>
      <x:c r="C11" s="15" t="s">
        <x:v>16</x:v>
      </x:c>
      <x:c r="D11" s="6">
        <x:v>1699880</x:v>
      </x:c>
      <x:c r="E11" s="6">
        <x:v>33988170</x:v>
      </x:c>
      <x:c r="F11" s="9">
        <x:v>5.0010000000000006E-2</x:v>
      </x:c>
    </x:row>
    <x:row r="12">
      <x:c r="A12" s="5">
        <x:v>2017</x:v>
      </x:c>
      <x:c r="B12" s="15" t="s">
        <x:v>626</x:v>
      </x:c>
      <x:c r="C12" s="15" t="s">
        <x:v>627</x:v>
      </x:c>
      <x:c r="D12" s="6">
        <x:v>3752260</x:v>
      </x:c>
      <x:c r="E12" s="6">
        <x:v>65001440</x:v>
      </x:c>
      <x:c r="F12" s="9">
        <x:v>5.7729999999999997E-2</x:v>
      </x:c>
    </x:row>
    <x:row r="13">
      <x:c r="A13" s="5">
        <x:v>2018</x:v>
      </x:c>
      <x:c r="B13" s="15" t="s">
        <x:v>623</x:v>
      </x:c>
      <x:c r="C13" s="15" t="s">
        <x:v>624</x:v>
      </x:c>
      <x:c r="D13" s="6">
        <x:v>2099970</x:v>
      </x:c>
      <x:c r="E13" s="6">
        <x:v>31228660</x:v>
      </x:c>
      <x:c r="F13" s="9">
        <x:v>6.7240000000000008E-2</x:v>
      </x:c>
    </x:row>
    <x:row r="14">
      <x:c r="A14" s="5">
        <x:v>2018</x:v>
      </x:c>
      <x:c r="B14" s="15" t="s">
        <x:v>625</x:v>
      </x:c>
      <x:c r="C14" s="15" t="s">
        <x:v>16</x:v>
      </x:c>
      <x:c r="D14" s="6">
        <x:v>1727820</x:v>
      </x:c>
      <x:c r="E14" s="6">
        <x:v>34164050</x:v>
      </x:c>
      <x:c r="F14" s="9">
        <x:v>5.0570000000000004E-2</x:v>
      </x:c>
    </x:row>
    <x:row r="15">
      <x:c r="A15" s="5">
        <x:v>2018</x:v>
      </x:c>
      <x:c r="B15" s="15" t="s">
        <x:v>626</x:v>
      </x:c>
      <x:c r="C15" s="15" t="s">
        <x:v>627</x:v>
      </x:c>
      <x:c r="D15" s="6">
        <x:v>3827790</x:v>
      </x:c>
      <x:c r="E15" s="6">
        <x:v>65392710</x:v>
      </x:c>
      <x:c r="F15" s="9">
        <x:v>5.8540000000000002E-2</x:v>
      </x:c>
    </x:row>
    <x:row r="16">
      <x:c r="A16" s="5">
        <x:v>2019</x:v>
      </x:c>
      <x:c r="B16" s="15" t="s">
        <x:v>623</x:v>
      </x:c>
      <x:c r="C16" s="15" t="s">
        <x:v>624</x:v>
      </x:c>
      <x:c r="D16" s="6">
        <x:v>2156660</x:v>
      </x:c>
      <x:c r="E16" s="6">
        <x:v>31512420</x:v>
      </x:c>
      <x:c r="F16" s="9">
        <x:v>6.8440000000000001E-2</x:v>
      </x:c>
    </x:row>
    <x:row r="17">
      <x:c r="A17" s="5">
        <x:v>2019</x:v>
      </x:c>
      <x:c r="B17" s="15" t="s">
        <x:v>625</x:v>
      </x:c>
      <x:c r="C17" s="15" t="s">
        <x:v>16</x:v>
      </x:c>
      <x:c r="D17" s="6">
        <x:v>1767210</x:v>
      </x:c>
      <x:c r="E17" s="6">
        <x:v>34379350</x:v>
      </x:c>
      <x:c r="F17" s="9">
        <x:v>5.1399999999999994E-2</x:v>
      </x:c>
    </x:row>
    <x:row r="18">
      <x:c r="A18" s="5">
        <x:v>2019</x:v>
      </x:c>
      <x:c r="B18" s="15" t="s">
        <x:v>626</x:v>
      </x:c>
      <x:c r="C18" s="15" t="s">
        <x:v>627</x:v>
      </x:c>
      <x:c r="D18" s="6">
        <x:v>3923870</x:v>
      </x:c>
      <x:c r="E18" s="6">
        <x:v>65891770</x:v>
      </x:c>
      <x:c r="F18" s="9">
        <x:v>5.9549999999999999E-2</x:v>
      </x:c>
    </x:row>
    <x:row r="19">
      <x:c r="A19" s="5">
        <x:v>2020</x:v>
      </x:c>
      <x:c r="B19" s="15" t="s">
        <x:v>623</x:v>
      </x:c>
      <x:c r="C19" s="15" t="s">
        <x:v>624</x:v>
      </x:c>
      <x:c r="D19" s="6">
        <x:v>2210990</x:v>
      </x:c>
      <x:c r="E19" s="6">
        <x:v>31620330</x:v>
      </x:c>
      <x:c r="F19" s="9">
        <x:v>6.9919999999999996E-2</x:v>
      </x:c>
    </x:row>
    <x:row r="20">
      <x:c r="A20" s="5">
        <x:v>2020</x:v>
      </x:c>
      <x:c r="B20" s="15" t="s">
        <x:v>625</x:v>
      </x:c>
      <x:c r="C20" s="15" t="s">
        <x:v>16</x:v>
      </x:c>
      <x:c r="D20" s="6">
        <x:v>1809420</x:v>
      </x:c>
      <x:c r="E20" s="6">
        <x:v>34401380</x:v>
      </x:c>
      <x:c r="F20" s="9">
        <x:v>5.2600000000000001E-2</x:v>
      </x:c>
    </x:row>
    <x:row r="21">
      <x:c r="A21" s="5">
        <x:v>2020</x:v>
      </x:c>
      <x:c r="B21" s="15" t="s">
        <x:v>626</x:v>
      </x:c>
      <x:c r="C21" s="15" t="s">
        <x:v>627</x:v>
      </x:c>
      <x:c r="D21" s="6">
        <x:v>4020400</x:v>
      </x:c>
      <x:c r="E21" s="6">
        <x:v>66021710</x:v>
      </x:c>
      <x:c r="F21" s="9">
        <x:v>6.0899999999999996E-2</x:v>
      </x:c>
    </x:row>
    <x:row r="22">
      <x:c r="A22" s="5">
        <x:v>2021</x:v>
      </x:c>
      <x:c r="B22" s="15" t="s">
        <x:v>623</x:v>
      </x:c>
      <x:c r="C22" s="15" t="s">
        <x:v>624</x:v>
      </x:c>
      <x:c r="D22" s="6">
        <x:v>2279820</x:v>
      </x:c>
      <x:c r="E22" s="6">
        <x:v>33373260</x:v>
      </x:c>
      <x:c r="F22" s="9">
        <x:v>6.831000000000001E-2</x:v>
      </x:c>
    </x:row>
    <x:row r="23">
      <x:c r="A23" s="5">
        <x:v>2021</x:v>
      </x:c>
      <x:c r="B23" s="15" t="s">
        <x:v>625</x:v>
      </x:c>
      <x:c r="C23" s="15" t="s">
        <x:v>16</x:v>
      </x:c>
      <x:c r="D23" s="6">
        <x:v>1865860</x:v>
      </x:c>
      <x:c r="E23" s="6">
        <x:v>35242500</x:v>
      </x:c>
      <x:c r="F23" s="9">
        <x:v>5.2939999999999994E-2</x:v>
      </x:c>
    </x:row>
    <x:row r="24">
      <x:c r="A24" s="5">
        <x:v>2021</x:v>
      </x:c>
      <x:c r="B24" s="15" t="s">
        <x:v>626</x:v>
      </x:c>
      <x:c r="C24" s="15" t="s">
        <x:v>627</x:v>
      </x:c>
      <x:c r="D24" s="6">
        <x:v>4145680</x:v>
      </x:c>
      <x:c r="E24" s="6">
        <x:v>68615750</x:v>
      </x:c>
      <x:c r="F24" s="9">
        <x:v>6.0420000000000001E-2</x:v>
      </x:c>
    </x:row>
    <x:row r="25">
      <x:c r="A25" s="5">
        <x:v>2022</x:v>
      </x:c>
      <x:c r="B25" s="15" t="s">
        <x:v>623</x:v>
      </x:c>
      <x:c r="C25" s="15" t="s">
        <x:v>624</x:v>
      </x:c>
      <x:c r="D25" s="6">
        <x:v>2338500</x:v>
      </x:c>
      <x:c r="E25" s="6">
        <x:v>33381150</x:v>
      </x:c>
      <x:c r="F25" s="9">
        <x:v>7.0050000000000001E-2</x:v>
      </x:c>
    </x:row>
    <x:row r="26">
      <x:c r="A26" s="5">
        <x:v>2022</x:v>
      </x:c>
      <x:c r="B26" s="15" t="s">
        <x:v>625</x:v>
      </x:c>
      <x:c r="C26" s="15" t="s">
        <x:v>16</x:v>
      </x:c>
      <x:c r="D26" s="6">
        <x:v>1913470</x:v>
      </x:c>
      <x:c r="E26" s="6">
        <x:v>35442250</x:v>
      </x:c>
      <x:c r="F26" s="9">
        <x:v>5.3990000000000003E-2</x:v>
      </x:c>
    </x:row>
    <x:row r="27">
      <x:c r="A27" s="5">
        <x:v>2022</x:v>
      </x:c>
      <x:c r="B27" s="15" t="s">
        <x:v>626</x:v>
      </x:c>
      <x:c r="C27" s="15" t="s">
        <x:v>627</x:v>
      </x:c>
      <x:c r="D27" s="6">
        <x:v>4251980</x:v>
      </x:c>
      <x:c r="E27" s="6">
        <x:v>68823400</x:v>
      </x:c>
      <x:c r="F27" s="9">
        <x:v>6.1780000000000002E-2</x:v>
      </x:c>
    </x:row>
    <x:row r="28">
      <x:c r="A28" s="5">
        <x:v>2023</x:v>
      </x:c>
      <x:c r="B28" s="15" t="s">
        <x:v>623</x:v>
      </x:c>
      <x:c r="C28" s="15" t="s">
        <x:v>624</x:v>
      </x:c>
      <x:c r="D28" s="6">
        <x:v>2393900</x:v>
      </x:c>
      <x:c r="E28" s="6">
        <x:v>32318120</x:v>
      </x:c>
      <x:c r="F28" s="9">
        <x:v>7.4069999999999997E-2</x:v>
      </x:c>
    </x:row>
    <x:row r="29">
      <x:c r="A29" s="5">
        <x:v>2023</x:v>
      </x:c>
      <x:c r="B29" s="15" t="s">
        <x:v>625</x:v>
      </x:c>
      <x:c r="C29" s="15" t="s">
        <x:v>16</x:v>
      </x:c>
      <x:c r="D29" s="6">
        <x:v>1958380</x:v>
      </x:c>
      <x:c r="E29" s="6">
        <x:v>35047220</x:v>
      </x:c>
      <x:c r="F29" s="9">
        <x:v>5.5879999999999999E-2</x:v>
      </x:c>
    </x:row>
    <x:row r="30">
      <x:c r="A30" s="5">
        <x:v>2023</x:v>
      </x:c>
      <x:c r="B30" s="15" t="s">
        <x:v>626</x:v>
      </x:c>
      <x:c r="C30" s="15" t="s">
        <x:v>627</x:v>
      </x:c>
      <x:c r="D30" s="6">
        <x:v>4352280</x:v>
      </x:c>
      <x:c r="E30" s="6">
        <x:v>67365340</x:v>
      </x:c>
      <x:c r="F30" s="9">
        <x:v>6.4610000000000001E-2</x:v>
      </x:c>
    </x:row>
    <x:row r="31">
      <x:c r="A31" s="5">
        <x:v>2024</x:v>
      </x:c>
      <x:c r="B31" s="15" t="s">
        <x:v>623</x:v>
      </x:c>
      <x:c r="C31" s="15" t="s">
        <x:v>624</x:v>
      </x:c>
      <x:c r="D31" s="6">
        <x:v>2457960</x:v>
      </x:c>
      <x:c r="E31" s="6">
        <x:v>32440780</x:v>
      </x:c>
      <x:c r="F31" s="9">
        <x:v>7.5770000000000004E-2</x:v>
      </x:c>
    </x:row>
    <x:row r="32">
      <x:c r="A32" s="5">
        <x:v>2024</x:v>
      </x:c>
      <x:c r="B32" s="15" t="s">
        <x:v>625</x:v>
      </x:c>
      <x:c r="C32" s="15" t="s">
        <x:v>16</x:v>
      </x:c>
      <x:c r="D32" s="6">
        <x:v>2013970</x:v>
      </x:c>
      <x:c r="E32" s="6">
        <x:v>35171580</x:v>
      </x:c>
      <x:c r="F32" s="9">
        <x:v>5.7259999999999998E-2</x:v>
      </x:c>
    </x:row>
    <x:row r="33">
      <x:c r="A33" s="10">
        <x:v>2024</x:v>
      </x:c>
      <x:c r="B33" s="16" t="s">
        <x:v>626</x:v>
      </x:c>
      <x:c r="C33" s="16" t="s">
        <x:v>627</x:v>
      </x:c>
      <x:c r="D33" s="11">
        <x:v>4471940</x:v>
      </x:c>
      <x:c r="E33" s="11">
        <x:v>67612360</x:v>
      </x:c>
      <x:c r="F33" s="14">
        <x:v>6.6140000000000004E-2</x:v>
      </x:c>
    </x:row>
  </x:sheetData>
  <x:mergeCells>
    <x:mergeCell ref="A1:F1"/>
  </x:mergeCell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baseColWidth="10" defaultColWidth="8.88671875" defaultRowHeight="14.399999618530273"/>
  <x:cols>
    <x:col min="1" max="2" width="16" customWidth="1"/>
    <x:col min="3" max="3" width="24" customWidth="1"/>
    <x:col min="4" max="9" width="16" customWidth="1"/>
  </x:cols>
  <x:sheetData>
    <x:row r="1" ht="25.799999237060547">
      <x:c r="A1" s="58" t="s">
        <x:v>628</x:v>
      </x:c>
      <x:c r="B1" s="58"/>
      <x:c r="C1" s="58"/>
      <x:c r="D1" s="58"/>
      <x:c r="E1" s="58"/>
      <x:c r="F1" s="58"/>
      <x:c r="G1" s="58"/>
      <x:c r="H1" s="58"/>
      <x:c r="I1" s="58"/>
    </x:row>
    <x:row r="2">
      <x:c r="A2" s="1"/>
      <x:c r="B2" s="1"/>
      <x:c r="C2" s="1"/>
      <x:c r="D2" s="1"/>
      <x:c r="E2" s="1"/>
      <x:c r="F2" s="1"/>
      <x:c r="G2" s="1"/>
      <x:c r="H2" s="1"/>
      <x:c r="I2" s="1"/>
    </x:row>
    <x:row r="3" ht="28.799999237060547">
      <x:c r="A3" s="2" t="s">
        <x:v>131</x:v>
      </x:c>
      <x:c r="B3" s="3" t="s">
        <x:v>629</x:v>
      </x:c>
      <x:c r="C3" s="3" t="s">
        <x:v>4</x:v>
      </x:c>
      <x:c r="D3" s="3" t="s">
        <x:v>7</x:v>
      </x:c>
      <x:c r="E3" s="3" t="s">
        <x:v>630</x:v>
      </x:c>
      <x:c r="F3" s="3" t="s">
        <x:v>631</x:v>
      </x:c>
      <x:c r="G3" s="3" t="s">
        <x:v>632</x:v>
      </x:c>
      <x:c r="H3" s="3" t="s">
        <x:v>633</x:v>
      </x:c>
      <x:c r="I3" s="4" t="s">
        <x:v>634</x:v>
      </x:c>
    </x:row>
    <x:row r="4">
      <x:c r="A4" s="5">
        <x:v>1</x:v>
      </x:c>
      <x:c r="B4" s="15" t="s">
        <x:v>635</x:v>
      </x:c>
      <x:c r="C4" s="15" t="s">
        <x:v>10</x:v>
      </x:c>
      <x:c r="D4" s="15" t="s">
        <x:v>636</x:v>
      </x:c>
      <x:c r="E4" s="6">
        <x:v>45900</x:v>
      </x:c>
      <x:c r="F4" s="6">
        <x:v>387350</x:v>
      </x:c>
      <x:c r="G4" s="7">
        <x:v>0.11849999999999999</x:v>
      </x:c>
      <x:c r="H4" s="7">
        <x:v>9.9920000000000009E-2</x:v>
      </x:c>
      <x:c r="I4" s="9" t="n">
        <x:f t="shared" ref="I4:I35" si="0">IFERROR(G4/H4-1,"")</x:f>
        <x:v>0.18594875900720553</x:v>
      </x:c>
    </x:row>
    <x:row r="5">
      <x:c r="A5" s="5">
        <x:v>2</x:v>
      </x:c>
      <x:c r="B5" s="15" t="s">
        <x:v>637</x:v>
      </x:c>
      <x:c r="C5" s="15" t="s">
        <x:v>14</x:v>
      </x:c>
      <x:c r="D5" s="15" t="s">
        <x:v>638</x:v>
      </x:c>
      <x:c r="E5" s="6">
        <x:v>40200</x:v>
      </x:c>
      <x:c r="F5" s="6">
        <x:v>360720</x:v>
      </x:c>
      <x:c r="G5" s="7">
        <x:v>0.11144999999999999</x:v>
      </x:c>
      <x:c r="H5" s="7">
        <x:v>9.2689999999999995E-2</x:v>
      </x:c>
      <x:c r="I5" s="9">
        <x:f t="shared" si="0"/>
        <x:v>0.20239508037544507</x:v>
      </x:c>
    </x:row>
    <x:row r="6">
      <x:c r="A6" s="5">
        <x:v>3</x:v>
      </x:c>
      <x:c r="B6" s="15" t="s">
        <x:v>639</x:v>
      </x:c>
      <x:c r="C6" s="15" t="s">
        <x:v>19</x:v>
      </x:c>
      <x:c r="D6" s="15" t="s">
        <x:v>640</x:v>
      </x:c>
      <x:c r="E6" s="6">
        <x:v>19170</x:v>
      </x:c>
      <x:c r="F6" s="6">
        <x:v>191990</x:v>
      </x:c>
      <x:c r="G6" s="7">
        <x:v>9.9819999999999992E-2</x:v>
      </x:c>
      <x:c r="H6" s="7">
        <x:v>8.3420000000000008E-2</x:v>
      </x:c>
      <x:c r="I6" s="9">
        <x:f t="shared" si="0"/>
        <x:v>0.19659554063773665</x:v>
      </x:c>
    </x:row>
    <x:row r="7">
      <x:c r="A7" s="5">
        <x:v>4</x:v>
      </x:c>
      <x:c r="B7" s="15" t="s">
        <x:v>641</x:v>
      </x:c>
      <x:c r="C7" s="15" t="s">
        <x:v>20</x:v>
      </x:c>
      <x:c r="D7" s="15" t="s">
        <x:v>642</x:v>
      </x:c>
      <x:c r="E7" s="6">
        <x:v>89860</x:v>
      </x:c>
      <x:c r="F7" s="6">
        <x:v>942430</x:v>
      </x:c>
      <x:c r="G7" s="7">
        <x:v>9.5350000000000004E-2</x:v>
      </x:c>
      <x:c r="H7" s="7">
        <x:v>7.9930000000000001E-2</x:v>
      </x:c>
      <x:c r="I7" s="9">
        <x:f t="shared" si="0"/>
        <x:v>0.19291880395345928</x:v>
      </x:c>
    </x:row>
    <x:row r="8">
      <x:c r="A8" s="5">
        <x:v>5</x:v>
      </x:c>
      <x:c r="B8" s="15" t="s">
        <x:v>643</x:v>
      </x:c>
      <x:c r="C8" s="15" t="s">
        <x:v>30</x:v>
      </x:c>
      <x:c r="D8" s="15" t="s">
        <x:v>644</x:v>
      </x:c>
      <x:c r="E8" s="6">
        <x:v>10030</x:v>
      </x:c>
      <x:c r="F8" s="6">
        <x:v>108840</x:v>
      </x:c>
      <x:c r="G8" s="7">
        <x:v>9.2159999999999992E-2</x:v>
      </x:c>
      <x:c r="H8" s="7">
        <x:v>7.8030000000000002E-2</x:v>
      </x:c>
      <x:c r="I8" s="9">
        <x:f t="shared" si="0"/>
        <x:v>0.18108419838523626</x:v>
      </x:c>
    </x:row>
    <x:row r="9">
      <x:c r="A9" s="5">
        <x:v>6</x:v>
      </x:c>
      <x:c r="B9" s="15" t="s">
        <x:v>645</x:v>
      </x:c>
      <x:c r="C9" s="15" t="s">
        <x:v>34</x:v>
      </x:c>
      <x:c r="D9" s="15" t="s">
        <x:v>646</x:v>
      </x:c>
      <x:c r="E9" s="6">
        <x:v>18260</x:v>
      </x:c>
      <x:c r="F9" s="6">
        <x:v>207550</x:v>
      </x:c>
      <x:c r="G9" s="7">
        <x:v>8.8000000000000009E-2</x:v>
      </x:c>
      <x:c r="H9" s="7">
        <x:v>7.3880000000000001E-2</x:v>
      </x:c>
      <x:c r="I9" s="9">
        <x:f t="shared" si="0"/>
        <x:v>0.19112073632918247</x:v>
      </x:c>
    </x:row>
    <x:row r="10">
      <x:c r="A10" s="5">
        <x:v>7</x:v>
      </x:c>
      <x:c r="B10" s="15" t="s">
        <x:v>638</x:v>
      </x:c>
      <x:c r="C10" s="15" t="s">
        <x:v>50</x:v>
      </x:c>
      <x:c r="D10" s="15" t="s">
        <x:v>647</x:v>
      </x:c>
      <x:c r="E10" s="6">
        <x:v>43930</x:v>
      </x:c>
      <x:c r="F10" s="6">
        <x:v>511150</x:v>
      </x:c>
      <x:c r="G10" s="7">
        <x:v>8.5939999999999989E-2</x:v>
      </x:c>
      <x:c r="H10" s="7">
        <x:v>6.9940000000000002E-2</x:v>
      </x:c>
      <x:c r="I10" s="9">
        <x:f t="shared" si="0"/>
        <x:v>0.22876751501286807</x:v>
      </x:c>
    </x:row>
    <x:row r="11">
      <x:c r="A11" s="5">
        <x:v>8</x:v>
      </x:c>
      <x:c r="B11" s="15" t="s">
        <x:v>648</x:v>
      </x:c>
      <x:c r="C11" s="15" t="s">
        <x:v>46</x:v>
      </x:c>
      <x:c r="D11" s="15" t="s">
        <x:v>649</x:v>
      </x:c>
      <x:c r="E11" s="6">
        <x:v>27920</x:v>
      </x:c>
      <x:c r="F11" s="6">
        <x:v>326580</x:v>
      </x:c>
      <x:c r="G11" s="7">
        <x:v>8.5500000000000007E-2</x:v>
      </x:c>
      <x:c r="H11" s="7">
        <x:v>7.0819999999999994E-2</x:v>
      </x:c>
      <x:c r="I11" s="9">
        <x:f t="shared" si="0"/>
        <x:v>0.20728607737927152</x:v>
      </x:c>
    </x:row>
    <x:row r="12">
      <x:c r="A12" s="5">
        <x:v>9</x:v>
      </x:c>
      <x:c r="B12" s="15" t="s">
        <x:v>650</x:v>
      </x:c>
      <x:c r="C12" s="15" t="s">
        <x:v>38</x:v>
      </x:c>
      <x:c r="D12" s="15" t="s">
        <x:v>651</x:v>
      </x:c>
      <x:c r="E12" s="6">
        <x:v>76780</x:v>
      </x:c>
      <x:c r="F12" s="6">
        <x:v>901060</x:v>
      </x:c>
      <x:c r="G12" s="7">
        <x:v>8.5210000000000008E-2</x:v>
      </x:c>
      <x:c r="H12" s="7">
        <x:v>7.2730000000000003E-2</x:v>
      </x:c>
      <x:c r="I12" s="9">
        <x:f t="shared" si="0"/>
        <x:v>0.17159356524130343</x:v>
      </x:c>
    </x:row>
    <x:row r="13">
      <x:c r="A13" s="5">
        <x:v>10</x:v>
      </x:c>
      <x:c r="B13" s="15" t="s">
        <x:v>652</x:v>
      </x:c>
      <x:c r="C13" s="15" t="s">
        <x:v>182</x:v>
      </x:c>
      <x:c r="D13" s="15" t="s">
        <x:v>651</x:v>
      </x:c>
      <x:c r="E13" s="6">
        <x:v>13870</x:v>
      </x:c>
      <x:c r="F13" s="6">
        <x:v>163850</x:v>
      </x:c>
      <x:c r="G13" s="7">
        <x:v>8.4629999999999997E-2</x:v>
      </x:c>
      <x:c r="H13" s="7">
        <x:v>6.8760000000000002E-2</x:v>
      </x:c>
      <x:c r="I13" s="9">
        <x:f t="shared" si="0"/>
        <x:v>0.23080279232111689</x:v>
      </x:c>
    </x:row>
    <x:row r="14">
      <x:c r="A14" s="5">
        <x:v>11</x:v>
      </x:c>
      <x:c r="B14" s="15" t="s">
        <x:v>653</x:v>
      </x:c>
      <x:c r="C14" s="15" t="s">
        <x:v>97</x:v>
      </x:c>
      <x:c r="D14" s="15" t="s">
        <x:v>651</x:v>
      </x:c>
      <x:c r="E14" s="6">
        <x:v>21670</x:v>
      </x:c>
      <x:c r="F14" s="6">
        <x:v>256360</x:v>
      </x:c>
      <x:c r="G14" s="7">
        <x:v>8.4540000000000004E-2</x:v>
      </x:c>
      <x:c r="H14" s="7">
        <x:v>6.9339999999999999E-2</x:v>
      </x:c>
      <x:c r="I14" s="9">
        <x:f t="shared" si="0"/>
        <x:v>0.21920969137582924</x:v>
      </x:c>
    </x:row>
    <x:row r="15">
      <x:c r="A15" s="5">
        <x:v>12</x:v>
      </x:c>
      <x:c r="B15" s="15" t="s">
        <x:v>654</x:v>
      </x:c>
      <x:c r="C15" s="15" t="s">
        <x:v>86</x:v>
      </x:c>
      <x:c r="D15" s="15" t="s">
        <x:v>646</x:v>
      </x:c>
      <x:c r="E15" s="6">
        <x:v>24400</x:v>
      </x:c>
      <x:c r="F15" s="6">
        <x:v>289740</x:v>
      </x:c>
      <x:c r="G15" s="7">
        <x:v>8.4199999999999997E-2</x:v>
      </x:c>
      <x:c r="H15" s="7">
        <x:v>6.9739999999999996E-2</x:v>
      </x:c>
      <x:c r="I15" s="9">
        <x:f t="shared" si="0"/>
        <x:v>0.20734155434470902</x:v>
      </x:c>
    </x:row>
    <x:row r="16">
      <x:c r="A16" s="5">
        <x:v>13</x:v>
      </x:c>
      <x:c r="B16" s="15" t="s">
        <x:v>655</x:v>
      </x:c>
      <x:c r="C16" s="15" t="s">
        <x:v>42</x:v>
      </x:c>
      <x:c r="D16" s="15" t="s">
        <x:v>640</x:v>
      </x:c>
      <x:c r="E16" s="6">
        <x:v>27150</x:v>
      </x:c>
      <x:c r="F16" s="6">
        <x:v>324290</x:v>
      </x:c>
      <x:c r="G16" s="7">
        <x:v>8.3720000000000003E-2</x:v>
      </x:c>
      <x:c r="H16" s="7">
        <x:v>7.1609999999999993E-2</x:v>
      </x:c>
      <x:c r="I16" s="9">
        <x:f t="shared" si="0"/>
        <x:v>0.16911045943304015</x:v>
      </x:c>
    </x:row>
    <x:row r="17">
      <x:c r="A17" s="5">
        <x:v>14</x:v>
      </x:c>
      <x:c r="B17" s="15" t="s">
        <x:v>656</x:v>
      </x:c>
      <x:c r="C17" s="15" t="s">
        <x:v>657</x:v>
      </x:c>
      <x:c r="D17" s="15" t="s">
        <x:v>651</x:v>
      </x:c>
      <x:c r="E17" s="6">
        <x:v>14050</x:v>
      </x:c>
      <x:c r="F17" s="6">
        <x:v>171340</x:v>
      </x:c>
      <x:c r="G17" s="7">
        <x:v>8.1989999999999993E-2</x:v>
      </x:c>
      <x:c r="H17" s="7">
        <x:v>6.5700000000000008E-2</x:v>
      </x:c>
      <x:c r="I17" s="9">
        <x:f t="shared" si="0"/>
        <x:v>0.24794520547945176</x:v>
      </x:c>
    </x:row>
    <x:row r="18">
      <x:c r="A18" s="5">
        <x:v>15</x:v>
      </x:c>
      <x:c r="B18" s="15" t="s">
        <x:v>658</x:v>
      </x:c>
      <x:c r="C18" s="15" t="s">
        <x:v>659</x:v>
      </x:c>
      <x:c r="D18" s="15" t="s">
        <x:v>647</x:v>
      </x:c>
      <x:c r="E18" s="6">
        <x:v>117660</x:v>
      </x:c>
      <x:c r="F18" s="6">
        <x:v>1440960</x:v>
      </x:c>
      <x:c r="G18" s="7">
        <x:v>8.166000000000001E-2</x:v>
      </x:c>
      <x:c r="H18" s="7">
        <x:v>6.6799999999999998E-2</x:v>
      </x:c>
      <x:c r="I18" s="9">
        <x:f t="shared" si="0"/>
        <x:v>0.22245508982035944</x:v>
      </x:c>
    </x:row>
    <x:row r="19">
      <x:c r="A19" s="5">
        <x:v>16</x:v>
      </x:c>
      <x:c r="B19" s="15" t="s">
        <x:v>660</x:v>
      </x:c>
      <x:c r="C19" s="15" t="s">
        <x:v>661</x:v>
      </x:c>
      <x:c r="D19" s="15" t="s">
        <x:v>640</x:v>
      </x:c>
      <x:c r="E19" s="6">
        <x:v>43850</x:v>
      </x:c>
      <x:c r="F19" s="6">
        <x:v>541060</x:v>
      </x:c>
      <x:c r="G19" s="7">
        <x:v>8.1039999999999987E-2</x:v>
      </x:c>
      <x:c r="H19" s="7">
        <x:v>6.8319999999999992E-2</x:v>
      </x:c>
      <x:c r="I19" s="9">
        <x:f t="shared" si="0"/>
        <x:v>0.18618266978922704</x:v>
      </x:c>
    </x:row>
    <x:row r="20">
      <x:c r="A20" s="5">
        <x:v>17</x:v>
      </x:c>
      <x:c r="B20" s="15" t="s">
        <x:v>662</x:v>
      </x:c>
      <x:c r="C20" s="15" t="s">
        <x:v>663</x:v>
      </x:c>
      <x:c r="D20" s="15" t="s">
        <x:v>647</x:v>
      </x:c>
      <x:c r="E20" s="6">
        <x:v>44590</x:v>
      </x:c>
      <x:c r="F20" s="6">
        <x:v>553040</x:v>
      </x:c>
      <x:c r="G20" s="7">
        <x:v>8.0619999999999997E-2</x:v>
      </x:c>
      <x:c r="H20" s="7">
        <x:v>6.5019999999999994E-2</x:v>
      </x:c>
      <x:c r="I20" s="9">
        <x:f t="shared" si="0"/>
        <x:v>0.2399261765610583</x:v>
      </x:c>
    </x:row>
    <x:row r="21">
      <x:c r="A21" s="5">
        <x:v>18</x:v>
      </x:c>
      <x:c r="B21" s="15" t="s">
        <x:v>664</x:v>
      </x:c>
      <x:c r="C21" s="15" t="s">
        <x:v>665</x:v>
      </x:c>
      <x:c r="D21" s="15" t="s">
        <x:v>640</x:v>
      </x:c>
      <x:c r="E21" s="6">
        <x:v>18320</x:v>
      </x:c>
      <x:c r="F21" s="6">
        <x:v>228890</x:v>
      </x:c>
      <x:c r="G21" s="7">
        <x:v>8.0030000000000004E-2</x:v>
      </x:c>
      <x:c r="H21" s="7">
        <x:v>6.2969999999999998E-2</x:v>
      </x:c>
      <x:c r="I21" s="9">
        <x:f t="shared" si="0"/>
        <x:v>0.27092266158488187</x:v>
      </x:c>
    </x:row>
    <x:row r="22">
      <x:c r="A22" s="5">
        <x:v>19</x:v>
      </x:c>
      <x:c r="B22" s="15" t="s">
        <x:v>666</x:v>
      </x:c>
      <x:c r="C22" s="15" t="s">
        <x:v>667</x:v>
      </x:c>
      <x:c r="D22" s="15" t="s">
        <x:v>646</x:v>
      </x:c>
      <x:c r="E22" s="6">
        <x:v>25970</x:v>
      </x:c>
      <x:c r="F22" s="6">
        <x:v>325440</x:v>
      </x:c>
      <x:c r="G22" s="7">
        <x:v>7.980000000000001E-2</x:v>
      </x:c>
      <x:c r="H22" s="7">
        <x:v>6.6089999999999996E-2</x:v>
      </x:c>
      <x:c r="I22" s="9">
        <x:f t="shared" si="0"/>
        <x:v>0.20744439400817094</x:v>
      </x:c>
    </x:row>
    <x:row r="23">
      <x:c r="A23" s="5">
        <x:v>20</x:v>
      </x:c>
      <x:c r="B23" s="15" t="s">
        <x:v>668</x:v>
      </x:c>
      <x:c r="C23" s="15" t="s">
        <x:v>669</x:v>
      </x:c>
      <x:c r="D23" s="15" t="s">
        <x:v>651</x:v>
      </x:c>
      <x:c r="E23" s="6">
        <x:v>23290</x:v>
      </x:c>
      <x:c r="F23" s="6">
        <x:v>296710</x:v>
      </x:c>
      <x:c r="G23" s="7">
        <x:v>7.85E-2</x:v>
      </x:c>
      <x:c r="H23" s="7">
        <x:v>6.4899999999999999E-2</x:v>
      </x:c>
      <x:c r="I23" s="9">
        <x:f t="shared" si="0"/>
        <x:v>0.20955315870570113</x:v>
      </x:c>
    </x:row>
    <x:row r="24">
      <x:c r="A24" s="5">
        <x:v>21</x:v>
      </x:c>
      <x:c r="B24" s="15" t="s">
        <x:v>670</x:v>
      </x:c>
      <x:c r="C24" s="15" t="s">
        <x:v>89</x:v>
      </x:c>
      <x:c r="D24" s="15" t="s">
        <x:v>671</x:v>
      </x:c>
      <x:c r="E24" s="6">
        <x:v>29940</x:v>
      </x:c>
      <x:c r="F24" s="6">
        <x:v>382400</x:v>
      </x:c>
      <x:c r="G24" s="7">
        <x:v>7.8289999999999998E-2</x:v>
      </x:c>
      <x:c r="H24" s="7">
        <x:v>6.6729999999999998E-2</x:v>
      </x:c>
      <x:c r="I24" s="9">
        <x:f t="shared" si="0"/>
        <x:v>0.17323542634497224</x:v>
      </x:c>
    </x:row>
    <x:row r="25">
      <x:c r="A25" s="5">
        <x:v>22</x:v>
      </x:c>
      <x:c r="B25" s="15" t="s">
        <x:v>672</x:v>
      </x:c>
      <x:c r="C25" s="15" t="s">
        <x:v>673</x:v>
      </x:c>
      <x:c r="D25" s="15" t="s">
        <x:v>670</x:v>
      </x:c>
      <x:c r="E25" s="6">
        <x:v>127120</x:v>
      </x:c>
      <x:c r="F25" s="6">
        <x:v>1625070</x:v>
      </x:c>
      <x:c r="G25" s="7">
        <x:v>7.8219999999999998E-2</x:v>
      </x:c>
      <x:c r="H25" s="7">
        <x:v>6.5090000000000009E-2</x:v>
      </x:c>
      <x:c r="I25" s="9">
        <x:f t="shared" si="0"/>
        <x:v>0.20172069442310625</x:v>
      </x:c>
    </x:row>
    <x:row r="26">
      <x:c r="A26" s="5">
        <x:v>23</x:v>
      </x:c>
      <x:c r="B26" s="15" t="s">
        <x:v>646</x:v>
      </x:c>
      <x:c r="C26" s="15" t="s">
        <x:v>674</x:v>
      </x:c>
      <x:c r="D26" s="15" t="s">
        <x:v>644</x:v>
      </x:c>
      <x:c r="E26" s="6">
        <x:v>32070</x:v>
      </x:c>
      <x:c r="F26" s="6">
        <x:v>412530</x:v>
      </x:c>
      <x:c r="G26" s="7">
        <x:v>7.7740000000000004E-2</x:v>
      </x:c>
      <x:c r="H26" s="7">
        <x:v>6.6210000000000005E-2</x:v>
      </x:c>
      <x:c r="I26" s="9">
        <x:f t="shared" si="0"/>
        <x:v>0.17414287871922673</x:v>
      </x:c>
    </x:row>
    <x:row r="27">
      <x:c r="A27" s="5">
        <x:v>24</x:v>
      </x:c>
      <x:c r="B27" s="15" t="s">
        <x:v>675</x:v>
      </x:c>
      <x:c r="C27" s="15" t="s">
        <x:v>676</x:v>
      </x:c>
      <x:c r="D27" s="15" t="s">
        <x:v>651</x:v>
      </x:c>
      <x:c r="E27" s="6">
        <x:v>27700</x:v>
      </x:c>
      <x:c r="F27" s="6">
        <x:v>356430</x:v>
      </x:c>
      <x:c r="G27" s="7">
        <x:v>7.7710000000000001E-2</x:v>
      </x:c>
      <x:c r="H27" s="7">
        <x:v>6.3129999999999992E-2</x:v>
      </x:c>
      <x:c r="I27" s="9">
        <x:f t="shared" si="0"/>
        <x:v>0.23095200380167924</x:v>
      </x:c>
    </x:row>
    <x:row r="28">
      <x:c r="A28" s="5">
        <x:v>25</x:v>
      </x:c>
      <x:c r="B28" s="15" t="s">
        <x:v>677</x:v>
      </x:c>
      <x:c r="C28" s="15" t="s">
        <x:v>678</x:v>
      </x:c>
      <x:c r="D28" s="15" t="s">
        <x:v>651</x:v>
      </x:c>
      <x:c r="E28" s="6">
        <x:v>56340</x:v>
      </x:c>
      <x:c r="F28" s="6">
        <x:v>735400</x:v>
      </x:c>
      <x:c r="G28" s="7">
        <x:v>7.6609999999999998E-2</x:v>
      </x:c>
      <x:c r="H28" s="7">
        <x:v>6.4930000000000002E-2</x:v>
      </x:c>
      <x:c r="I28" s="9">
        <x:f t="shared" si="0"/>
        <x:v>0.17988603111042645</x:v>
      </x:c>
    </x:row>
    <x:row r="29">
      <x:c r="A29" s="5">
        <x:v>26</x:v>
      </x:c>
      <x:c r="B29" s="15" t="s">
        <x:v>679</x:v>
      </x:c>
      <x:c r="C29" s="15" t="s">
        <x:v>680</x:v>
      </x:c>
      <x:c r="D29" s="15" t="s">
        <x:v>651</x:v>
      </x:c>
      <x:c r="E29" s="6">
        <x:v>41710</x:v>
      </x:c>
      <x:c r="F29" s="6">
        <x:v>551010</x:v>
      </x:c>
      <x:c r="G29" s="7">
        <x:v>7.5689999999999993E-2</x:v>
      </x:c>
      <x:c r="H29" s="7">
        <x:v>6.2230000000000001E-2</x:v>
      </x:c>
      <x:c r="I29" s="9">
        <x:f t="shared" si="0"/>
        <x:v>0.21629439177245691</x:v>
      </x:c>
    </x:row>
    <x:row r="30">
      <x:c r="A30" s="5">
        <x:v>27</x:v>
      </x:c>
      <x:c r="B30" s="15" t="s">
        <x:v>681</x:v>
      </x:c>
      <x:c r="C30" s="15" t="s">
        <x:v>682</x:v>
      </x:c>
      <x:c r="D30" s="15" t="s">
        <x:v>644</x:v>
      </x:c>
      <x:c r="E30" s="6">
        <x:v>17730</x:v>
      </x:c>
      <x:c r="F30" s="6">
        <x:v>235090</x:v>
      </x:c>
      <x:c r="G30" s="7">
        <x:v>7.5420000000000001E-2</x:v>
      </x:c>
      <x:c r="H30" s="7">
        <x:v>6.4409999999999995E-2</x:v>
      </x:c>
      <x:c r="I30" s="9">
        <x:f t="shared" si="0"/>
        <x:v>0.17093619003260363</x:v>
      </x:c>
    </x:row>
    <x:row r="31">
      <x:c r="A31" s="5">
        <x:v>28</x:v>
      </x:c>
      <x:c r="B31" s="15" t="s">
        <x:v>683</x:v>
      </x:c>
      <x:c r="C31" s="15" t="s">
        <x:v>684</x:v>
      </x:c>
      <x:c r="D31" s="15" t="s">
        <x:v>644</x:v>
      </x:c>
      <x:c r="E31" s="6">
        <x:v>26990</x:v>
      </x:c>
      <x:c r="F31" s="6">
        <x:v>359730</x:v>
      </x:c>
      <x:c r="G31" s="7">
        <x:v>7.5029999999999999E-2</x:v>
      </x:c>
      <x:c r="H31" s="7">
        <x:v>6.3500000000000001E-2</x:v>
      </x:c>
      <x:c r="I31" s="9">
        <x:f t="shared" si="0"/>
        <x:v>0.18157480314960628</x:v>
      </x:c>
    </x:row>
    <x:row r="32">
      <x:c r="A32" s="5">
        <x:v>29</x:v>
      </x:c>
      <x:c r="B32" s="15" t="s">
        <x:v>685</x:v>
      </x:c>
      <x:c r="C32" s="15" t="s">
        <x:v>686</x:v>
      </x:c>
      <x:c r="D32" s="15" t="s">
        <x:v>651</x:v>
      </x:c>
      <x:c r="E32" s="6">
        <x:v>49690</x:v>
      </x:c>
      <x:c r="F32" s="6">
        <x:v>662310</x:v>
      </x:c>
      <x:c r="G32" s="7">
        <x:v>7.5020000000000003E-2</x:v>
      </x:c>
      <x:c r="H32" s="7">
        <x:v>6.3920000000000005E-2</x:v>
      </x:c>
      <x:c r="I32" s="9">
        <x:f t="shared" si="0"/>
        <x:v>0.17365456821026282</x:v>
      </x:c>
    </x:row>
    <x:row r="33">
      <x:c r="A33" s="5">
        <x:v>30</x:v>
      </x:c>
      <x:c r="B33" s="15" t="s">
        <x:v>687</x:v>
      </x:c>
      <x:c r="C33" s="15" t="s">
        <x:v>688</x:v>
      </x:c>
      <x:c r="D33" s="15" t="s">
        <x:v>689</x:v>
      </x:c>
      <x:c r="E33" s="6">
        <x:v>19840</x:v>
      </x:c>
      <x:c r="F33" s="6">
        <x:v>264770</x:v>
      </x:c>
      <x:c r="G33" s="7">
        <x:v>7.4939999999999993E-2</x:v>
      </x:c>
      <x:c r="H33" s="7">
        <x:v>6.0590000000000005E-2</x:v>
      </x:c>
      <x:c r="I33" s="9">
        <x:f t="shared" si="0"/>
        <x:v>0.23683776200693152</x:v>
      </x:c>
    </x:row>
    <x:row r="34">
      <x:c r="A34" s="5">
        <x:v>31</x:v>
      </x:c>
      <x:c r="B34" s="15" t="s">
        <x:v>690</x:v>
      </x:c>
      <x:c r="C34" s="15" t="s">
        <x:v>691</x:v>
      </x:c>
      <x:c r="D34" s="15" t="s">
        <x:v>647</x:v>
      </x:c>
      <x:c r="E34" s="6">
        <x:v>187060</x:v>
      </x:c>
      <x:c r="F34" s="6">
        <x:v>2533180</x:v>
      </x:c>
      <x:c r="G34" s="7">
        <x:v>7.3849999999999999E-2</x:v>
      </x:c>
      <x:c r="H34" s="7">
        <x:v>6.2380000000000005E-2</x:v>
      </x:c>
      <x:c r="I34" s="9">
        <x:f t="shared" si="0"/>
        <x:v>0.18387303622956064</x:v>
      </x:c>
    </x:row>
    <x:row r="35">
      <x:c r="A35" s="5">
        <x:v>32</x:v>
      </x:c>
      <x:c r="B35" s="15" t="s">
        <x:v>692</x:v>
      </x:c>
      <x:c r="C35" s="15" t="s">
        <x:v>693</x:v>
      </x:c>
      <x:c r="D35" s="15" t="s">
        <x:v>649</x:v>
      </x:c>
      <x:c r="E35" s="6">
        <x:v>10320</x:v>
      </x:c>
      <x:c r="F35" s="6">
        <x:v>139970</x:v>
      </x:c>
      <x:c r="G35" s="7">
        <x:v>7.3730000000000004E-2</x:v>
      </x:c>
      <x:c r="H35" s="7">
        <x:v>6.207E-2</x:v>
      </x:c>
      <x:c r="I35" s="9">
        <x:f t="shared" si="0"/>
        <x:v>0.18785242468181096</x:v>
      </x:c>
    </x:row>
    <x:row r="36">
      <x:c r="A36" s="5">
        <x:v>33</x:v>
      </x:c>
      <x:c r="B36" s="15" t="s">
        <x:v>689</x:v>
      </x:c>
      <x:c r="C36" s="15" t="s">
        <x:v>694</x:v>
      </x:c>
      <x:c r="D36" s="15" t="s">
        <x:v>646</x:v>
      </x:c>
      <x:c r="E36" s="6">
        <x:v>31010</x:v>
      </x:c>
      <x:c r="F36" s="6">
        <x:v>424640</x:v>
      </x:c>
      <x:c r="G36" s="7">
        <x:v>7.3040000000000008E-2</x:v>
      </x:c>
      <x:c r="H36" s="7">
        <x:v>5.9210000000000006E-2</x:v>
      </x:c>
      <x:c r="I36" s="9" t="n">
        <x:f t="shared" ref="I36:I67" si="1">IFERROR(G36/H36-1,"")</x:f>
        <x:v>0.2335754095591962</x:v>
      </x:c>
    </x:row>
    <x:row r="37">
      <x:c r="A37" s="5">
        <x:v>34</x:v>
      </x:c>
      <x:c r="B37" s="15" t="s">
        <x:v>695</x:v>
      </x:c>
      <x:c r="C37" s="15" t="s">
        <x:v>696</x:v>
      </x:c>
      <x:c r="D37" s="15" t="s">
        <x:v>671</x:v>
      </x:c>
      <x:c r="E37" s="6">
        <x:v>37300</x:v>
      </x:c>
      <x:c r="F37" s="6">
        <x:v>513220</x:v>
      </x:c>
      <x:c r="G37" s="7">
        <x:v>7.2669999999999998E-2</x:v>
      </x:c>
      <x:c r="H37" s="7">
        <x:v>6.2770000000000006E-2</x:v>
      </x:c>
      <x:c r="I37" s="9">
        <x:f t="shared" si="1"/>
        <x:v>0.1577186554086345</x:v>
      </x:c>
    </x:row>
    <x:row r="38">
      <x:c r="A38" s="5">
        <x:v>35</x:v>
      </x:c>
      <x:c r="B38" s="15" t="s">
        <x:v>697</x:v>
      </x:c>
      <x:c r="C38" s="15" t="s">
        <x:v>698</x:v>
      </x:c>
      <x:c r="D38" s="15" t="s">
        <x:v>646</x:v>
      </x:c>
      <x:c r="E38" s="6">
        <x:v>49200</x:v>
      </x:c>
      <x:c r="F38" s="6">
        <x:v>677410</x:v>
      </x:c>
      <x:c r="G38" s="7">
        <x:v>7.263E-2</x:v>
      </x:c>
      <x:c r="H38" s="7">
        <x:v>6.1050000000000007E-2</x:v>
      </x:c>
      <x:c r="I38" s="9">
        <x:f t="shared" si="1"/>
        <x:v>0.18968058968058954</x:v>
      </x:c>
    </x:row>
    <x:row r="39">
      <x:c r="A39" s="5">
        <x:v>36</x:v>
      </x:c>
      <x:c r="B39" s="15" t="s">
        <x:v>699</x:v>
      </x:c>
      <x:c r="C39" s="15" t="s">
        <x:v>700</x:v>
      </x:c>
      <x:c r="D39" s="15" t="s">
        <x:v>651</x:v>
      </x:c>
      <x:c r="E39" s="6">
        <x:v>83030</x:v>
      </x:c>
      <x:c r="F39" s="6">
        <x:v>1144500</x:v>
      </x:c>
      <x:c r="G39" s="7">
        <x:v>7.2539999999999993E-2</x:v>
      </x:c>
      <x:c r="H39" s="7">
        <x:v>6.4269999999999994E-2</x:v>
      </x:c>
      <x:c r="I39" s="9">
        <x:f t="shared" si="1"/>
        <x:v>0.12867589855297967</x:v>
      </x:c>
    </x:row>
    <x:row r="40">
      <x:c r="A40" s="5">
        <x:v>37</x:v>
      </x:c>
      <x:c r="B40" s="15" t="s">
        <x:v>701</x:v>
      </x:c>
      <x:c r="C40" s="15" t="s">
        <x:v>702</x:v>
      </x:c>
      <x:c r="D40" s="15" t="s">
        <x:v>644</x:v>
      </x:c>
      <x:c r="E40" s="6">
        <x:v>24910</x:v>
      </x:c>
      <x:c r="F40" s="6">
        <x:v>344590</x:v>
      </x:c>
      <x:c r="G40" s="7">
        <x:v>7.2300000000000003E-2</x:v>
      </x:c>
      <x:c r="H40" s="7">
        <x:v>5.8970000000000002E-2</x:v>
      </x:c>
      <x:c r="I40" s="9">
        <x:f t="shared" si="1"/>
        <x:v>0.2260471426148889</x:v>
      </x:c>
    </x:row>
    <x:row r="41">
      <x:c r="A41" s="5">
        <x:v>38</x:v>
      </x:c>
      <x:c r="B41" s="15" t="s">
        <x:v>703</x:v>
      </x:c>
      <x:c r="C41" s="15" t="s">
        <x:v>704</x:v>
      </x:c>
      <x:c r="D41" s="15" t="s">
        <x:v>705</x:v>
      </x:c>
      <x:c r="E41" s="6">
        <x:v>11960</x:v>
      </x:c>
      <x:c r="F41" s="6">
        <x:v>165390</x:v>
      </x:c>
      <x:c r="G41" s="7">
        <x:v>7.2300000000000003E-2</x:v>
      </x:c>
      <x:c r="H41" s="7">
        <x:v>6.1189999999999994E-2</x:v>
      </x:c>
      <x:c r="I41" s="9">
        <x:f t="shared" si="1"/>
        <x:v>0.18156561529661719</x:v>
      </x:c>
    </x:row>
    <x:row r="42">
      <x:c r="A42" s="5">
        <x:v>39</x:v>
      </x:c>
      <x:c r="B42" s="15" t="s">
        <x:v>706</x:v>
      </x:c>
      <x:c r="C42" s="15" t="s">
        <x:v>707</x:v>
      </x:c>
      <x:c r="D42" s="15" t="s">
        <x:v>671</x:v>
      </x:c>
      <x:c r="E42" s="6">
        <x:v>12430</x:v>
      </x:c>
      <x:c r="F42" s="6">
        <x:v>173280</x:v>
      </x:c>
      <x:c r="G42" s="7">
        <x:v>7.1719999999999992E-2</x:v>
      </x:c>
      <x:c r="H42" s="7">
        <x:v>6.3490000000000005E-2</x:v>
      </x:c>
      <x:c r="I42" s="9">
        <x:f t="shared" si="1"/>
        <x:v>0.12962671286816807</x:v>
      </x:c>
    </x:row>
    <x:row r="43">
      <x:c r="A43" s="5">
        <x:v>40</x:v>
      </x:c>
      <x:c r="B43" s="15" t="s">
        <x:v>708</x:v>
      </x:c>
      <x:c r="C43" s="15" t="s">
        <x:v>709</x:v>
      </x:c>
      <x:c r="D43" s="15" t="s">
        <x:v>647</x:v>
      </x:c>
      <x:c r="E43" s="6">
        <x:v>58220</x:v>
      </x:c>
      <x:c r="F43" s="6">
        <x:v>816660</x:v>
      </x:c>
      <x:c r="G43" s="7">
        <x:v>7.1289999999999992E-2</x:v>
      </x:c>
      <x:c r="H43" s="7">
        <x:v>5.7619999999999998E-2</x:v>
      </x:c>
      <x:c r="I43" s="9">
        <x:f t="shared" si="1"/>
        <x:v>0.23724401249566118</x:v>
      </x:c>
    </x:row>
    <x:row r="44">
      <x:c r="A44" s="5">
        <x:v>41</x:v>
      </x:c>
      <x:c r="B44" s="15" t="s">
        <x:v>710</x:v>
      </x:c>
      <x:c r="C44" s="15" t="s">
        <x:v>711</x:v>
      </x:c>
      <x:c r="D44" s="15" t="s">
        <x:v>644</x:v>
      </x:c>
      <x:c r="E44" s="6">
        <x:v>23640</x:v>
      </x:c>
      <x:c r="F44" s="6">
        <x:v>331800</x:v>
      </x:c>
      <x:c r="G44" s="7">
        <x:v>7.1230000000000002E-2</x:v>
      </x:c>
      <x:c r="H44" s="7">
        <x:v>6.0590000000000005E-2</x:v>
      </x:c>
      <x:c r="I44" s="9">
        <x:f t="shared" si="1"/>
        <x:v>0.17560653573196894</x:v>
      </x:c>
    </x:row>
    <x:row r="45">
      <x:c r="A45" s="5">
        <x:v>42</x:v>
      </x:c>
      <x:c r="B45" s="15" t="s">
        <x:v>712</x:v>
      </x:c>
      <x:c r="C45" s="15" t="s">
        <x:v>713</x:v>
      </x:c>
      <x:c r="D45" s="15" t="s">
        <x:v>640</x:v>
      </x:c>
      <x:c r="E45" s="6">
        <x:v>9560</x:v>
      </x:c>
      <x:c r="F45" s="6">
        <x:v>134660</x:v>
      </x:c>
      <x:c r="G45" s="7">
        <x:v>7.0999999999999994E-2</x:v>
      </x:c>
      <x:c r="H45" s="7">
        <x:v>5.6489999999999999E-2</x:v>
      </x:c>
      <x:c r="I45" s="9">
        <x:f t="shared" si="1"/>
        <x:v>0.25685962117188876</x:v>
      </x:c>
    </x:row>
    <x:row r="46">
      <x:c r="A46" s="5">
        <x:v>43</x:v>
      </x:c>
      <x:c r="B46" s="15" t="s">
        <x:v>671</x:v>
      </x:c>
      <x:c r="C46" s="15" t="s">
        <x:v>714</x:v>
      </x:c>
      <x:c r="D46" s="15" t="s">
        <x:v>689</x:v>
      </x:c>
      <x:c r="E46" s="6">
        <x:v>87620</x:v>
      </x:c>
      <x:c r="F46" s="6">
        <x:v>1242140</x:v>
      </x:c>
      <x:c r="G46" s="7">
        <x:v>7.0540000000000005E-2</x:v>
      </x:c>
      <x:c r="H46" s="7">
        <x:v>5.9139999999999998E-2</x:v>
      </x:c>
      <x:c r="I46" s="9">
        <x:f t="shared" si="1"/>
        <x:v>0.19276293540750777</x:v>
      </x:c>
    </x:row>
    <x:row r="47">
      <x:c r="A47" s="5">
        <x:v>44</x:v>
      </x:c>
      <x:c r="B47" s="15" t="s">
        <x:v>715</x:v>
      </x:c>
      <x:c r="C47" s="15" t="s">
        <x:v>716</x:v>
      </x:c>
      <x:c r="D47" s="15" t="s">
        <x:v>644</x:v>
      </x:c>
      <x:c r="E47" s="6">
        <x:v>25830</x:v>
      </x:c>
      <x:c r="F47" s="6">
        <x:v>370440</x:v>
      </x:c>
      <x:c r="G47" s="7">
        <x:v>6.9720000000000004E-2</x:v>
      </x:c>
      <x:c r="H47" s="7">
        <x:v>5.6890000000000003E-2</x:v>
      </x:c>
      <x:c r="I47" s="9">
        <x:f t="shared" si="1"/>
        <x:v>0.22552293900509746</x:v>
      </x:c>
    </x:row>
    <x:row r="48">
      <x:c r="A48" s="5">
        <x:v>45</x:v>
      </x:c>
      <x:c r="B48" s="15" t="s">
        <x:v>717</x:v>
      </x:c>
      <x:c r="C48" s="15" t="s">
        <x:v>718</x:v>
      </x:c>
      <x:c r="D48" s="15" t="s">
        <x:v>671</x:v>
      </x:c>
      <x:c r="E48" s="6">
        <x:v>10740</x:v>
      </x:c>
      <x:c r="F48" s="6">
        <x:v>154080</x:v>
      </x:c>
      <x:c r="G48" s="7">
        <x:v>6.9669999999999996E-2</x:v>
      </x:c>
      <x:c r="H48" s="7">
        <x:v>6.0880000000000004E-2</x:v>
      </x:c>
      <x:c r="I48" s="9">
        <x:f t="shared" si="1"/>
        <x:v>0.14438239159001309</x:v>
      </x:c>
    </x:row>
    <x:row r="49">
      <x:c r="A49" s="5">
        <x:v>46</x:v>
      </x:c>
      <x:c r="B49" s="15" t="s">
        <x:v>719</x:v>
      </x:c>
      <x:c r="C49" s="15" t="s">
        <x:v>720</x:v>
      </x:c>
      <x:c r="D49" s="15" t="s">
        <x:v>705</x:v>
      </x:c>
      <x:c r="E49" s="6">
        <x:v>10490</x:v>
      </x:c>
      <x:c r="F49" s="6">
        <x:v>151370</x:v>
      </x:c>
      <x:c r="G49" s="7">
        <x:v>6.9320000000000007E-2</x:v>
      </x:c>
      <x:c r="H49" s="7">
        <x:v>5.8760000000000007E-2</x:v>
      </x:c>
      <x:c r="I49" s="9">
        <x:f t="shared" si="1"/>
        <x:v>0.179714091218516</x:v>
      </x:c>
    </x:row>
    <x:row r="50">
      <x:c r="A50" s="5">
        <x:v>47</x:v>
      </x:c>
      <x:c r="B50" s="15" t="s">
        <x:v>647</x:v>
      </x:c>
      <x:c r="C50" s="15" t="s">
        <x:v>721</x:v>
      </x:c>
      <x:c r="D50" s="15" t="s">
        <x:v>671</x:v>
      </x:c>
      <x:c r="E50" s="6">
        <x:v>13190</x:v>
      </x:c>
      <x:c r="F50" s="6">
        <x:v>190840</x:v>
      </x:c>
      <x:c r="G50" s="7">
        <x:v>6.9120000000000001E-2</x:v>
      </x:c>
      <x:c r="H50" s="7">
        <x:v>5.7370000000000004E-2</x:v>
      </x:c>
      <x:c r="I50" s="9">
        <x:f t="shared" si="1"/>
        <x:v>0.20481087676485954</x:v>
      </x:c>
    </x:row>
    <x:row r="51">
      <x:c r="A51" s="5">
        <x:v>48</x:v>
      </x:c>
      <x:c r="B51" s="15" t="s">
        <x:v>722</x:v>
      </x:c>
      <x:c r="C51" s="15" t="s">
        <x:v>723</x:v>
      </x:c>
      <x:c r="D51" s="15" t="s">
        <x:v>649</x:v>
      </x:c>
      <x:c r="E51" s="6">
        <x:v>52870</x:v>
      </x:c>
      <x:c r="F51" s="6">
        <x:v>765670</x:v>
      </x:c>
      <x:c r="G51" s="7">
        <x:v>6.905E-2</x:v>
      </x:c>
      <x:c r="H51" s="7">
        <x:v>6.0240000000000002E-2</x:v>
      </x:c>
      <x:c r="I51" s="9">
        <x:f t="shared" si="1"/>
        <x:v>0.14624833997343956</x:v>
      </x:c>
    </x:row>
    <x:row r="52">
      <x:c r="A52" s="5">
        <x:v>49</x:v>
      </x:c>
      <x:c r="B52" s="15" t="s">
        <x:v>640</x:v>
      </x:c>
      <x:c r="C52" s="15" t="s">
        <x:v>724</x:v>
      </x:c>
      <x:c r="D52" s="15" t="s">
        <x:v>689</x:v>
      </x:c>
      <x:c r="E52" s="6">
        <x:v>40980</x:v>
      </x:c>
      <x:c r="F52" s="6">
        <x:v>593600</x:v>
      </x:c>
      <x:c r="G52" s="7">
        <x:v>6.9040000000000004E-2</x:v>
      </x:c>
      <x:c r="H52" s="7">
        <x:v>5.6180000000000001E-2</x:v>
      </x:c>
      <x:c r="I52" s="9">
        <x:f t="shared" si="1"/>
        <x:v>0.22890708437166252</x:v>
      </x:c>
    </x:row>
    <x:row r="53">
      <x:c r="A53" s="5">
        <x:v>50</x:v>
      </x:c>
      <x:c r="B53" s="15" t="s">
        <x:v>725</x:v>
      </x:c>
      <x:c r="C53" s="15" t="s">
        <x:v>726</x:v>
      </x:c>
      <x:c r="D53" s="15" t="s">
        <x:v>671</x:v>
      </x:c>
      <x:c r="E53" s="6">
        <x:v>53820</x:v>
      </x:c>
      <x:c r="F53" s="6">
        <x:v>781150</x:v>
      </x:c>
      <x:c r="G53" s="7">
        <x:v>6.8900000000000003E-2</x:v>
      </x:c>
      <x:c r="H53" s="7">
        <x:v>5.8749999999999997E-2</x:v>
      </x:c>
      <x:c r="I53" s="9">
        <x:f t="shared" si="1"/>
        <x:v>0.17276595744680856</x:v>
      </x:c>
    </x:row>
    <x:row r="54">
      <x:c r="A54" s="5">
        <x:v>51</x:v>
      </x:c>
      <x:c r="B54" s="15" t="s">
        <x:v>727</x:v>
      </x:c>
      <x:c r="C54" s="15" t="s">
        <x:v>728</x:v>
      </x:c>
      <x:c r="D54" s="15" t="s">
        <x:v>644</x:v>
      </x:c>
      <x:c r="E54" s="6">
        <x:v>47510</x:v>
      </x:c>
      <x:c r="F54" s="6">
        <x:v>689650</x:v>
      </x:c>
      <x:c r="G54" s="7">
        <x:v>6.8890000000000007E-2</x:v>
      </x:c>
      <x:c r="H54" s="7">
        <x:v>5.7079999999999999E-2</x:v>
      </x:c>
      <x:c r="I54" s="9">
        <x:f t="shared" si="1"/>
        <x:v>0.20690259285213752</x:v>
      </x:c>
    </x:row>
    <x:row r="55">
      <x:c r="A55" s="5">
        <x:v>52</x:v>
      </x:c>
      <x:c r="B55" s="15" t="s">
        <x:v>729</x:v>
      </x:c>
      <x:c r="C55" s="15" t="s">
        <x:v>730</x:v>
      </x:c>
      <x:c r="D55" s="15" t="s">
        <x:v>640</x:v>
      </x:c>
      <x:c r="E55" s="6">
        <x:v>17540</x:v>
      </x:c>
      <x:c r="F55" s="6">
        <x:v>255390</x:v>
      </x:c>
      <x:c r="G55" s="7">
        <x:v>6.8659999999999999E-2</x:v>
      </x:c>
      <x:c r="H55" s="7">
        <x:v>5.6070000000000002E-2</x:v>
      </x:c>
      <x:c r="I55" s="9">
        <x:f t="shared" si="1"/>
        <x:v>0.22454075263064022</x:v>
      </x:c>
    </x:row>
    <x:row r="56">
      <x:c r="A56" s="5">
        <x:v>53</x:v>
      </x:c>
      <x:c r="B56" s="15" t="s">
        <x:v>649</x:v>
      </x:c>
      <x:c r="C56" s="15" t="s">
        <x:v>731</x:v>
      </x:c>
      <x:c r="D56" s="15" t="s">
        <x:v>672</x:v>
      </x:c>
      <x:c r="E56" s="6">
        <x:v>40560</x:v>
      </x:c>
      <x:c r="F56" s="6">
        <x:v>594310</x:v>
      </x:c>
      <x:c r="G56" s="7">
        <x:v>6.8239999999999995E-2</x:v>
      </x:c>
      <x:c r="H56" s="7">
        <x:v>5.926E-2</x:v>
      </x:c>
      <x:c r="I56" s="9">
        <x:f t="shared" si="1"/>
        <x:v>0.15153560580492731</x:v>
      </x:c>
    </x:row>
    <x:row r="57">
      <x:c r="A57" s="5">
        <x:v>54</x:v>
      </x:c>
      <x:c r="B57" s="15" t="s">
        <x:v>732</x:v>
      </x:c>
      <x:c r="C57" s="15" t="s">
        <x:v>733</x:v>
      </x:c>
      <x:c r="D57" s="15" t="s">
        <x:v>652</x:v>
      </x:c>
      <x:c r="E57" s="6">
        <x:v>37960</x:v>
      </x:c>
      <x:c r="F57" s="6">
        <x:v>556380</x:v>
      </x:c>
      <x:c r="G57" s="7">
        <x:v>6.8229999999999999E-2</x:v>
      </x:c>
      <x:c r="H57" s="7">
        <x:v>5.5579999999999997E-2</x:v>
      </x:c>
      <x:c r="I57" s="9">
        <x:f t="shared" si="1"/>
        <x:v>0.22759985606333211</x:v>
      </x:c>
    </x:row>
    <x:row r="58">
      <x:c r="A58" s="5">
        <x:v>55</x:v>
      </x:c>
      <x:c r="B58" s="15" t="s">
        <x:v>734</x:v>
      </x:c>
      <x:c r="C58" s="15" t="s">
        <x:v>735</x:v>
      </x:c>
      <x:c r="D58" s="15" t="s">
        <x:v>671</x:v>
      </x:c>
      <x:c r="E58" s="6">
        <x:v>15740</x:v>
      </x:c>
      <x:c r="F58" s="6">
        <x:v>231640</x:v>
      </x:c>
      <x:c r="G58" s="7">
        <x:v>6.7960000000000007E-2</x:v>
      </x:c>
      <x:c r="H58" s="7">
        <x:v>5.8819999999999997E-2</x:v>
      </x:c>
      <x:c r="I58" s="9">
        <x:f t="shared" si="1"/>
        <x:v>0.1553893233594017</x:v>
      </x:c>
    </x:row>
    <x:row r="59">
      <x:c r="A59" s="5">
        <x:v>56</x:v>
      </x:c>
      <x:c r="B59" s="15" t="s">
        <x:v>736</x:v>
      </x:c>
      <x:c r="C59" s="15" t="s">
        <x:v>737</x:v>
      </x:c>
      <x:c r="D59" s="15" t="s">
        <x:v>649</x:v>
      </x:c>
      <x:c r="E59" s="6">
        <x:v>15430</x:v>
      </x:c>
      <x:c r="F59" s="6">
        <x:v>228010</x:v>
      </x:c>
      <x:c r="G59" s="7">
        <x:v>6.7670000000000008E-2</x:v>
      </x:c>
      <x:c r="H59" s="7">
        <x:v>5.8400000000000001E-2</x:v>
      </x:c>
      <x:c r="I59" s="9">
        <x:f t="shared" si="1"/>
        <x:v>0.15873287671232883</x:v>
      </x:c>
    </x:row>
    <x:row r="60">
      <x:c r="A60" s="5">
        <x:v>57</x:v>
      </x:c>
      <x:c r="B60" s="15" t="s">
        <x:v>738</x:v>
      </x:c>
      <x:c r="C60" s="15" t="s">
        <x:v>739</x:v>
      </x:c>
      <x:c r="D60" s="15" t="s">
        <x:v>644</x:v>
      </x:c>
      <x:c r="E60" s="6">
        <x:v>30460</x:v>
      </x:c>
      <x:c r="F60" s="6">
        <x:v>450350</x:v>
      </x:c>
      <x:c r="G60" s="7">
        <x:v>6.7629999999999996E-2</x:v>
      </x:c>
      <x:c r="H60" s="7">
        <x:v>5.8169999999999999E-2</x:v>
      </x:c>
      <x:c r="I60" s="9">
        <x:f t="shared" si="1"/>
        <x:v>0.1626267835654116</x:v>
      </x:c>
    </x:row>
    <x:row r="61">
      <x:c r="A61" s="5">
        <x:v>58</x:v>
      </x:c>
      <x:c r="B61" s="15" t="s">
        <x:v>740</x:v>
      </x:c>
      <x:c r="C61" s="15" t="s">
        <x:v>741</x:v>
      </x:c>
      <x:c r="D61" s="15" t="s">
        <x:v>670</x:v>
      </x:c>
      <x:c r="E61" s="6">
        <x:v>87620</x:v>
      </x:c>
      <x:c r="F61" s="6">
        <x:v>1298030</x:v>
      </x:c>
      <x:c r="G61" s="7">
        <x:v>6.7500000000000004E-2</x:v>
      </x:c>
      <x:c r="H61" s="7">
        <x:v>5.5780000000000003E-2</x:v>
      </x:c>
      <x:c r="I61" s="9">
        <x:f t="shared" si="1"/>
        <x:v>0.21011115095016142</x:v>
      </x:c>
    </x:row>
    <x:row r="62">
      <x:c r="A62" s="5">
        <x:v>59</x:v>
      </x:c>
      <x:c r="B62" s="15" t="s">
        <x:v>742</x:v>
      </x:c>
      <x:c r="C62" s="15" t="s">
        <x:v>743</x:v>
      </x:c>
      <x:c r="D62" s="15" t="s">
        <x:v>649</x:v>
      </x:c>
      <x:c r="E62" s="6">
        <x:v>22280</x:v>
      </x:c>
      <x:c r="F62" s="6">
        <x:v>331690</x:v>
      </x:c>
      <x:c r="G62" s="7">
        <x:v>6.7169999999999994E-2</x:v>
      </x:c>
      <x:c r="H62" s="7">
        <x:v>5.7599999999999998E-2</x:v>
      </x:c>
      <x:c r="I62" s="9">
        <x:f t="shared" si="1"/>
        <x:v>0.16614583333333321</x:v>
      </x:c>
    </x:row>
    <x:row r="63">
      <x:c r="A63" s="5">
        <x:v>60</x:v>
      </x:c>
      <x:c r="B63" s="15" t="s">
        <x:v>744</x:v>
      </x:c>
      <x:c r="C63" s="15" t="s">
        <x:v>745</x:v>
      </x:c>
      <x:c r="D63" s="15" t="s">
        <x:v>672</x:v>
      </x:c>
      <x:c r="E63" s="6">
        <x:v>144580</x:v>
      </x:c>
      <x:c r="F63" s="6">
        <x:v>2160550</x:v>
      </x:c>
      <x:c r="G63" s="7">
        <x:v>6.6920000000000007E-2</x:v>
      </x:c>
      <x:c r="H63" s="7">
        <x:v>5.892E-2</x:v>
      </x:c>
      <x:c r="I63" s="9">
        <x:f t="shared" si="1"/>
        <x:v>0.13577732518669405</x:v>
      </x:c>
    </x:row>
    <x:row r="64">
      <x:c r="A64" s="5">
        <x:v>61</x:v>
      </x:c>
      <x:c r="B64" s="15" t="s">
        <x:v>746</x:v>
      </x:c>
      <x:c r="C64" s="15" t="s">
        <x:v>747</x:v>
      </x:c>
      <x:c r="D64" s="15" t="s">
        <x:v>640</x:v>
      </x:c>
      <x:c r="E64" s="6">
        <x:v>34550</x:v>
      </x:c>
      <x:c r="F64" s="6">
        <x:v>520310</x:v>
      </x:c>
      <x:c r="G64" s="7">
        <x:v>6.6400000000000001E-2</x:v>
      </x:c>
      <x:c r="H64" s="7">
        <x:v>5.6369999999999996E-2</x:v>
      </x:c>
      <x:c r="I64" s="9">
        <x:f t="shared" si="1"/>
        <x:v>0.1779315238602095</x:v>
      </x:c>
    </x:row>
    <x:row r="65">
      <x:c r="A65" s="5">
        <x:v>62</x:v>
      </x:c>
      <x:c r="B65" s="15" t="s">
        <x:v>642</x:v>
      </x:c>
      <x:c r="C65" s="15" t="s">
        <x:v>748</x:v>
      </x:c>
      <x:c r="D65" s="15" t="s">
        <x:v>672</x:v>
      </x:c>
      <x:c r="E65" s="6">
        <x:v>11110</x:v>
      </x:c>
      <x:c r="F65" s="6">
        <x:v>167890</x:v>
      </x:c>
      <x:c r="G65" s="7">
        <x:v>6.6170000000000007E-2</x:v>
      </x:c>
      <x:c r="H65" s="7">
        <x:v>5.8120000000000005E-2</x:v>
      </x:c>
      <x:c r="I65" s="9">
        <x:f t="shared" si="1"/>
        <x:v>0.13850653819683423</x:v>
      </x:c>
    </x:row>
    <x:row r="66">
      <x:c r="A66" s="5">
        <x:v>63</x:v>
      </x:c>
      <x:c r="B66" s="15" t="s">
        <x:v>749</x:v>
      </x:c>
      <x:c r="C66" s="15" t="s">
        <x:v>67</x:v>
      </x:c>
      <x:c r="D66" s="15" t="s">
        <x:v>648</x:v>
      </x:c>
      <x:c r="E66" s="6">
        <x:v>13600</x:v>
      </x:c>
      <x:c r="F66" s="6">
        <x:v>205970</x:v>
      </x:c>
      <x:c r="G66" s="7">
        <x:v>6.6009999999999999E-2</x:v>
      </x:c>
      <x:c r="H66" s="7">
        <x:v>5.144E-2</x:v>
      </x:c>
      <x:c r="I66" s="9">
        <x:f t="shared" si="1"/>
        <x:v>0.28324261275272167</x:v>
      </x:c>
    </x:row>
    <x:row r="67">
      <x:c r="A67" s="5">
        <x:v>64</x:v>
      </x:c>
      <x:c r="B67" s="15" t="s">
        <x:v>750</x:v>
      </x:c>
      <x:c r="C67" s="15" t="s">
        <x:v>751</x:v>
      </x:c>
      <x:c r="D67" s="15" t="s">
        <x:v>644</x:v>
      </x:c>
      <x:c r="E67" s="6">
        <x:v>27830</x:v>
      </x:c>
      <x:c r="F67" s="6">
        <x:v>422620</x:v>
      </x:c>
      <x:c r="G67" s="7">
        <x:v>6.5860000000000002E-2</x:v>
      </x:c>
      <x:c r="H67" s="7">
        <x:v>5.194E-2</x:v>
      </x:c>
      <x:c r="I67" s="9">
        <x:f t="shared" si="1"/>
        <x:v>0.26800154023873701</x:v>
      </x:c>
    </x:row>
    <x:row r="68">
      <x:c r="A68" s="5">
        <x:v>65</x:v>
      </x:c>
      <x:c r="B68" s="15" t="s">
        <x:v>752</x:v>
      </x:c>
      <x:c r="C68" s="15" t="s">
        <x:v>753</x:v>
      </x:c>
      <x:c r="D68" s="15" t="s">
        <x:v>671</x:v>
      </x:c>
      <x:c r="E68" s="6">
        <x:v>26120</x:v>
      </x:c>
      <x:c r="F68" s="6">
        <x:v>397210</x:v>
      </x:c>
      <x:c r="G68" s="7">
        <x:v>6.5759999999999999E-2</x:v>
      </x:c>
      <x:c r="H68" s="7">
        <x:v>5.5629999999999999E-2</x:v>
      </x:c>
      <x:c r="I68" s="9" t="n">
        <x:f t="shared" ref="I68:I99" si="2">IFERROR(G68/H68-1,"")</x:f>
        <x:v>0.18209599137156207</x:v>
      </x:c>
    </x:row>
    <x:row r="69">
      <x:c r="A69" s="5">
        <x:v>66</x:v>
      </x:c>
      <x:c r="B69" s="15" t="s">
        <x:v>754</x:v>
      </x:c>
      <x:c r="C69" s="15" t="s">
        <x:v>755</x:v>
      </x:c>
      <x:c r="D69" s="15" t="s">
        <x:v>652</x:v>
      </x:c>
      <x:c r="E69" s="6">
        <x:v>47290</x:v>
      </x:c>
      <x:c r="F69" s="6">
        <x:v>721420</x:v>
      </x:c>
      <x:c r="G69" s="7">
        <x:v>6.5549999999999997E-2</x:v>
      </x:c>
      <x:c r="H69" s="7">
        <x:v>5.1959999999999999E-2</x:v>
      </x:c>
      <x:c r="I69" s="9">
        <x:f t="shared" si="2"/>
        <x:v>0.26154734411085445</x:v>
      </x:c>
    </x:row>
    <x:row r="70">
      <x:c r="A70" s="5">
        <x:v>67</x:v>
      </x:c>
      <x:c r="B70" s="15" t="s">
        <x:v>756</x:v>
      </x:c>
      <x:c r="C70" s="15" t="s">
        <x:v>757</x:v>
      </x:c>
      <x:c r="D70" s="15" t="s">
        <x:v>671</x:v>
      </x:c>
      <x:c r="E70" s="6">
        <x:v>17540</x:v>
      </x:c>
      <x:c r="F70" s="6">
        <x:v>267780</x:v>
      </x:c>
      <x:c r="G70" s="7">
        <x:v>6.5509999999999999E-2</x:v>
      </x:c>
      <x:c r="H70" s="7">
        <x:v>5.4870000000000002E-2</x:v>
      </x:c>
      <x:c r="I70" s="9">
        <x:f t="shared" si="2"/>
        <x:v>0.19391288500091108</x:v>
      </x:c>
    </x:row>
    <x:row r="71">
      <x:c r="A71" s="5">
        <x:v>68</x:v>
      </x:c>
      <x:c r="B71" s="15" t="s">
        <x:v>758</x:v>
      </x:c>
      <x:c r="C71" s="15" t="s">
        <x:v>759</x:v>
      </x:c>
      <x:c r="D71" s="15" t="s">
        <x:v>672</x:v>
      </x:c>
      <x:c r="E71" s="6">
        <x:v>76010</x:v>
      </x:c>
      <x:c r="F71" s="6">
        <x:v>1169180</x:v>
      </x:c>
      <x:c r="G71" s="7">
        <x:v>6.5009999999999998E-2</x:v>
      </x:c>
      <x:c r="H71" s="7">
        <x:v>5.806E-2</x:v>
      </x:c>
      <x:c r="I71" s="9">
        <x:f t="shared" si="2"/>
        <x:v>0.11970375473647943</x:v>
      </x:c>
    </x:row>
    <x:row r="72">
      <x:c r="A72" s="5">
        <x:v>69</x:v>
      </x:c>
      <x:c r="B72" s="15" t="s">
        <x:v>760</x:v>
      </x:c>
      <x:c r="C72" s="15" t="s">
        <x:v>761</x:v>
      </x:c>
      <x:c r="D72" s="15" t="s">
        <x:v>649</x:v>
      </x:c>
      <x:c r="E72" s="6">
        <x:v>42470</x:v>
      </x:c>
      <x:c r="F72" s="6">
        <x:v>653400</x:v>
      </x:c>
      <x:c r="G72" s="7">
        <x:v>6.4989999999999992E-2</x:v>
      </x:c>
      <x:c r="H72" s="7">
        <x:v>5.5500000000000001E-2</x:v>
      </x:c>
      <x:c r="I72" s="9">
        <x:f t="shared" si="2"/>
        <x:v>0.1709909909909908</x:v>
      </x:c>
    </x:row>
    <x:row r="73">
      <x:c r="A73" s="5">
        <x:v>70</x:v>
      </x:c>
      <x:c r="B73" s="15" t="s">
        <x:v>762</x:v>
      </x:c>
      <x:c r="C73" s="15" t="s">
        <x:v>763</x:v>
      </x:c>
      <x:c r="D73" s="15" t="s">
        <x:v>670</x:v>
      </x:c>
      <x:c r="E73" s="6">
        <x:v>93930</x:v>
      </x:c>
      <x:c r="F73" s="6">
        <x:v>1450940</x:v>
      </x:c>
      <x:c r="G73" s="7">
        <x:v>6.4740000000000006E-2</x:v>
      </x:c>
      <x:c r="H73" s="7">
        <x:v>5.2460000000000007E-2</x:v>
      </x:c>
      <x:c r="I73" s="9">
        <x:f t="shared" si="2"/>
        <x:v>0.23408311094166989</x:v>
      </x:c>
    </x:row>
    <x:row r="74">
      <x:c r="A74" s="5">
        <x:v>71</x:v>
      </x:c>
      <x:c r="B74" s="15" t="s">
        <x:v>764</x:v>
      </x:c>
      <x:c r="C74" s="15" t="s">
        <x:v>765</x:v>
      </x:c>
      <x:c r="D74" s="15" t="s">
        <x:v>649</x:v>
      </x:c>
      <x:c r="E74" s="6">
        <x:v>34420</x:v>
      </x:c>
      <x:c r="F74" s="6">
        <x:v>532550</x:v>
      </x:c>
      <x:c r="G74" s="7">
        <x:v>6.4630000000000007E-2</x:v>
      </x:c>
      <x:c r="H74" s="7">
        <x:v>5.6420000000000005E-2</x:v>
      </x:c>
      <x:c r="I74" s="9">
        <x:f t="shared" si="2"/>
        <x:v>0.14551577454803266</x:v>
      </x:c>
    </x:row>
    <x:row r="75">
      <x:c r="A75" s="5">
        <x:v>72</x:v>
      </x:c>
      <x:c r="B75" s="15" t="s">
        <x:v>766</x:v>
      </x:c>
      <x:c r="C75" s="15" t="s">
        <x:v>767</x:v>
      </x:c>
      <x:c r="D75" s="15" t="s">
        <x:v>640</x:v>
      </x:c>
      <x:c r="E75" s="6">
        <x:v>34410</x:v>
      </x:c>
      <x:c r="F75" s="6">
        <x:v>533290</x:v>
      </x:c>
      <x:c r="G75" s="7">
        <x:v>6.4530000000000004E-2</x:v>
      </x:c>
      <x:c r="H75" s="7">
        <x:v>5.2489999999999995E-2</x:v>
      </x:c>
      <x:c r="I75" s="9">
        <x:f t="shared" si="2"/>
        <x:v>0.22937702419508499</x:v>
      </x:c>
    </x:row>
    <x:row r="76">
      <x:c r="A76" s="5">
        <x:v>73</x:v>
      </x:c>
      <x:c r="B76" s="15" t="s">
        <x:v>768</x:v>
      </x:c>
      <x:c r="C76" s="15" t="s">
        <x:v>769</x:v>
      </x:c>
      <x:c r="D76" s="15" t="s">
        <x:v>671</x:v>
      </x:c>
      <x:c r="E76" s="6">
        <x:v>17730</x:v>
      </x:c>
      <x:c r="F76" s="6">
        <x:v>275130</x:v>
      </x:c>
      <x:c r="G76" s="7">
        <x:v>6.4430000000000001E-2</x:v>
      </x:c>
      <x:c r="H76" s="7">
        <x:v>5.4749999999999993E-2</x:v>
      </x:c>
      <x:c r="I76" s="9">
        <x:f t="shared" si="2"/>
        <x:v>0.1768036529680368</x:v>
      </x:c>
    </x:row>
    <x:row r="77">
      <x:c r="A77" s="5">
        <x:v>74</x:v>
      </x:c>
      <x:c r="B77" s="15" t="s">
        <x:v>770</x:v>
      </x:c>
      <x:c r="C77" s="15" t="s">
        <x:v>771</x:v>
      </x:c>
      <x:c r="D77" s="15" t="s">
        <x:v>689</x:v>
      </x:c>
      <x:c r="E77" s="6">
        <x:v>31660</x:v>
      </x:c>
      <x:c r="F77" s="6">
        <x:v>493320</x:v>
      </x:c>
      <x:c r="G77" s="7">
        <x:v>6.4180000000000001E-2</x:v>
      </x:c>
      <x:c r="H77" s="7">
        <x:v>5.0560000000000001E-2</x:v>
      </x:c>
      <x:c r="I77" s="9">
        <x:f t="shared" si="2"/>
        <x:v>0.26938291139240511</x:v>
      </x:c>
    </x:row>
    <x:row r="78">
      <x:c r="A78" s="5">
        <x:v>75</x:v>
      </x:c>
      <x:c r="B78" s="15" t="s">
        <x:v>772</x:v>
      </x:c>
      <x:c r="C78" s="15" t="s">
        <x:v>773</x:v>
      </x:c>
      <x:c r="D78" s="15" t="s">
        <x:v>689</x:v>
      </x:c>
      <x:c r="E78" s="6">
        <x:v>44110</x:v>
      </x:c>
      <x:c r="F78" s="6">
        <x:v>701340</x:v>
      </x:c>
      <x:c r="G78" s="7">
        <x:v>6.2899999999999998E-2</x:v>
      </x:c>
      <x:c r="H78" s="7">
        <x:v>5.0959999999999998E-2</x:v>
      </x:c>
      <x:c r="I78" s="9">
        <x:f t="shared" si="2"/>
        <x:v>0.23430141287284134</x:v>
      </x:c>
    </x:row>
    <x:row r="79">
      <x:c r="A79" s="5">
        <x:v>76</x:v>
      </x:c>
      <x:c r="B79" s="15" t="s">
        <x:v>774</x:v>
      </x:c>
      <x:c r="C79" s="15" t="s">
        <x:v>775</x:v>
      </x:c>
      <x:c r="D79" s="15" t="s">
        <x:v>672</x:v>
      </x:c>
      <x:c r="E79" s="6">
        <x:v>72870</x:v>
      </x:c>
      <x:c r="F79" s="6">
        <x:v>1163540</x:v>
      </x:c>
      <x:c r="G79" s="7">
        <x:v>6.2630000000000005E-2</x:v>
      </x:c>
      <x:c r="H79" s="7">
        <x:v>5.6340000000000001E-2</x:v>
      </x:c>
      <x:c r="I79" s="9">
        <x:f t="shared" si="2"/>
        <x:v>0.11164359247426336</x:v>
      </x:c>
    </x:row>
    <x:row r="80">
      <x:c r="A80" s="5">
        <x:v>77</x:v>
      </x:c>
      <x:c r="B80" s="15" t="s">
        <x:v>776</x:v>
      </x:c>
      <x:c r="C80" s="15" t="s">
        <x:v>777</x:v>
      </x:c>
      <x:c r="D80" s="15" t="s">
        <x:v>671</x:v>
      </x:c>
      <x:c r="E80" s="6">
        <x:v>4550</x:v>
      </x:c>
      <x:c r="F80" s="6">
        <x:v>72720</x:v>
      </x:c>
      <x:c r="G80" s="7">
        <x:v>6.25E-2</x:v>
      </x:c>
      <x:c r="H80" s="7">
        <x:v>5.5380000000000006E-2</x:v>
      </x:c>
      <x:c r="I80" s="9">
        <x:f t="shared" si="2"/>
        <x:v>0.12856626941133964</x:v>
      </x:c>
    </x:row>
    <x:row r="81">
      <x:c r="A81" s="5">
        <x:v>78</x:v>
      </x:c>
      <x:c r="B81" s="15" t="s">
        <x:v>778</x:v>
      </x:c>
      <x:c r="C81" s="15" t="s">
        <x:v>779</x:v>
      </x:c>
      <x:c r="D81" s="15" t="s">
        <x:v>646</x:v>
      </x:c>
      <x:c r="E81" s="6">
        <x:v>38240</x:v>
      </x:c>
      <x:c r="F81" s="6">
        <x:v>617070</x:v>
      </x:c>
      <x:c r="G81" s="7">
        <x:v>6.1969999999999997E-2</x:v>
      </x:c>
      <x:c r="H81" s="7">
        <x:v>5.2519999999999997E-2</x:v>
      </x:c>
      <x:c r="I81" s="9">
        <x:f t="shared" si="2"/>
        <x:v>0.1799314546839299</x:v>
      </x:c>
    </x:row>
    <x:row r="82">
      <x:c r="A82" s="5">
        <x:v>79</x:v>
      </x:c>
      <x:c r="B82" s="15" t="s">
        <x:v>705</x:v>
      </x:c>
      <x:c r="C82" s="15" t="s">
        <x:v>780</x:v>
      </x:c>
      <x:c r="D82" s="15" t="s">
        <x:v>670</x:v>
      </x:c>
      <x:c r="E82" s="6">
        <x:v>85210</x:v>
      </x:c>
      <x:c r="F82" s="6">
        <x:v>1380860</x:v>
      </x:c>
      <x:c r="G82" s="7">
        <x:v>6.1710000000000001E-2</x:v>
      </x:c>
      <x:c r="H82" s="7">
        <x:v>5.176E-2</x:v>
      </x:c>
      <x:c r="I82" s="9">
        <x:f t="shared" si="2"/>
        <x:v>0.19223338485316854</x:v>
      </x:c>
    </x:row>
    <x:row r="83">
      <x:c r="A83" s="5">
        <x:v>80</x:v>
      </x:c>
      <x:c r="B83" s="15" t="s">
        <x:v>781</x:v>
      </x:c>
      <x:c r="C83" s="15" t="s">
        <x:v>782</x:v>
      </x:c>
      <x:c r="D83" s="15" t="s">
        <x:v>671</x:v>
      </x:c>
      <x:c r="E83" s="6">
        <x:v>76870</x:v>
      </x:c>
      <x:c r="F83" s="6">
        <x:v>1251170</x:v>
      </x:c>
      <x:c r="G83" s="7">
        <x:v>6.1440000000000002E-2</x:v>
      </x:c>
      <x:c r="H83" s="7">
        <x:v>5.3810000000000004E-2</x:v>
      </x:c>
      <x:c r="I83" s="9">
        <x:f t="shared" si="2"/>
        <x:v>0.14179520535216494</x:v>
      </x:c>
    </x:row>
    <x:row r="84">
      <x:c r="A84" s="5">
        <x:v>81</x:v>
      </x:c>
      <x:c r="B84" s="15" t="s">
        <x:v>783</x:v>
      </x:c>
      <x:c r="C84" s="15" t="s">
        <x:v>75</x:v>
      </x:c>
      <x:c r="D84" s="15" t="s">
        <x:v>774</x:v>
      </x:c>
      <x:c r="E84" s="6">
        <x:v>7770</x:v>
      </x:c>
      <x:c r="F84" s="6">
        <x:v>127450</x:v>
      </x:c>
      <x:c r="G84" s="7">
        <x:v>6.0940000000000001E-2</x:v>
      </x:c>
      <x:c r="H84" s="7">
        <x:v>4.752E-2</x:v>
      </x:c>
      <x:c r="I84" s="9">
        <x:f t="shared" si="2"/>
        <x:v>0.28240740740740744</x:v>
      </x:c>
    </x:row>
    <x:row r="85">
      <x:c r="A85" s="5">
        <x:v>82</x:v>
      </x:c>
      <x:c r="B85" s="15" t="s">
        <x:v>784</x:v>
      </x:c>
      <x:c r="C85" s="15" t="s">
        <x:v>785</x:v>
      </x:c>
      <x:c r="D85" s="15" t="s">
        <x:v>670</x:v>
      </x:c>
      <x:c r="E85" s="6">
        <x:v>80230</x:v>
      </x:c>
      <x:c r="F85" s="6">
        <x:v>1331090</x:v>
      </x:c>
      <x:c r="G85" s="7">
        <x:v>6.0279999999999993E-2</x:v>
      </x:c>
      <x:c r="H85" s="7">
        <x:v>4.9869999999999998E-2</x:v>
      </x:c>
      <x:c r="I85" s="9">
        <x:f t="shared" si="2"/>
        <x:v>0.20874273110086206</x:v>
      </x:c>
    </x:row>
    <x:row r="86">
      <x:c r="A86" s="5">
        <x:v>83</x:v>
      </x:c>
      <x:c r="B86" s="15" t="s">
        <x:v>636</x:v>
      </x:c>
      <x:c r="C86" s="15" t="s">
        <x:v>786</x:v>
      </x:c>
      <x:c r="D86" s="15" t="s">
        <x:v>649</x:v>
      </x:c>
      <x:c r="E86" s="6">
        <x:v>38040</x:v>
      </x:c>
      <x:c r="F86" s="6">
        <x:v>635420</x:v>
      </x:c>
      <x:c r="G86" s="7">
        <x:v>5.987E-2</x:v>
      </x:c>
      <x:c r="H86" s="7">
        <x:v>4.8300000000000003E-2</x:v>
      </x:c>
      <x:c r="I86" s="9">
        <x:f t="shared" si="2"/>
        <x:v>0.2395445134575569</x:v>
      </x:c>
    </x:row>
    <x:row r="87">
      <x:c r="A87" s="5">
        <x:v>84</x:v>
      </x:c>
      <x:c r="B87" s="15" t="s">
        <x:v>787</x:v>
      </x:c>
      <x:c r="C87" s="15" t="s">
        <x:v>788</x:v>
      </x:c>
      <x:c r="D87" s="15" t="s">
        <x:v>649</x:v>
      </x:c>
      <x:c r="E87" s="6">
        <x:v>77610</x:v>
      </x:c>
      <x:c r="F87" s="6">
        <x:v>1305820</x:v>
      </x:c>
      <x:c r="G87" s="7">
        <x:v>5.9429999999999997E-2</x:v>
      </x:c>
      <x:c r="H87" s="7">
        <x:v>5.1060000000000001E-2</x:v>
      </x:c>
      <x:c r="I87" s="9">
        <x:f t="shared" si="2"/>
        <x:v>0.16392479435957696</x:v>
      </x:c>
    </x:row>
    <x:row r="88">
      <x:c r="A88" s="5">
        <x:v>85</x:v>
      </x:c>
      <x:c r="B88" s="15" t="s">
        <x:v>789</x:v>
      </x:c>
      <x:c r="C88" s="15" t="s">
        <x:v>790</x:v>
      </x:c>
      <x:c r="D88" s="15" t="s">
        <x:v>644</x:v>
      </x:c>
      <x:c r="E88" s="6">
        <x:v>41300</x:v>
      </x:c>
      <x:c r="F88" s="6">
        <x:v>707330</x:v>
      </x:c>
      <x:c r="G88" s="7">
        <x:v>5.8390000000000004E-2</x:v>
      </x:c>
      <x:c r="H88" s="7">
        <x:v>5.1040000000000002E-2</x:v>
      </x:c>
      <x:c r="I88" s="9">
        <x:f t="shared" si="2"/>
        <x:v>0.14400470219435735</x:v>
      </x:c>
    </x:row>
    <x:row r="89">
      <x:c r="A89" s="5">
        <x:v>86</x:v>
      </x:c>
      <x:c r="B89" s="15" t="s">
        <x:v>791</x:v>
      </x:c>
      <x:c r="C89" s="15" t="s">
        <x:v>792</x:v>
      </x:c>
      <x:c r="D89" s="15" t="s">
        <x:v>649</x:v>
      </x:c>
      <x:c r="E89" s="6">
        <x:v>106840</x:v>
      </x:c>
      <x:c r="F89" s="6">
        <x:v>1904880</x:v>
      </x:c>
      <x:c r="G89" s="7">
        <x:v>5.6090000000000001E-2</x:v>
      </x:c>
      <x:c r="H89" s="7">
        <x:v>4.9009999999999998E-2</x:v>
      </x:c>
      <x:c r="I89" s="9">
        <x:f t="shared" si="2"/>
        <x:v>0.14446031422158745</x:v>
      </x:c>
    </x:row>
    <x:row r="90">
      <x:c r="A90" s="5">
        <x:v>87</x:v>
      </x:c>
      <x:c r="B90" s="15" t="s">
        <x:v>793</x:v>
      </x:c>
      <x:c r="C90" s="15" t="s">
        <x:v>794</x:v>
      </x:c>
      <x:c r="D90" s="15" t="s">
        <x:v>652</x:v>
      </x:c>
      <x:c r="E90" s="6">
        <x:v>46310</x:v>
      </x:c>
      <x:c r="F90" s="6">
        <x:v>828250</x:v>
      </x:c>
      <x:c r="G90" s="7">
        <x:v>5.5910000000000001E-2</x:v>
      </x:c>
      <x:c r="H90" s="7">
        <x:v>4.6460000000000001E-2</x:v>
      </x:c>
      <x:c r="I90" s="9">
        <x:f t="shared" si="2"/>
        <x:v>0.20340077486009478</x:v>
      </x:c>
    </x:row>
    <x:row r="91">
      <x:c r="A91" s="5">
        <x:v>88</x:v>
      </x:c>
      <x:c r="B91" s="15" t="s">
        <x:v>795</x:v>
      </x:c>
      <x:c r="C91" s="15" t="s">
        <x:v>796</x:v>
      </x:c>
      <x:c r="D91" s="15" t="s">
        <x:v>644</x:v>
      </x:c>
      <x:c r="E91" s="6">
        <x:v>95030</x:v>
      </x:c>
      <x:c r="F91" s="6">
        <x:v>1701940</x:v>
      </x:c>
      <x:c r="G91" s="7">
        <x:v>5.5839999999999994E-2</x:v>
      </x:c>
      <x:c r="H91" s="7">
        <x:v>4.8659999999999995E-2</x:v>
      </x:c>
      <x:c r="I91" s="9">
        <x:f t="shared" si="2"/>
        <x:v>0.14755445951500201</x:v>
      </x:c>
    </x:row>
    <x:row r="92">
      <x:c r="A92" s="5">
        <x:v>89</x:v>
      </x:c>
      <x:c r="B92" s="15" t="s">
        <x:v>797</x:v>
      </x:c>
      <x:c r="C92" s="15" t="s">
        <x:v>798</x:v>
      </x:c>
      <x:c r="D92" s="15" t="s">
        <x:v>799</x:v>
      </x:c>
      <x:c r="E92" s="6">
        <x:v>33590</x:v>
      </x:c>
      <x:c r="F92" s="6">
        <x:v>615150</x:v>
      </x:c>
      <x:c r="G92" s="7">
        <x:v>5.4600000000000003E-2</x:v>
      </x:c>
      <x:c r="H92" s="7">
        <x:v>4.4209999999999999E-2</x:v>
      </x:c>
      <x:c r="I92" s="9">
        <x:f t="shared" si="2"/>
        <x:v>0.23501470255598278</x:v>
      </x:c>
    </x:row>
    <x:row r="93">
      <x:c r="A93" s="5">
        <x:v>90</x:v>
      </x:c>
      <x:c r="B93" s="15" t="s">
        <x:v>800</x:v>
      </x:c>
      <x:c r="C93" s="15" t="s">
        <x:v>801</x:v>
      </x:c>
      <x:c r="D93" s="15" t="s">
        <x:v>672</x:v>
      </x:c>
      <x:c r="E93" s="6">
        <x:v>7930</x:v>
      </x:c>
      <x:c r="F93" s="6">
        <x:v>146080</x:v>
      </x:c>
      <x:c r="G93" s="7">
        <x:v>5.4260000000000003E-2</x:v>
      </x:c>
      <x:c r="H93" s="7">
        <x:v>4.7359999999999999E-2</x:v>
      </x:c>
      <x:c r="I93" s="9">
        <x:f t="shared" si="2"/>
        <x:v>0.14569256756756754</x:v>
      </x:c>
    </x:row>
    <x:row r="94">
      <x:c r="A94" s="5">
        <x:v>91</x:v>
      </x:c>
      <x:c r="B94" s="15" t="s">
        <x:v>802</x:v>
      </x:c>
      <x:c r="C94" s="15" t="s">
        <x:v>803</x:v>
      </x:c>
      <x:c r="D94" s="15" t="s">
        <x:v>799</x:v>
      </x:c>
      <x:c r="E94" s="6">
        <x:v>42780</x:v>
      </x:c>
      <x:c r="F94" s="6">
        <x:v>796340</x:v>
      </x:c>
      <x:c r="G94" s="7">
        <x:v>5.3719999999999997E-2</x:v>
      </x:c>
      <x:c r="H94" s="7">
        <x:v>4.4330000000000001E-2</x:v>
      </x:c>
      <x:c r="I94" s="9">
        <x:f t="shared" si="2"/>
        <x:v>0.21182043762688907</x:v>
      </x:c>
    </x:row>
    <x:row r="95">
      <x:c r="A95" s="5">
        <x:v>92</x:v>
      </x:c>
      <x:c r="B95" s="15" t="s">
        <x:v>799</x:v>
      </x:c>
      <x:c r="C95" s="15" t="s">
        <x:v>804</x:v>
      </x:c>
      <x:c r="D95" s="15" t="s">
        <x:v>652</x:v>
      </x:c>
      <x:c r="E95" s="6">
        <x:v>16220</x:v>
      </x:c>
      <x:c r="F95" s="6">
        <x:v>302000</x:v>
      </x:c>
      <x:c r="G95" s="7">
        <x:v>5.3699999999999998E-2</x:v>
      </x:c>
      <x:c r="H95" s="7">
        <x:v>4.1749999999999995E-2</x:v>
      </x:c>
      <x:c r="I95" s="9">
        <x:f t="shared" si="2"/>
        <x:v>0.28622754491017965</x:v>
      </x:c>
    </x:row>
    <x:row r="96">
      <x:c r="A96" s="5">
        <x:v>93</x:v>
      </x:c>
      <x:c r="B96" s="15" t="s">
        <x:v>805</x:v>
      </x:c>
      <x:c r="C96" s="15" t="s">
        <x:v>806</x:v>
      </x:c>
      <x:c r="D96" s="15" t="s">
        <x:v>670</x:v>
      </x:c>
      <x:c r="E96" s="6">
        <x:v>78590</x:v>
      </x:c>
      <x:c r="F96" s="6">
        <x:v>1487110</x:v>
      </x:c>
      <x:c r="G96" s="7">
        <x:v>5.2850000000000001E-2</x:v>
      </x:c>
      <x:c r="H96" s="7">
        <x:v>4.4770000000000004E-2</x:v>
      </x:c>
      <x:c r="I96" s="9">
        <x:f t="shared" si="2"/>
        <x:v>0.18047799865981684</x:v>
      </x:c>
    </x:row>
    <x:row r="97">
      <x:c r="A97" s="5">
        <x:v>94</x:v>
      </x:c>
      <x:c r="B97" s="15" t="s">
        <x:v>807</x:v>
      </x:c>
      <x:c r="C97" s="15" t="s">
        <x:v>808</x:v>
      </x:c>
      <x:c r="D97" s="15" t="s">
        <x:v>649</x:v>
      </x:c>
      <x:c r="E97" s="6">
        <x:v>23740</x:v>
      </x:c>
      <x:c r="F97" s="6">
        <x:v>450080</x:v>
      </x:c>
      <x:c r="G97" s="7">
        <x:v>5.2750000000000005E-2</x:v>
      </x:c>
      <x:c r="H97" s="7">
        <x:v>4.5330000000000002E-2</x:v>
      </x:c>
      <x:c r="I97" s="9">
        <x:f t="shared" si="2"/>
        <x:v>0.16368850650783151</x:v>
      </x:c>
    </x:row>
    <x:row r="98">
      <x:c r="A98" s="5">
        <x:v>95</x:v>
      </x:c>
      <x:c r="B98" s="15" t="s">
        <x:v>809</x:v>
      </x:c>
      <x:c r="C98" s="15" t="s">
        <x:v>810</x:v>
      </x:c>
      <x:c r="D98" s="15" t="s">
        <x:v>670</x:v>
      </x:c>
      <x:c r="E98" s="6">
        <x:v>82860</x:v>
      </x:c>
      <x:c r="F98" s="6">
        <x:v>1619670</x:v>
      </x:c>
      <x:c r="G98" s="7">
        <x:v>5.1159999999999997E-2</x:v>
      </x:c>
      <x:c r="H98" s="7">
        <x:v>4.3799999999999999E-2</x:v>
      </x:c>
      <x:c r="I98" s="9">
        <x:f t="shared" si="2"/>
        <x:v>0.1680365296803652</x:v>
      </x:c>
    </x:row>
    <x:row r="99">
      <x:c r="A99" s="5">
        <x:v>96</x:v>
      </x:c>
      <x:c r="B99" s="15" t="s">
        <x:v>811</x:v>
      </x:c>
      <x:c r="C99" s="15" t="s">
        <x:v>812</x:v>
      </x:c>
      <x:c r="D99" s="15" t="s">
        <x:v>799</x:v>
      </x:c>
      <x:c r="E99" s="6">
        <x:v>47750</x:v>
      </x:c>
      <x:c r="F99" s="6">
        <x:v>934720</x:v>
      </x:c>
      <x:c r="G99" s="7">
        <x:v>5.1079999999999993E-2</x:v>
      </x:c>
      <x:c r="H99" s="7">
        <x:v>4.0239999999999998E-2</x:v>
      </x:c>
      <x:c r="I99" s="9">
        <x:f t="shared" si="2"/>
        <x:v>0.26938369781312121</x:v>
      </x:c>
    </x:row>
    <x:row r="100">
      <x:c r="A100" s="5">
        <x:v>97</x:v>
      </x:c>
      <x:c r="B100" s="15" t="s">
        <x:v>813</x:v>
      </x:c>
      <x:c r="C100" s="15" t="s">
        <x:v>814</x:v>
      </x:c>
      <x:c r="D100" s="15" t="s">
        <x:v>671</x:v>
      </x:c>
      <x:c r="E100" s="6">
        <x:v>72940</x:v>
      </x:c>
      <x:c r="F100" s="6">
        <x:v>1440880</x:v>
      </x:c>
      <x:c r="G100" s="7">
        <x:v>5.0620000000000005E-2</x:v>
      </x:c>
      <x:c r="H100" s="7">
        <x:v>4.335E-2</x:v>
      </x:c>
      <x:c r="I100" s="9" t="n">
        <x:f t="shared" ref="I100:I104" si="3">IFERROR(G100/H100-1,"")</x:f>
        <x:v>0.1677047289504039</x:v>
      </x:c>
    </x:row>
    <x:row r="101">
      <x:c r="A101" s="5">
        <x:v>98</x:v>
      </x:c>
      <x:c r="B101" s="15" t="s">
        <x:v>644</x:v>
      </x:c>
      <x:c r="C101" s="15" t="s">
        <x:v>815</x:v>
      </x:c>
      <x:c r="D101" s="15" t="s">
        <x:v>670</x:v>
      </x:c>
      <x:c r="E101" s="6">
        <x:v>104110</x:v>
      </x:c>
      <x:c r="F101" s="6">
        <x:v>2068810</x:v>
      </x:c>
      <x:c r="G101" s="7">
        <x:v>5.0320000000000004E-2</x:v>
      </x:c>
      <x:c r="H101" s="7">
        <x:v>4.274E-2</x:v>
      </x:c>
      <x:c r="I101" s="9">
        <x:f t="shared" si="3"/>
        <x:v>0.17735142723444097</x:v>
      </x:c>
    </x:row>
    <x:row r="102">
      <x:c r="A102" s="5">
        <x:v>99</x:v>
      </x:c>
      <x:c r="B102" s="15" t="s">
        <x:v>651</x:v>
      </x:c>
      <x:c r="C102" s="15" t="s">
        <x:v>816</x:v>
      </x:c>
      <x:c r="D102" s="15" t="s">
        <x:v>652</x:v>
      </x:c>
      <x:c r="E102" s="6">
        <x:v>71100</x:v>
      </x:c>
      <x:c r="F102" s="6">
        <x:v>1491970</x:v>
      </x:c>
      <x:c r="G102" s="7">
        <x:v>4.7649999999999998E-2</x:v>
      </x:c>
      <x:c r="H102" s="7">
        <x:v>3.9030000000000002E-2</x:v>
      </x:c>
      <x:c r="I102" s="9">
        <x:f t="shared" si="3"/>
        <x:v>0.22085575198565199</x:v>
      </x:c>
    </x:row>
    <x:row r="103">
      <x:c r="A103" s="5">
        <x:v>100</x:v>
      </x:c>
      <x:c r="B103" s="15" t="s">
        <x:v>817</x:v>
      </x:c>
      <x:c r="C103" s="15" t="s">
        <x:v>818</x:v>
      </x:c>
      <x:c r="D103" s="15" t="s">
        <x:v>649</x:v>
      </x:c>
      <x:c r="E103" s="6">
        <x:v>38730</x:v>
      </x:c>
      <x:c r="F103" s="6">
        <x:v>820260</x:v>
      </x:c>
      <x:c r="G103" s="7">
        <x:v>4.7210000000000002E-2</x:v>
      </x:c>
      <x:c r="H103" s="7">
        <x:v>4.165E-2</x:v>
      </x:c>
      <x:c r="I103" s="9">
        <x:f t="shared" si="3"/>
        <x:v>0.13349339735894361</x:v>
      </x:c>
    </x:row>
    <x:row r="104">
      <x:c r="A104" s="10">
        <x:v>101</x:v>
      </x:c>
      <x:c r="B104" s="16" t="s">
        <x:v>819</x:v>
      </x:c>
      <x:c r="C104" s="16" t="s">
        <x:v>820</x:v>
      </x:c>
      <x:c r="D104" s="16" t="s">
        <x:v>799</x:v>
      </x:c>
      <x:c r="E104" s="11">
        <x:v>46610</x:v>
      </x:c>
      <x:c r="F104" s="11">
        <x:v>1108760</x:v>
      </x:c>
      <x:c r="G104" s="12">
        <x:v>4.2039999999999994E-2</x:v>
      </x:c>
      <x:c r="H104" s="12">
        <x:v>3.3349999999999998E-2</x:v>
      </x:c>
      <x:c r="I104" s="14">
        <x:f t="shared" si="3"/>
        <x:v>0.26056971514242866</x:v>
      </x:c>
    </x:row>
  </x:sheetData>
  <x:mergeCells>
    <x:mergeCell ref="A1:I1"/>
  </x:mergeCells>
  <x:conditionalFormatting sqref="G4:G104">
    <x:cfRule type="colorScale" priority="1">
      <x:colorScale>
        <x:cfvo type="min"/>
        <x:cfvo type="percentile" val="50"/>
        <x:cfvo type="max"/>
        <x:color rgb="FFE8F5F2"/>
        <x:color rgb="FFF9E8B5"/>
        <x:color rgb="FFE58B8B"/>
      </x:colorScale>
    </x:cfRule>
  </x:conditionalFormatting>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baseColWidth="10" defaultColWidth="8.88671875" defaultRowHeight="14.399999618530273"/>
  <x:cols>
    <x:col min="1" max="2" width="16" customWidth="1"/>
    <x:col min="3" max="3" width="24" customWidth="1"/>
    <x:col min="4" max="7" width="16" customWidth="1"/>
  </x:cols>
  <x:sheetData>
    <x:row r="1" ht="25.799999237060547">
      <x:c r="A1" s="58" t="s">
        <x:v>821</x:v>
      </x:c>
      <x:c r="B1" s="58"/>
      <x:c r="C1" s="58"/>
      <x:c r="D1" s="58"/>
      <x:c r="E1" s="58"/>
      <x:c r="F1" s="58"/>
      <x:c r="G1" s="58"/>
    </x:row>
    <x:row r="2">
      <x:c r="A2" s="1"/>
      <x:c r="B2" s="1"/>
      <x:c r="C2" s="1"/>
      <x:c r="D2" s="1"/>
      <x:c r="E2" s="1"/>
      <x:c r="F2" s="1"/>
      <x:c r="G2" s="1"/>
    </x:row>
    <x:row r="3" ht="28.799999237060547">
      <x:c r="A3" s="2" t="s">
        <x:v>1</x:v>
      </x:c>
      <x:c r="B3" s="3" t="s">
        <x:v>822</x:v>
      </x:c>
      <x:c r="C3" s="3" t="s">
        <x:v>4</x:v>
      </x:c>
      <x:c r="D3" s="3" t="s">
        <x:v>7</x:v>
      </x:c>
      <x:c r="E3" s="3" t="s">
        <x:v>6</x:v>
      </x:c>
      <x:c r="F3" s="3" t="s">
        <x:v>617</x:v>
      </x:c>
      <x:c r="G3" s="4" t="s">
        <x:v>5</x:v>
      </x:c>
    </x:row>
    <x:row r="4">
      <x:c r="A4" s="5">
        <x:v>2015</x:v>
      </x:c>
      <x:c r="B4" s="15" t="s">
        <x:v>636</x:v>
      </x:c>
      <x:c r="C4" s="15" t="s">
        <x:v>786</x:v>
      </x:c>
      <x:c r="D4" s="15" t="s">
        <x:v>649</x:v>
      </x:c>
      <x:c r="E4" s="6">
        <x:v>27600</x:v>
      </x:c>
      <x:c r="F4" s="6">
        <x:v>571420</x:v>
      </x:c>
      <x:c r="G4" s="9">
        <x:v>4.8300000000000003E-2</x:v>
      </x:c>
    </x:row>
    <x:row r="5">
      <x:c r="A5" s="5">
        <x:v>2015</x:v>
      </x:c>
      <x:c r="B5" s="15" t="s">
        <x:v>638</x:v>
      </x:c>
      <x:c r="C5" s="15" t="s">
        <x:v>50</x:v>
      </x:c>
      <x:c r="D5" s="15" t="s">
        <x:v>647</x:v>
      </x:c>
      <x:c r="E5" s="6">
        <x:v>35890</x:v>
      </x:c>
      <x:c r="F5" s="6">
        <x:v>513230</x:v>
      </x:c>
      <x:c r="G5" s="9">
        <x:v>6.9940000000000002E-2</x:v>
      </x:c>
    </x:row>
    <x:row r="6">
      <x:c r="A6" s="5">
        <x:v>2015</x:v>
      </x:c>
      <x:c r="B6" s="15" t="s">
        <x:v>648</x:v>
      </x:c>
      <x:c r="C6" s="15" t="s">
        <x:v>46</x:v>
      </x:c>
      <x:c r="D6" s="15" t="s">
        <x:v>649</x:v>
      </x:c>
      <x:c r="E6" s="6">
        <x:v>22960</x:v>
      </x:c>
      <x:c r="F6" s="6">
        <x:v>324220</x:v>
      </x:c>
      <x:c r="G6" s="9">
        <x:v>7.0819999999999994E-2</x:v>
      </x:c>
    </x:row>
    <x:row r="7">
      <x:c r="A7" s="5">
        <x:v>2015</x:v>
      </x:c>
      <x:c r="B7" s="15" t="s">
        <x:v>642</x:v>
      </x:c>
      <x:c r="C7" s="15" t="s">
        <x:v>748</x:v>
      </x:c>
      <x:c r="D7" s="15" t="s">
        <x:v>672</x:v>
      </x:c>
      <x:c r="E7" s="6">
        <x:v>9040</x:v>
      </x:c>
      <x:c r="F7" s="6">
        <x:v>155610</x:v>
      </x:c>
      <x:c r="G7" s="9">
        <x:v>5.8120000000000005E-2</x:v>
      </x:c>
    </x:row>
    <x:row r="8">
      <x:c r="A8" s="5">
        <x:v>2015</x:v>
      </x:c>
      <x:c r="B8" s="15" t="s">
        <x:v>800</x:v>
      </x:c>
      <x:c r="C8" s="15" t="s">
        <x:v>801</x:v>
      </x:c>
      <x:c r="D8" s="15" t="s">
        <x:v>672</x:v>
      </x:c>
      <x:c r="E8" s="6">
        <x:v>6270</x:v>
      </x:c>
      <x:c r="F8" s="6">
        <x:v>132410</x:v>
      </x:c>
      <x:c r="G8" s="9">
        <x:v>4.7359999999999999E-2</x:v>
      </x:c>
    </x:row>
    <x:row r="9">
      <x:c r="A9" s="5">
        <x:v>2015</x:v>
      </x:c>
      <x:c r="B9" s="15" t="s">
        <x:v>774</x:v>
      </x:c>
      <x:c r="C9" s="15" t="s">
        <x:v>775</x:v>
      </x:c>
      <x:c r="D9" s="15" t="s">
        <x:v>672</x:v>
      </x:c>
      <x:c r="E9" s="6">
        <x:v>60140</x:v>
      </x:c>
      <x:c r="F9" s="6">
        <x:v>1067500</x:v>
      </x:c>
      <x:c r="G9" s="9">
        <x:v>5.6340000000000001E-2</x:v>
      </x:c>
    </x:row>
    <x:row r="10">
      <x:c r="A10" s="5">
        <x:v>2015</x:v>
      </x:c>
      <x:c r="B10" s="15" t="s">
        <x:v>742</x:v>
      </x:c>
      <x:c r="C10" s="15" t="s">
        <x:v>743</x:v>
      </x:c>
      <x:c r="D10" s="15" t="s">
        <x:v>649</x:v>
      </x:c>
      <x:c r="E10" s="6">
        <x:v>17980</x:v>
      </x:c>
      <x:c r="F10" s="6">
        <x:v>312190</x:v>
      </x:c>
      <x:c r="G10" s="9">
        <x:v>5.7599999999999998E-2</x:v>
      </x:c>
    </x:row>
    <x:row r="11">
      <x:c r="A11" s="5">
        <x:v>2015</x:v>
      </x:c>
      <x:c r="B11" s="15" t="s">
        <x:v>653</x:v>
      </x:c>
      <x:c r="C11" s="15" t="s">
        <x:v>97</x:v>
      </x:c>
      <x:c r="D11" s="15" t="s">
        <x:v>651</x:v>
      </x:c>
      <x:c r="E11" s="6">
        <x:v>18330</x:v>
      </x:c>
      <x:c r="F11" s="6">
        <x:v>264340</x:v>
      </x:c>
      <x:c r="G11" s="9">
        <x:v>6.9339999999999999E-2</x:v>
      </x:c>
    </x:row>
    <x:row r="12">
      <x:c r="A12" s="5">
        <x:v>2015</x:v>
      </x:c>
      <x:c r="B12" s="15" t="s">
        <x:v>717</x:v>
      </x:c>
      <x:c r="C12" s="15" t="s">
        <x:v>718</x:v>
      </x:c>
      <x:c r="D12" s="15" t="s">
        <x:v>671</x:v>
      </x:c>
      <x:c r="E12" s="6">
        <x:v>8830</x:v>
      </x:c>
      <x:c r="F12" s="6">
        <x:v>144970</x:v>
      </x:c>
      <x:c r="G12" s="9">
        <x:v>6.0880000000000004E-2</x:v>
      </x:c>
    </x:row>
    <x:row r="13">
      <x:c r="A13" s="5">
        <x:v>2015</x:v>
      </x:c>
      <x:c r="B13" s="15" t="s">
        <x:v>668</x:v>
      </x:c>
      <x:c r="C13" s="15" t="s">
        <x:v>669</x:v>
      </x:c>
      <x:c r="D13" s="15" t="s">
        <x:v>651</x:v>
      </x:c>
      <x:c r="E13" s="6">
        <x:v>18910</x:v>
      </x:c>
      <x:c r="F13" s="6">
        <x:v>291380</x:v>
      </x:c>
      <x:c r="G13" s="9">
        <x:v>6.4899999999999999E-2</x:v>
      </x:c>
    </x:row>
    <x:row r="14">
      <x:c r="A14" s="5">
        <x:v>2015</x:v>
      </x:c>
      <x:c r="B14" s="15" t="s">
        <x:v>670</x:v>
      </x:c>
      <x:c r="C14" s="15" t="s">
        <x:v>89</x:v>
      </x:c>
      <x:c r="D14" s="15" t="s">
        <x:v>671</x:v>
      </x:c>
      <x:c r="E14" s="6">
        <x:v>23480</x:v>
      </x:c>
      <x:c r="F14" s="6">
        <x:v>351820</x:v>
      </x:c>
      <x:c r="G14" s="9">
        <x:v>6.6729999999999998E-2</x:v>
      </x:c>
    </x:row>
    <x:row r="15">
      <x:c r="A15" s="5">
        <x:v>2015</x:v>
      </x:c>
      <x:c r="B15" s="15" t="s">
        <x:v>768</x:v>
      </x:c>
      <x:c r="C15" s="15" t="s">
        <x:v>769</x:v>
      </x:c>
      <x:c r="D15" s="15" t="s">
        <x:v>671</x:v>
      </x:c>
      <x:c r="E15" s="6">
        <x:v>14420</x:v>
      </x:c>
      <x:c r="F15" s="6">
        <x:v>263370</x:v>
      </x:c>
      <x:c r="G15" s="9">
        <x:v>5.4749999999999993E-2</x:v>
      </x:c>
    </x:row>
    <x:row r="16">
      <x:c r="A16" s="5">
        <x:v>2015</x:v>
      </x:c>
      <x:c r="B16" s="15" t="s">
        <x:v>744</x:v>
      </x:c>
      <x:c r="C16" s="15" t="s">
        <x:v>745</x:v>
      </x:c>
      <x:c r="D16" s="15" t="s">
        <x:v>672</x:v>
      </x:c>
      <x:c r="E16" s="6">
        <x:v>118280</x:v>
      </x:c>
      <x:c r="F16" s="6">
        <x:v>2007280</x:v>
      </x:c>
      <x:c r="G16" s="9">
        <x:v>5.892E-2</x:v>
      </x:c>
    </x:row>
    <x:row r="17">
      <x:c r="A17" s="5">
        <x:v>2015</x:v>
      </x:c>
      <x:c r="B17" s="15" t="s">
        <x:v>772</x:v>
      </x:c>
      <x:c r="C17" s="15" t="s">
        <x:v>773</x:v>
      </x:c>
      <x:c r="D17" s="15" t="s">
        <x:v>689</x:v>
      </x:c>
      <x:c r="E17" s="6">
        <x:v>33760</x:v>
      </x:c>
      <x:c r="F17" s="6">
        <x:v>662380</x:v>
      </x:c>
      <x:c r="G17" s="9">
        <x:v>5.0959999999999998E-2</x:v>
      </x:c>
    </x:row>
    <x:row r="18">
      <x:c r="A18" s="5">
        <x:v>2015</x:v>
      </x:c>
      <x:c r="B18" s="15" t="s">
        <x:v>692</x:v>
      </x:c>
      <x:c r="C18" s="15" t="s">
        <x:v>693</x:v>
      </x:c>
      <x:c r="D18" s="15" t="s">
        <x:v>649</x:v>
      </x:c>
      <x:c r="E18" s="6">
        <x:v>8440</x:v>
      </x:c>
      <x:c r="F18" s="6">
        <x:v>135990</x:v>
      </x:c>
      <x:c r="G18" s="9">
        <x:v>6.207E-2</x:v>
      </x:c>
    </x:row>
    <x:row r="19">
      <x:c r="A19" s="5">
        <x:v>2015</x:v>
      </x:c>
      <x:c r="B19" s="15" t="s">
        <x:v>701</x:v>
      </x:c>
      <x:c r="C19" s="15" t="s">
        <x:v>702</x:v>
      </x:c>
      <x:c r="D19" s="15" t="s">
        <x:v>644</x:v>
      </x:c>
      <x:c r="E19" s="6">
        <x:v>19790</x:v>
      </x:c>
      <x:c r="F19" s="6">
        <x:v>335510</x:v>
      </x:c>
      <x:c r="G19" s="9">
        <x:v>5.8970000000000002E-2</x:v>
      </x:c>
    </x:row>
    <x:row r="20">
      <x:c r="A20" s="5">
        <x:v>2015</x:v>
      </x:c>
      <x:c r="B20" s="15" t="s">
        <x:v>727</x:v>
      </x:c>
      <x:c r="C20" s="15" t="s">
        <x:v>728</x:v>
      </x:c>
      <x:c r="D20" s="15" t="s">
        <x:v>644</x:v>
      </x:c>
      <x:c r="E20" s="6">
        <x:v>35570</x:v>
      </x:c>
      <x:c r="F20" s="6">
        <x:v>623090</x:v>
      </x:c>
      <x:c r="G20" s="9">
        <x:v>5.7079999999999999E-2</x:v>
      </x:c>
    </x:row>
    <x:row r="21">
      <x:c r="A21" s="5">
        <x:v>2015</x:v>
      </x:c>
      <x:c r="B21" s="15" t="s">
        <x:v>654</x:v>
      </x:c>
      <x:c r="C21" s="15" t="s">
        <x:v>86</x:v>
      </x:c>
      <x:c r="D21" s="15" t="s">
        <x:v>646</x:v>
      </x:c>
      <x:c r="E21" s="6">
        <x:v>20240</x:v>
      </x:c>
      <x:c r="F21" s="6">
        <x:v>290230</x:v>
      </x:c>
      <x:c r="G21" s="9">
        <x:v>6.9739999999999996E-2</x:v>
      </x:c>
    </x:row>
    <x:row r="22">
      <x:c r="A22" s="5">
        <x:v>2015</x:v>
      </x:c>
      <x:c r="B22" s="15" t="s">
        <x:v>681</x:v>
      </x:c>
      <x:c r="C22" s="15" t="s">
        <x:v>682</x:v>
      </x:c>
      <x:c r="D22" s="15" t="s">
        <x:v>644</x:v>
      </x:c>
      <x:c r="E22" s="6">
        <x:v>14630</x:v>
      </x:c>
      <x:c r="F22" s="6">
        <x:v>227050</x:v>
      </x:c>
      <x:c r="G22" s="9">
        <x:v>6.4409999999999995E-2</x:v>
      </x:c>
    </x:row>
    <x:row r="23">
      <x:c r="A23" s="5">
        <x:v>2015</x:v>
      </x:c>
      <x:c r="B23" s="15" t="s">
        <x:v>746</x:v>
      </x:c>
      <x:c r="C23" s="15" t="s">
        <x:v>747</x:v>
      </x:c>
      <x:c r="D23" s="15" t="s">
        <x:v>640</x:v>
      </x:c>
      <x:c r="E23" s="6">
        <x:v>28200</x:v>
      </x:c>
      <x:c r="F23" s="6">
        <x:v>500210</x:v>
      </x:c>
      <x:c r="G23" s="9">
        <x:v>5.6369999999999996E-2</x:v>
      </x:c>
    </x:row>
    <x:row r="24">
      <x:c r="A24" s="5">
        <x:v>2015</x:v>
      </x:c>
      <x:c r="B24" s="15" t="s">
        <x:v>797</x:v>
      </x:c>
      <x:c r="C24" s="15" t="s">
        <x:v>798</x:v>
      </x:c>
      <x:c r="D24" s="15" t="s">
        <x:v>799</x:v>
      </x:c>
      <x:c r="E24" s="6">
        <x:v>25570</x:v>
      </x:c>
      <x:c r="F24" s="6">
        <x:v>578300</x:v>
      </x:c>
      <x:c r="G24" s="9">
        <x:v>4.4209999999999999E-2</x:v>
      </x:c>
    </x:row>
    <x:row r="25">
      <x:c r="A25" s="5">
        <x:v>2015</x:v>
      </x:c>
      <x:c r="B25" s="15" t="s">
        <x:v>643</x:v>
      </x:c>
      <x:c r="C25" s="15" t="s">
        <x:v>30</x:v>
      </x:c>
      <x:c r="D25" s="15" t="s">
        <x:v>644</x:v>
      </x:c>
      <x:c r="E25" s="6">
        <x:v>8530</x:v>
      </x:c>
      <x:c r="F25" s="6">
        <x:v>109340</x:v>
      </x:c>
      <x:c r="G25" s="9">
        <x:v>7.8030000000000002E-2</x:v>
      </x:c>
    </x:row>
    <x:row r="26">
      <x:c r="A26" s="5">
        <x:v>2015</x:v>
      </x:c>
      <x:c r="B26" s="15" t="s">
        <x:v>646</x:v>
      </x:c>
      <x:c r="C26" s="15" t="s">
        <x:v>674</x:v>
      </x:c>
      <x:c r="D26" s="15" t="s">
        <x:v>644</x:v>
      </x:c>
      <x:c r="E26" s="6">
        <x:v>25790</x:v>
      </x:c>
      <x:c r="F26" s="6">
        <x:v>389560</x:v>
      </x:c>
      <x:c r="G26" s="9">
        <x:v>6.6210000000000005E-2</x:v>
      </x:c>
    </x:row>
    <x:row r="27">
      <x:c r="A27" s="5">
        <x:v>2015</x:v>
      </x:c>
      <x:c r="B27" s="15" t="s">
        <x:v>766</x:v>
      </x:c>
      <x:c r="C27" s="15" t="s">
        <x:v>767</x:v>
      </x:c>
      <x:c r="D27" s="15" t="s">
        <x:v>640</x:v>
      </x:c>
      <x:c r="E27" s="6">
        <x:v>27110</x:v>
      </x:c>
      <x:c r="F27" s="6">
        <x:v>516500</x:v>
      </x:c>
      <x:c r="G27" s="9">
        <x:v>5.2489999999999995E-2</x:v>
      </x:c>
    </x:row>
    <x:row r="28">
      <x:c r="A28" s="5">
        <x:v>2015</x:v>
      </x:c>
      <x:c r="B28" s="15" t="s">
        <x:v>764</x:v>
      </x:c>
      <x:c r="C28" s="15" t="s">
        <x:v>765</x:v>
      </x:c>
      <x:c r="D28" s="15" t="s">
        <x:v>649</x:v>
      </x:c>
      <x:c r="E28" s="6">
        <x:v>28030</x:v>
      </x:c>
      <x:c r="F28" s="6">
        <x:v>496780</x:v>
      </x:c>
      <x:c r="G28" s="9">
        <x:v>5.6420000000000005E-2</x:v>
      </x:c>
    </x:row>
    <x:row r="29">
      <x:c r="A29" s="5">
        <x:v>2015</x:v>
      </x:c>
      <x:c r="B29" s="15" t="s">
        <x:v>640</x:v>
      </x:c>
      <x:c r="C29" s="15" t="s">
        <x:v>724</x:v>
      </x:c>
      <x:c r="D29" s="15" t="s">
        <x:v>689</x:v>
      </x:c>
      <x:c r="E29" s="6">
        <x:v>32310</x:v>
      </x:c>
      <x:c r="F29" s="6">
        <x:v>575080</x:v>
      </x:c>
      <x:c r="G29" s="9">
        <x:v>5.6180000000000001E-2</x:v>
      </x:c>
    </x:row>
    <x:row r="30">
      <x:c r="A30" s="5">
        <x:v>2015</x:v>
      </x:c>
      <x:c r="B30" s="15" t="s">
        <x:v>689</x:v>
      </x:c>
      <x:c r="C30" s="15" t="s">
        <x:v>694</x:v>
      </x:c>
      <x:c r="D30" s="15" t="s">
        <x:v>646</x:v>
      </x:c>
      <x:c r="E30" s="6">
        <x:v>24560</x:v>
      </x:c>
      <x:c r="F30" s="6">
        <x:v>414790</x:v>
      </x:c>
      <x:c r="G30" s="9">
        <x:v>5.9210000000000006E-2</x:v>
      </x:c>
    </x:row>
    <x:row r="31">
      <x:c r="A31" s="5">
        <x:v>2015</x:v>
      </x:c>
      <x:c r="B31" s="15" t="s">
        <x:v>811</x:v>
      </x:c>
      <x:c r="C31" s="15" t="s">
        <x:v>812</x:v>
      </x:c>
      <x:c r="D31" s="15" t="s">
        <x:v>799</x:v>
      </x:c>
      <x:c r="E31" s="6">
        <x:v>35270</x:v>
      </x:c>
      <x:c r="F31" s="6">
        <x:v>876690</x:v>
      </x:c>
      <x:c r="G31" s="9">
        <x:v>4.0239999999999998E-2</x:v>
      </x:c>
    </x:row>
    <x:row r="32">
      <x:c r="A32" s="5">
        <x:v>2015</x:v>
      </x:c>
      <x:c r="B32" s="15" t="s">
        <x:v>719</x:v>
      </x:c>
      <x:c r="C32" s="15" t="s">
        <x:v>720</x:v>
      </x:c>
      <x:c r="D32" s="15" t="s">
        <x:v>705</x:v>
      </x:c>
      <x:c r="E32" s="6">
        <x:v>7790</x:v>
      </x:c>
      <x:c r="F32" s="6">
        <x:v>132580</x:v>
      </x:c>
      <x:c r="G32" s="9">
        <x:v>5.8760000000000007E-2</x:v>
      </x:c>
    </x:row>
    <x:row r="33">
      <x:c r="A33" s="5">
        <x:v>2015</x:v>
      </x:c>
      <x:c r="B33" s="15" t="s">
        <x:v>703</x:v>
      </x:c>
      <x:c r="C33" s="15" t="s">
        <x:v>704</x:v>
      </x:c>
      <x:c r="D33" s="15" t="s">
        <x:v>705</x:v>
      </x:c>
      <x:c r="E33" s="6">
        <x:v>8880</x:v>
      </x:c>
      <x:c r="F33" s="6">
        <x:v>145160</x:v>
      </x:c>
      <x:c r="G33" s="9">
        <x:v>6.1189999999999994E-2</x:v>
      </x:c>
    </x:row>
    <x:row r="34">
      <x:c r="A34" s="5">
        <x:v>2015</x:v>
      </x:c>
      <x:c r="B34" s="15" t="s">
        <x:v>725</x:v>
      </x:c>
      <x:c r="C34" s="15" t="s">
        <x:v>726</x:v>
      </x:c>
      <x:c r="D34" s="15" t="s">
        <x:v>671</x:v>
      </x:c>
      <x:c r="E34" s="6">
        <x:v>42490</x:v>
      </x:c>
      <x:c r="F34" s="6">
        <x:v>723230</x:v>
      </x:c>
      <x:c r="G34" s="9">
        <x:v>5.8749999999999997E-2</x:v>
      </x:c>
    </x:row>
    <x:row r="35">
      <x:c r="A35" s="5">
        <x:v>2015</x:v>
      </x:c>
      <x:c r="B35" s="15" t="s">
        <x:v>813</x:v>
      </x:c>
      <x:c r="C35" s="15" t="s">
        <x:v>814</x:v>
      </x:c>
      <x:c r="D35" s="15" t="s">
        <x:v>671</x:v>
      </x:c>
      <x:c r="E35" s="6">
        <x:v>55060</x:v>
      </x:c>
      <x:c r="F35" s="6">
        <x:v>1270260</x:v>
      </x:c>
      <x:c r="G35" s="9">
        <x:v>4.335E-2</x:v>
      </x:c>
    </x:row>
    <x:row r="36">
      <x:c r="A36" s="5">
        <x:v>2015</x:v>
      </x:c>
      <x:c r="B36" s="15" t="s">
        <x:v>647</x:v>
      </x:c>
      <x:c r="C36" s="15" t="s">
        <x:v>721</x:v>
      </x:c>
      <x:c r="D36" s="15" t="s">
        <x:v>671</x:v>
      </x:c>
      <x:c r="E36" s="6">
        <x:v>10440</x:v>
      </x:c>
      <x:c r="F36" s="6">
        <x:v>181910</x:v>
      </x:c>
      <x:c r="G36" s="9">
        <x:v>5.7370000000000004E-2</x:v>
      </x:c>
    </x:row>
    <x:row r="37">
      <x:c r="A37" s="5">
        <x:v>2015</x:v>
      </x:c>
      <x:c r="B37" s="15" t="s">
        <x:v>795</x:v>
      </x:c>
      <x:c r="C37" s="15" t="s">
        <x:v>796</x:v>
      </x:c>
      <x:c r="D37" s="15" t="s">
        <x:v>644</x:v>
      </x:c>
      <x:c r="E37" s="6">
        <x:v>73140</x:v>
      </x:c>
      <x:c r="F37" s="6">
        <x:v>1503190</x:v>
      </x:c>
      <x:c r="G37" s="9">
        <x:v>4.8659999999999995E-2</x:v>
      </x:c>
    </x:row>
    <x:row r="38">
      <x:c r="A38" s="5">
        <x:v>2015</x:v>
      </x:c>
      <x:c r="B38" s="15" t="s">
        <x:v>781</x:v>
      </x:c>
      <x:c r="C38" s="15" t="s">
        <x:v>782</x:v>
      </x:c>
      <x:c r="D38" s="15" t="s">
        <x:v>671</x:v>
      </x:c>
      <x:c r="E38" s="6">
        <x:v>59020</x:v>
      </x:c>
      <x:c r="F38" s="6">
        <x:v>1096830</x:v>
      </x:c>
      <x:c r="G38" s="9">
        <x:v>5.3810000000000004E-2</x:v>
      </x:c>
    </x:row>
    <x:row r="39">
      <x:c r="A39" s="5">
        <x:v>2015</x:v>
      </x:c>
      <x:c r="B39" s="15" t="s">
        <x:v>819</x:v>
      </x:c>
      <x:c r="C39" s="15" t="s">
        <x:v>820</x:v>
      </x:c>
      <x:c r="D39" s="15" t="s">
        <x:v>799</x:v>
      </x:c>
      <x:c r="E39" s="6">
        <x:v>32890</x:v>
      </x:c>
      <x:c r="F39" s="6">
        <x:v>986060</x:v>
      </x:c>
      <x:c r="G39" s="9">
        <x:v>3.3349999999999998E-2</x:v>
      </x:c>
    </x:row>
    <x:row r="40">
      <x:c r="A40" s="5">
        <x:v>2015</x:v>
      </x:c>
      <x:c r="B40" s="15" t="s">
        <x:v>645</x:v>
      </x:c>
      <x:c r="C40" s="15" t="s">
        <x:v>34</x:v>
      </x:c>
      <x:c r="D40" s="15" t="s">
        <x:v>646</x:v>
      </x:c>
      <x:c r="E40" s="6">
        <x:v>15590</x:v>
      </x:c>
      <x:c r="F40" s="6">
        <x:v>211030</x:v>
      </x:c>
      <x:c r="G40" s="9">
        <x:v>7.3880000000000001E-2</x:v>
      </x:c>
    </x:row>
    <x:row r="41">
      <x:c r="A41" s="5">
        <x:v>2015</x:v>
      </x:c>
      <x:c r="B41" s="15" t="s">
        <x:v>778</x:v>
      </x:c>
      <x:c r="C41" s="15" t="s">
        <x:v>779</x:v>
      </x:c>
      <x:c r="D41" s="15" t="s">
        <x:v>646</x:v>
      </x:c>
      <x:c r="E41" s="6">
        <x:v>30690</x:v>
      </x:c>
      <x:c r="F41" s="6">
        <x:v>584310</x:v>
      </x:c>
      <x:c r="G41" s="9">
        <x:v>5.2519999999999997E-2</x:v>
      </x:c>
    </x:row>
    <x:row r="42">
      <x:c r="A42" s="5">
        <x:v>2015</x:v>
      </x:c>
      <x:c r="B42" s="15" t="s">
        <x:v>787</x:v>
      </x:c>
      <x:c r="C42" s="15" t="s">
        <x:v>788</x:v>
      </x:c>
      <x:c r="D42" s="15" t="s">
        <x:v>649</x:v>
      </x:c>
      <x:c r="E42" s="6">
        <x:v>62290</x:v>
      </x:c>
      <x:c r="F42" s="6">
        <x:v>1220060</x:v>
      </x:c>
      <x:c r="G42" s="9">
        <x:v>5.1060000000000001E-2</x:v>
      </x:c>
    </x:row>
    <x:row r="43">
      <x:c r="A43" s="5">
        <x:v>2015</x:v>
      </x:c>
      <x:c r="B43" s="15" t="s">
        <x:v>729</x:v>
      </x:c>
      <x:c r="C43" s="15" t="s">
        <x:v>730</x:v>
      </x:c>
      <x:c r="D43" s="15" t="s">
        <x:v>640</x:v>
      </x:c>
      <x:c r="E43" s="6">
        <x:v>13950</x:v>
      </x:c>
      <x:c r="F43" s="6">
        <x:v>248880</x:v>
      </x:c>
      <x:c r="G43" s="9">
        <x:v>5.6070000000000002E-2</x:v>
      </x:c>
    </x:row>
    <x:row r="44">
      <x:c r="A44" s="5">
        <x:v>2015</x:v>
      </x:c>
      <x:c r="B44" s="15" t="s">
        <x:v>738</x:v>
      </x:c>
      <x:c r="C44" s="15" t="s">
        <x:v>739</x:v>
      </x:c>
      <x:c r="D44" s="15" t="s">
        <x:v>644</x:v>
      </x:c>
      <x:c r="E44" s="6">
        <x:v>23010</x:v>
      </x:c>
      <x:c r="F44" s="6">
        <x:v>395650</x:v>
      </x:c>
      <x:c r="G44" s="9">
        <x:v>5.8169999999999999E-2</x:v>
      </x:c>
    </x:row>
    <x:row r="45">
      <x:c r="A45" s="5">
        <x:v>2015</x:v>
      </x:c>
      <x:c r="B45" s="15" t="s">
        <x:v>666</x:v>
      </x:c>
      <x:c r="C45" s="15" t="s">
        <x:v>667</x:v>
      </x:c>
      <x:c r="D45" s="15" t="s">
        <x:v>646</x:v>
      </x:c>
      <x:c r="E45" s="6">
        <x:v>21170</x:v>
      </x:c>
      <x:c r="F45" s="6">
        <x:v>320310</x:v>
      </x:c>
      <x:c r="G45" s="9">
        <x:v>6.6089999999999996E-2</x:v>
      </x:c>
    </x:row>
    <x:row r="46">
      <x:c r="A46" s="5">
        <x:v>2015</x:v>
      </x:c>
      <x:c r="B46" s="15" t="s">
        <x:v>722</x:v>
      </x:c>
      <x:c r="C46" s="15" t="s">
        <x:v>723</x:v>
      </x:c>
      <x:c r="D46" s="15" t="s">
        <x:v>649</x:v>
      </x:c>
      <x:c r="E46" s="6">
        <x:v>44370</x:v>
      </x:c>
      <x:c r="F46" s="6">
        <x:v>736490</x:v>
      </x:c>
      <x:c r="G46" s="9">
        <x:v>6.0240000000000002E-2</x:v>
      </x:c>
    </x:row>
    <x:row r="47">
      <x:c r="A47" s="5">
        <x:v>2015</x:v>
      </x:c>
      <x:c r="B47" s="15" t="s">
        <x:v>736</x:v>
      </x:c>
      <x:c r="C47" s="15" t="s">
        <x:v>737</x:v>
      </x:c>
      <x:c r="D47" s="15" t="s">
        <x:v>649</x:v>
      </x:c>
      <x:c r="E47" s="6">
        <x:v>12620</x:v>
      </x:c>
      <x:c r="F47" s="6">
        <x:v>216090</x:v>
      </x:c>
      <x:c r="G47" s="9">
        <x:v>5.8400000000000001E-2</x:v>
      </x:c>
    </x:row>
    <x:row r="48">
      <x:c r="A48" s="5">
        <x:v>2015</x:v>
      </x:c>
      <x:c r="B48" s="15" t="s">
        <x:v>651</x:v>
      </x:c>
      <x:c r="C48" s="15" t="s">
        <x:v>816</x:v>
      </x:c>
      <x:c r="D48" s="15" t="s">
        <x:v>652</x:v>
      </x:c>
      <x:c r="E48" s="6">
        <x:v>51730</x:v>
      </x:c>
      <x:c r="F48" s="6">
        <x:v>1325380</x:v>
      </x:c>
      <x:c r="G48" s="9">
        <x:v>3.9030000000000002E-2</x:v>
      </x:c>
    </x:row>
    <x:row r="49">
      <x:c r="A49" s="5">
        <x:v>2015</x:v>
      </x:c>
      <x:c r="B49" s="15" t="s">
        <x:v>697</x:v>
      </x:c>
      <x:c r="C49" s="15" t="s">
        <x:v>698</x:v>
      </x:c>
      <x:c r="D49" s="15" t="s">
        <x:v>646</x:v>
      </x:c>
      <x:c r="E49" s="6">
        <x:v>39520</x:v>
      </x:c>
      <x:c r="F49" s="6">
        <x:v>647300</x:v>
      </x:c>
      <x:c r="G49" s="9">
        <x:v>6.1050000000000007E-2</x:v>
      </x:c>
    </x:row>
    <x:row r="50">
      <x:c r="A50" s="5">
        <x:v>2015</x:v>
      </x:c>
      <x:c r="B50" s="15" t="s">
        <x:v>706</x:v>
      </x:c>
      <x:c r="C50" s="15" t="s">
        <x:v>707</x:v>
      </x:c>
      <x:c r="D50" s="15" t="s">
        <x:v>671</x:v>
      </x:c>
      <x:c r="E50" s="6">
        <x:v>10350</x:v>
      </x:c>
      <x:c r="F50" s="6">
        <x:v>163000</x:v>
      </x:c>
      <x:c r="G50" s="9">
        <x:v>6.3490000000000005E-2</x:v>
      </x:c>
    </x:row>
    <x:row r="51">
      <x:c r="A51" s="5">
        <x:v>2015</x:v>
      </x:c>
      <x:c r="B51" s="15" t="s">
        <x:v>710</x:v>
      </x:c>
      <x:c r="C51" s="15" t="s">
        <x:v>711</x:v>
      </x:c>
      <x:c r="D51" s="15" t="s">
        <x:v>644</x:v>
      </x:c>
      <x:c r="E51" s="6">
        <x:v>19260</x:v>
      </x:c>
      <x:c r="F51" s="6">
        <x:v>317830</x:v>
      </x:c>
      <x:c r="G51" s="9">
        <x:v>6.0590000000000005E-2</x:v>
      </x:c>
    </x:row>
    <x:row r="52">
      <x:c r="A52" s="5">
        <x:v>2015</x:v>
      </x:c>
      <x:c r="B52" s="15" t="s">
        <x:v>776</x:v>
      </x:c>
      <x:c r="C52" s="15" t="s">
        <x:v>777</x:v>
      </x:c>
      <x:c r="D52" s="15" t="s">
        <x:v>671</x:v>
      </x:c>
      <x:c r="E52" s="6">
        <x:v>3860</x:v>
      </x:c>
      <x:c r="F52" s="6">
        <x:v>69680</x:v>
      </x:c>
      <x:c r="G52" s="9">
        <x:v>5.5380000000000006E-2</x:v>
      </x:c>
    </x:row>
    <x:row r="53">
      <x:c r="A53" s="5">
        <x:v>2015</x:v>
      </x:c>
      <x:c r="B53" s="15" t="s">
        <x:v>793</x:v>
      </x:c>
      <x:c r="C53" s="15" t="s">
        <x:v>794</x:v>
      </x:c>
      <x:c r="D53" s="15" t="s">
        <x:v>652</x:v>
      </x:c>
      <x:c r="E53" s="6">
        <x:v>36170</x:v>
      </x:c>
      <x:c r="F53" s="6">
        <x:v>778520</x:v>
      </x:c>
      <x:c r="G53" s="9">
        <x:v>4.6460000000000001E-2</x:v>
      </x:c>
    </x:row>
    <x:row r="54">
      <x:c r="A54" s="5">
        <x:v>2015</x:v>
      </x:c>
      <x:c r="B54" s="15" t="s">
        <x:v>770</x:v>
      </x:c>
      <x:c r="C54" s="15" t="s">
        <x:v>771</x:v>
      </x:c>
      <x:c r="D54" s="15" t="s">
        <x:v>689</x:v>
      </x:c>
      <x:c r="E54" s="6">
        <x:v>24110</x:v>
      </x:c>
      <x:c r="F54" s="6">
        <x:v>476820</x:v>
      </x:c>
      <x:c r="G54" s="9">
        <x:v>5.0560000000000001E-2</x:v>
      </x:c>
    </x:row>
    <x:row r="55">
      <x:c r="A55" s="5">
        <x:v>2015</x:v>
      </x:c>
      <x:c r="B55" s="15" t="s">
        <x:v>679</x:v>
      </x:c>
      <x:c r="C55" s="15" t="s">
        <x:v>680</x:v>
      </x:c>
      <x:c r="D55" s="15" t="s">
        <x:v>651</x:v>
      </x:c>
      <x:c r="E55" s="6">
        <x:v>33290</x:v>
      </x:c>
      <x:c r="F55" s="6">
        <x:v>534990</x:v>
      </x:c>
      <x:c r="G55" s="9">
        <x:v>6.2230000000000001E-2</x:v>
      </x:c>
    </x:row>
    <x:row r="56">
      <x:c r="A56" s="5">
        <x:v>2015</x:v>
      </x:c>
      <x:c r="B56" s="15" t="s">
        <x:v>652</x:v>
      </x:c>
      <x:c r="C56" s="15" t="s">
        <x:v>182</x:v>
      </x:c>
      <x:c r="D56" s="15" t="s">
        <x:v>651</x:v>
      </x:c>
      <x:c r="E56" s="6">
        <x:v>11710</x:v>
      </x:c>
      <x:c r="F56" s="6">
        <x:v>170260</x:v>
      </x:c>
      <x:c r="G56" s="9">
        <x:v>6.8760000000000002E-2</x:v>
      </x:c>
    </x:row>
    <x:row r="57">
      <x:c r="A57" s="5">
        <x:v>2015</x:v>
      </x:c>
      <x:c r="B57" s="15" t="s">
        <x:v>799</x:v>
      </x:c>
      <x:c r="C57" s="15" t="s">
        <x:v>804</x:v>
      </x:c>
      <x:c r="D57" s="15" t="s">
        <x:v>652</x:v>
      </x:c>
      <x:c r="E57" s="6">
        <x:v>12320</x:v>
      </x:c>
      <x:c r="F57" s="6">
        <x:v>294990</x:v>
      </x:c>
      <x:c r="G57" s="9">
        <x:v>4.1749999999999995E-2</x:v>
      </x:c>
    </x:row>
    <x:row r="58">
      <x:c r="A58" s="5">
        <x:v>2015</x:v>
      </x:c>
      <x:c r="B58" s="15" t="s">
        <x:v>685</x:v>
      </x:c>
      <x:c r="C58" s="15" t="s">
        <x:v>686</x:v>
      </x:c>
      <x:c r="D58" s="15" t="s">
        <x:v>651</x:v>
      </x:c>
      <x:c r="E58" s="6">
        <x:v>41650</x:v>
      </x:c>
      <x:c r="F58" s="6">
        <x:v>651500</x:v>
      </x:c>
      <x:c r="G58" s="9">
        <x:v>6.3920000000000005E-2</x:v>
      </x:c>
    </x:row>
    <x:row r="59">
      <x:c r="A59" s="5">
        <x:v>2015</x:v>
      </x:c>
      <x:c r="B59" s="15" t="s">
        <x:v>656</x:v>
      </x:c>
      <x:c r="C59" s="15" t="s">
        <x:v>657</x:v>
      </x:c>
      <x:c r="D59" s="15" t="s">
        <x:v>651</x:v>
      </x:c>
      <x:c r="E59" s="6">
        <x:v>11440</x:v>
      </x:c>
      <x:c r="F59" s="6">
        <x:v>174150</x:v>
      </x:c>
      <x:c r="G59" s="9">
        <x:v>6.5700000000000008E-2</x:v>
      </x:c>
    </x:row>
    <x:row r="60">
      <x:c r="A60" s="5">
        <x:v>2015</x:v>
      </x:c>
      <x:c r="B60" s="15" t="s">
        <x:v>802</x:v>
      </x:c>
      <x:c r="C60" s="15" t="s">
        <x:v>803</x:v>
      </x:c>
      <x:c r="D60" s="15" t="s">
        <x:v>799</x:v>
      </x:c>
      <x:c r="E60" s="6">
        <x:v>31960</x:v>
      </x:c>
      <x:c r="F60" s="6">
        <x:v>720940</x:v>
      </x:c>
      <x:c r="G60" s="9">
        <x:v>4.4330000000000001E-2</x:v>
      </x:c>
    </x:row>
    <x:row r="61">
      <x:c r="A61" s="5">
        <x:v>2015</x:v>
      </x:c>
      <x:c r="B61" s="15" t="s">
        <x:v>650</x:v>
      </x:c>
      <x:c r="C61" s="15" t="s">
        <x:v>38</x:v>
      </x:c>
      <x:c r="D61" s="15" t="s">
        <x:v>651</x:v>
      </x:c>
      <x:c r="E61" s="6">
        <x:v>64750</x:v>
      </x:c>
      <x:c r="F61" s="6">
        <x:v>890220</x:v>
      </x:c>
      <x:c r="G61" s="9">
        <x:v>7.2730000000000003E-2</x:v>
      </x:c>
    </x:row>
    <x:row r="62">
      <x:c r="A62" s="5">
        <x:v>2015</x:v>
      </x:c>
      <x:c r="B62" s="15" t="s">
        <x:v>639</x:v>
      </x:c>
      <x:c r="C62" s="15" t="s">
        <x:v>19</x:v>
      </x:c>
      <x:c r="D62" s="15" t="s">
        <x:v>640</x:v>
      </x:c>
      <x:c r="E62" s="6">
        <x:v>16490</x:v>
      </x:c>
      <x:c r="F62" s="6">
        <x:v>197700</x:v>
      </x:c>
      <x:c r="G62" s="9">
        <x:v>8.3420000000000008E-2</x:v>
      </x:c>
    </x:row>
    <x:row r="63">
      <x:c r="A63" s="5">
        <x:v>2015</x:v>
      </x:c>
      <x:c r="B63" s="15" t="s">
        <x:v>690</x:v>
      </x:c>
      <x:c r="C63" s="15" t="s">
        <x:v>691</x:v>
      </x:c>
      <x:c r="D63" s="15" t="s">
        <x:v>647</x:v>
      </x:c>
      <x:c r="E63" s="6">
        <x:v>154800</x:v>
      </x:c>
      <x:c r="F63" s="6">
        <x:v>2481750</x:v>
      </x:c>
      <x:c r="G63" s="9">
        <x:v>6.2380000000000005E-2</x:v>
      </x:c>
    </x:row>
    <x:row r="64">
      <x:c r="A64" s="5">
        <x:v>2015</x:v>
      </x:c>
      <x:c r="B64" s="15" t="s">
        <x:v>708</x:v>
      </x:c>
      <x:c r="C64" s="15" t="s">
        <x:v>709</x:v>
      </x:c>
      <x:c r="D64" s="15" t="s">
        <x:v>647</x:v>
      </x:c>
      <x:c r="E64" s="6">
        <x:v>45580</x:v>
      </x:c>
      <x:c r="F64" s="6">
        <x:v>791100</x:v>
      </x:c>
      <x:c r="G64" s="9">
        <x:v>5.7619999999999998E-2</x:v>
      </x:c>
    </x:row>
    <x:row r="65">
      <x:c r="A65" s="5">
        <x:v>2015</x:v>
      </x:c>
      <x:c r="B65" s="15" t="s">
        <x:v>687</x:v>
      </x:c>
      <x:c r="C65" s="15" t="s">
        <x:v>688</x:v>
      </x:c>
      <x:c r="D65" s="15" t="s">
        <x:v>689</x:v>
      </x:c>
      <x:c r="E65" s="6">
        <x:v>16360</x:v>
      </x:c>
      <x:c r="F65" s="6">
        <x:v>269940</x:v>
      </x:c>
      <x:c r="G65" s="9">
        <x:v>6.0590000000000005E-2</x:v>
      </x:c>
    </x:row>
    <x:row r="66">
      <x:c r="A66" s="5">
        <x:v>2015</x:v>
      </x:c>
      <x:c r="B66" s="15" t="s">
        <x:v>658</x:v>
      </x:c>
      <x:c r="C66" s="15" t="s">
        <x:v>659</x:v>
      </x:c>
      <x:c r="D66" s="15" t="s">
        <x:v>647</x:v>
      </x:c>
      <x:c r="E66" s="6">
        <x:v>95400</x:v>
      </x:c>
      <x:c r="F66" s="6">
        <x:v>1428090</x:v>
      </x:c>
      <x:c r="G66" s="9">
        <x:v>6.6799999999999998E-2</x:v>
      </x:c>
    </x:row>
    <x:row r="67">
      <x:c r="A67" s="5">
        <x:v>2015</x:v>
      </x:c>
      <x:c r="B67" s="15" t="s">
        <x:v>760</x:v>
      </x:c>
      <x:c r="C67" s="15" t="s">
        <x:v>761</x:v>
      </x:c>
      <x:c r="D67" s="15" t="s">
        <x:v>649</x:v>
      </x:c>
      <x:c r="E67" s="6">
        <x:v>34330</x:v>
      </x:c>
      <x:c r="F67" s="6">
        <x:v>618520</x:v>
      </x:c>
      <x:c r="G67" s="9">
        <x:v>5.5500000000000001E-2</x:v>
      </x:c>
    </x:row>
    <x:row r="68">
      <x:c r="A68" s="5">
        <x:v>2015</x:v>
      </x:c>
      <x:c r="B68" s="15" t="s">
        <x:v>789</x:v>
      </x:c>
      <x:c r="C68" s="15" t="s">
        <x:v>790</x:v>
      </x:c>
      <x:c r="D68" s="15" t="s">
        <x:v>644</x:v>
      </x:c>
      <x:c r="E68" s="6">
        <x:v>32690</x:v>
      </x:c>
      <x:c r="F68" s="6">
        <x:v>640380</x:v>
      </x:c>
      <x:c r="G68" s="9">
        <x:v>5.1040000000000002E-2</x:v>
      </x:c>
    </x:row>
    <x:row r="69">
      <x:c r="A69" s="5">
        <x:v>2015</x:v>
      </x:c>
      <x:c r="B69" s="15" t="s">
        <x:v>734</x:v>
      </x:c>
      <x:c r="C69" s="15" t="s">
        <x:v>735</x:v>
      </x:c>
      <x:c r="D69" s="15" t="s">
        <x:v>671</x:v>
      </x:c>
      <x:c r="E69" s="6">
        <x:v>12970</x:v>
      </x:c>
      <x:c r="F69" s="6">
        <x:v>220540</x:v>
      </x:c>
      <x:c r="G69" s="9">
        <x:v>5.8819999999999997E-2</x:v>
      </x:c>
    </x:row>
    <x:row r="70">
      <x:c r="A70" s="5">
        <x:v>2015</x:v>
      </x:c>
      <x:c r="B70" s="15" t="s">
        <x:v>695</x:v>
      </x:c>
      <x:c r="C70" s="15" t="s">
        <x:v>696</x:v>
      </x:c>
      <x:c r="D70" s="15" t="s">
        <x:v>671</x:v>
      </x:c>
      <x:c r="E70" s="6">
        <x:v>28710</x:v>
      </x:c>
      <x:c r="F70" s="6">
        <x:v>457400</x:v>
      </x:c>
      <x:c r="G70" s="9">
        <x:v>6.2770000000000006E-2</x:v>
      </x:c>
    </x:row>
    <x:row r="71">
      <x:c r="A71" s="5">
        <x:v>2015</x:v>
      </x:c>
      <x:c r="B71" s="15" t="s">
        <x:v>699</x:v>
      </x:c>
      <x:c r="C71" s="15" t="s">
        <x:v>700</x:v>
      </x:c>
      <x:c r="D71" s="15" t="s">
        <x:v>651</x:v>
      </x:c>
      <x:c r="E71" s="6">
        <x:v>67930</x:v>
      </x:c>
      <x:c r="F71" s="6">
        <x:v>1056920</x:v>
      </x:c>
      <x:c r="G71" s="9">
        <x:v>6.4269999999999994E-2</x:v>
      </x:c>
    </x:row>
    <x:row r="72">
      <x:c r="A72" s="5">
        <x:v>2015</x:v>
      </x:c>
      <x:c r="B72" s="15" t="s">
        <x:v>677</x:v>
      </x:c>
      <x:c r="C72" s="15" t="s">
        <x:v>678</x:v>
      </x:c>
      <x:c r="D72" s="15" t="s">
        <x:v>651</x:v>
      </x:c>
      <x:c r="E72" s="6">
        <x:v>46620</x:v>
      </x:c>
      <x:c r="F72" s="6">
        <x:v>717920</x:v>
      </x:c>
      <x:c r="G72" s="9">
        <x:v>6.4930000000000002E-2</x:v>
      </x:c>
    </x:row>
    <x:row r="73">
      <x:c r="A73" s="5">
        <x:v>2015</x:v>
      </x:c>
      <x:c r="B73" s="15" t="s">
        <x:v>791</x:v>
      </x:c>
      <x:c r="C73" s="15" t="s">
        <x:v>792</x:v>
      </x:c>
      <x:c r="D73" s="15" t="s">
        <x:v>649</x:v>
      </x:c>
      <x:c r="E73" s="6">
        <x:v>86250</x:v>
      </x:c>
      <x:c r="F73" s="6">
        <x:v>1759830</x:v>
      </x:c>
      <x:c r="G73" s="9">
        <x:v>4.9009999999999998E-2</x:v>
      </x:c>
    </x:row>
    <x:row r="74">
      <x:c r="A74" s="5">
        <x:v>2015</x:v>
      </x:c>
      <x:c r="B74" s="15" t="s">
        <x:v>664</x:v>
      </x:c>
      <x:c r="C74" s="15" t="s">
        <x:v>665</x:v>
      </x:c>
      <x:c r="D74" s="15" t="s">
        <x:v>640</x:v>
      </x:c>
      <x:c r="E74" s="6">
        <x:v>14410</x:v>
      </x:c>
      <x:c r="F74" s="6">
        <x:v>228900</x:v>
      </x:c>
      <x:c r="G74" s="9">
        <x:v>6.2969999999999998E-2</x:v>
      </x:c>
    </x:row>
    <x:row r="75">
      <x:c r="A75" s="5">
        <x:v>2015</x:v>
      </x:c>
      <x:c r="B75" s="15" t="s">
        <x:v>660</x:v>
      </x:c>
      <x:c r="C75" s="15" t="s">
        <x:v>661</x:v>
      </x:c>
      <x:c r="D75" s="15" t="s">
        <x:v>640</x:v>
      </x:c>
      <x:c r="E75" s="6">
        <x:v>36090</x:v>
      </x:c>
      <x:c r="F75" s="6">
        <x:v>528290</x:v>
      </x:c>
      <x:c r="G75" s="9">
        <x:v>6.8319999999999992E-2</x:v>
      </x:c>
    </x:row>
    <x:row r="76">
      <x:c r="A76" s="5">
        <x:v>2015</x:v>
      </x:c>
      <x:c r="B76" s="15" t="s">
        <x:v>732</x:v>
      </x:c>
      <x:c r="C76" s="15" t="s">
        <x:v>733</x:v>
      </x:c>
      <x:c r="D76" s="15" t="s">
        <x:v>652</x:v>
      </x:c>
      <x:c r="E76" s="6">
        <x:v>30440</x:v>
      </x:c>
      <x:c r="F76" s="6">
        <x:v>547640</x:v>
      </x:c>
      <x:c r="G76" s="9">
        <x:v>5.5579999999999997E-2</x:v>
      </x:c>
    </x:row>
    <x:row r="77">
      <x:c r="A77" s="5">
        <x:v>2015</x:v>
      </x:c>
      <x:c r="B77" s="15" t="s">
        <x:v>807</x:v>
      </x:c>
      <x:c r="C77" s="15" t="s">
        <x:v>808</x:v>
      </x:c>
      <x:c r="D77" s="15" t="s">
        <x:v>649</x:v>
      </x:c>
      <x:c r="E77" s="6">
        <x:v>18700</x:v>
      </x:c>
      <x:c r="F77" s="6">
        <x:v>412520</x:v>
      </x:c>
      <x:c r="G77" s="9">
        <x:v>4.5330000000000002E-2</x:v>
      </x:c>
    </x:row>
    <x:row r="78">
      <x:c r="A78" s="5">
        <x:v>2015</x:v>
      </x:c>
      <x:c r="B78" s="15" t="s">
        <x:v>817</x:v>
      </x:c>
      <x:c r="C78" s="15" t="s">
        <x:v>818</x:v>
      </x:c>
      <x:c r="D78" s="15" t="s">
        <x:v>649</x:v>
      </x:c>
      <x:c r="E78" s="6">
        <x:v>30390</x:v>
      </x:c>
      <x:c r="F78" s="6">
        <x:v>729610</x:v>
      </x:c>
      <x:c r="G78" s="9">
        <x:v>4.165E-2</x:v>
      </x:c>
    </x:row>
    <x:row r="79">
      <x:c r="A79" s="5">
        <x:v>2015</x:v>
      </x:c>
      <x:c r="B79" s="15" t="s">
        <x:v>644</x:v>
      </x:c>
      <x:c r="C79" s="15" t="s">
        <x:v>815</x:v>
      </x:c>
      <x:c r="D79" s="15" t="s">
        <x:v>670</x:v>
      </x:c>
      <x:c r="E79" s="6">
        <x:v>88240</x:v>
      </x:c>
      <x:c r="F79" s="6">
        <x:v>2064520</x:v>
      </x:c>
      <x:c r="G79" s="9">
        <x:v>4.274E-2</x:v>
      </x:c>
    </x:row>
    <x:row r="80">
      <x:c r="A80" s="5">
        <x:v>2015</x:v>
      </x:c>
      <x:c r="B80" s="15" t="s">
        <x:v>671</x:v>
      </x:c>
      <x:c r="C80" s="15" t="s">
        <x:v>714</x:v>
      </x:c>
      <x:c r="D80" s="15" t="s">
        <x:v>689</x:v>
      </x:c>
      <x:c r="E80" s="6">
        <x:v>71550</x:v>
      </x:c>
      <x:c r="F80" s="6">
        <x:v>1209880</x:v>
      </x:c>
      <x:c r="G80" s="9">
        <x:v>5.9139999999999998E-2</x:v>
      </x:c>
    </x:row>
    <x:row r="81">
      <x:c r="A81" s="5">
        <x:v>2015</x:v>
      </x:c>
      <x:c r="B81" s="15" t="s">
        <x:v>762</x:v>
      </x:c>
      <x:c r="C81" s="15" t="s">
        <x:v>763</x:v>
      </x:c>
      <x:c r="D81" s="15" t="s">
        <x:v>670</x:v>
      </x:c>
      <x:c r="E81" s="6">
        <x:v>70180</x:v>
      </x:c>
      <x:c r="F81" s="6">
        <x:v>1337760</x:v>
      </x:c>
      <x:c r="G81" s="9">
        <x:v>5.2460000000000007E-2</x:v>
      </x:c>
    </x:row>
    <x:row r="82">
      <x:c r="A82" s="5">
        <x:v>2015</x:v>
      </x:c>
      <x:c r="B82" s="15" t="s">
        <x:v>805</x:v>
      </x:c>
      <x:c r="C82" s="15" t="s">
        <x:v>806</x:v>
      </x:c>
      <x:c r="D82" s="15" t="s">
        <x:v>670</x:v>
      </x:c>
      <x:c r="E82" s="6">
        <x:v>62320</x:v>
      </x:c>
      <x:c r="F82" s="6">
        <x:v>1392000</x:v>
      </x:c>
      <x:c r="G82" s="9">
        <x:v>4.4770000000000004E-2</x:v>
      </x:c>
    </x:row>
    <x:row r="83">
      <x:c r="A83" s="5">
        <x:v>2015</x:v>
      </x:c>
      <x:c r="B83" s="15" t="s">
        <x:v>715</x:v>
      </x:c>
      <x:c r="C83" s="15" t="s">
        <x:v>716</x:v>
      </x:c>
      <x:c r="D83" s="15" t="s">
        <x:v>644</x:v>
      </x:c>
      <x:c r="E83" s="6">
        <x:v>20430</x:v>
      </x:c>
      <x:c r="F83" s="6">
        <x:v>359140</x:v>
      </x:c>
      <x:c r="G83" s="9">
        <x:v>5.6890000000000003E-2</x:v>
      </x:c>
    </x:row>
    <x:row r="84">
      <x:c r="A84" s="5">
        <x:v>2015</x:v>
      </x:c>
      <x:c r="B84" s="15" t="s">
        <x:v>662</x:v>
      </x:c>
      <x:c r="C84" s="15" t="s">
        <x:v>663</x:v>
      </x:c>
      <x:c r="D84" s="15" t="s">
        <x:v>647</x:v>
      </x:c>
      <x:c r="E84" s="6">
        <x:v>35410</x:v>
      </x:c>
      <x:c r="F84" s="6">
        <x:v>544630</x:v>
      </x:c>
      <x:c r="G84" s="9">
        <x:v>6.5019999999999994E-2</x:v>
      </x:c>
    </x:row>
    <x:row r="85">
      <x:c r="A85" s="5">
        <x:v>2015</x:v>
      </x:c>
      <x:c r="B85" s="15" t="s">
        <x:v>752</x:v>
      </x:c>
      <x:c r="C85" s="15" t="s">
        <x:v>753</x:v>
      </x:c>
      <x:c r="D85" s="15" t="s">
        <x:v>671</x:v>
      </x:c>
      <x:c r="E85" s="6">
        <x:v>20880</x:v>
      </x:c>
      <x:c r="F85" s="6">
        <x:v>375400</x:v>
      </x:c>
      <x:c r="G85" s="9">
        <x:v>5.5629999999999999E-2</x:v>
      </x:c>
    </x:row>
    <x:row r="86">
      <x:c r="A86" s="5">
        <x:v>2015</x:v>
      </x:c>
      <x:c r="B86" s="15" t="s">
        <x:v>756</x:v>
      </x:c>
      <x:c r="C86" s="15" t="s">
        <x:v>757</x:v>
      </x:c>
      <x:c r="D86" s="15" t="s">
        <x:v>671</x:v>
      </x:c>
      <x:c r="E86" s="6">
        <x:v>13700</x:v>
      </x:c>
      <x:c r="F86" s="6">
        <x:v>249720</x:v>
      </x:c>
      <x:c r="G86" s="9">
        <x:v>5.4870000000000002E-2</x:v>
      </x:c>
    </x:row>
    <x:row r="87">
      <x:c r="A87" s="5">
        <x:v>2015</x:v>
      </x:c>
      <x:c r="B87" s="15" t="s">
        <x:v>758</x:v>
      </x:c>
      <x:c r="C87" s="15" t="s">
        <x:v>759</x:v>
      </x:c>
      <x:c r="D87" s="15" t="s">
        <x:v>672</x:v>
      </x:c>
      <x:c r="E87" s="6">
        <x:v>61100</x:v>
      </x:c>
      <x:c r="F87" s="6">
        <x:v>1052230</x:v>
      </x:c>
      <x:c r="G87" s="9">
        <x:v>5.806E-2</x:v>
      </x:c>
    </x:row>
    <x:row r="88">
      <x:c r="A88" s="5">
        <x:v>2015</x:v>
      </x:c>
      <x:c r="B88" s="15" t="s">
        <x:v>649</x:v>
      </x:c>
      <x:c r="C88" s="15" t="s">
        <x:v>731</x:v>
      </x:c>
      <x:c r="D88" s="15" t="s">
        <x:v>672</x:v>
      </x:c>
      <x:c r="E88" s="6">
        <x:v>32800</x:v>
      </x:c>
      <x:c r="F88" s="6">
        <x:v>553420</x:v>
      </x:c>
      <x:c r="G88" s="9">
        <x:v>5.926E-2</x:v>
      </x:c>
    </x:row>
    <x:row r="89">
      <x:c r="A89" s="5">
        <x:v>2015</x:v>
      </x:c>
      <x:c r="B89" s="15" t="s">
        <x:v>754</x:v>
      </x:c>
      <x:c r="C89" s="15" t="s">
        <x:v>755</x:v>
      </x:c>
      <x:c r="D89" s="15" t="s">
        <x:v>652</x:v>
      </x:c>
      <x:c r="E89" s="6">
        <x:v>33840</x:v>
      </x:c>
      <x:c r="F89" s="6">
        <x:v>651330</x:v>
      </x:c>
      <x:c r="G89" s="9">
        <x:v>5.1959999999999999E-2</x:v>
      </x:c>
    </x:row>
    <x:row r="90">
      <x:c r="A90" s="5">
        <x:v>2015</x:v>
      </x:c>
      <x:c r="B90" s="15" t="s">
        <x:v>750</x:v>
      </x:c>
      <x:c r="C90" s="15" t="s">
        <x:v>751</x:v>
      </x:c>
      <x:c r="D90" s="15" t="s">
        <x:v>644</x:v>
      </x:c>
      <x:c r="E90" s="6">
        <x:v>21360</x:v>
      </x:c>
      <x:c r="F90" s="6">
        <x:v>411170</x:v>
      </x:c>
      <x:c r="G90" s="9">
        <x:v>5.194E-2</x:v>
      </x:c>
    </x:row>
    <x:row r="91">
      <x:c r="A91" s="5">
        <x:v>2015</x:v>
      </x:c>
      <x:c r="B91" s="15" t="s">
        <x:v>683</x:v>
      </x:c>
      <x:c r="C91" s="15" t="s">
        <x:v>684</x:v>
      </x:c>
      <x:c r="D91" s="15" t="s">
        <x:v>644</x:v>
      </x:c>
      <x:c r="E91" s="6">
        <x:v>22140</x:v>
      </x:c>
      <x:c r="F91" s="6">
        <x:v>348650</x:v>
      </x:c>
      <x:c r="G91" s="9">
        <x:v>6.3500000000000001E-2</x:v>
      </x:c>
    </x:row>
    <x:row r="92">
      <x:c r="A92" s="5">
        <x:v>2015</x:v>
      </x:c>
      <x:c r="B92" s="15" t="s">
        <x:v>675</x:v>
      </x:c>
      <x:c r="C92" s="15" t="s">
        <x:v>676</x:v>
      </x:c>
      <x:c r="D92" s="15" t="s">
        <x:v>651</x:v>
      </x:c>
      <x:c r="E92" s="6">
        <x:v>22630</x:v>
      </x:c>
      <x:c r="F92" s="6">
        <x:v>358480</x:v>
      </x:c>
      <x:c r="G92" s="9">
        <x:v>6.3129999999999992E-2</x:v>
      </x:c>
    </x:row>
    <x:row r="93">
      <x:c r="A93" s="5">
        <x:v>2015</x:v>
      </x:c>
      <x:c r="B93" s="15" t="s">
        <x:v>655</x:v>
      </x:c>
      <x:c r="C93" s="15" t="s">
        <x:v>42</x:v>
      </x:c>
      <x:c r="D93" s="15" t="s">
        <x:v>640</x:v>
      </x:c>
      <x:c r="E93" s="6">
        <x:v>23330</x:v>
      </x:c>
      <x:c r="F93" s="6">
        <x:v>325820</x:v>
      </x:c>
      <x:c r="G93" s="9">
        <x:v>7.1609999999999993E-2</x:v>
      </x:c>
    </x:row>
    <x:row r="94">
      <x:c r="A94" s="5">
        <x:v>2015</x:v>
      </x:c>
      <x:c r="B94" s="15" t="s">
        <x:v>712</x:v>
      </x:c>
      <x:c r="C94" s="15" t="s">
        <x:v>713</x:v>
      </x:c>
      <x:c r="D94" s="15" t="s">
        <x:v>640</x:v>
      </x:c>
      <x:c r="E94" s="6">
        <x:v>7610</x:v>
      </x:c>
      <x:c r="F94" s="6">
        <x:v>134790</x:v>
      </x:c>
      <x:c r="G94" s="9">
        <x:v>5.6489999999999999E-2</x:v>
      </x:c>
    </x:row>
    <x:row r="95">
      <x:c r="A95" s="5">
        <x:v>2015</x:v>
      </x:c>
      <x:c r="B95" s="15" t="s">
        <x:v>784</x:v>
      </x:c>
      <x:c r="C95" s="15" t="s">
        <x:v>785</x:v>
      </x:c>
      <x:c r="D95" s="15" t="s">
        <x:v>670</x:v>
      </x:c>
      <x:c r="E95" s="6">
        <x:v>61350</x:v>
      </x:c>
      <x:c r="F95" s="6">
        <x:v>1230200</x:v>
      </x:c>
      <x:c r="G95" s="9">
        <x:v>4.9869999999999998E-2</x:v>
      </x:c>
    </x:row>
    <x:row r="96">
      <x:c r="A96" s="5">
        <x:v>2015</x:v>
      </x:c>
      <x:c r="B96" s="15" t="s">
        <x:v>809</x:v>
      </x:c>
      <x:c r="C96" s="15" t="s">
        <x:v>810</x:v>
      </x:c>
      <x:c r="D96" s="15" t="s">
        <x:v>670</x:v>
      </x:c>
      <x:c r="E96" s="6">
        <x:v>66860</x:v>
      </x:c>
      <x:c r="F96" s="6">
        <x:v>1526660</x:v>
      </x:c>
      <x:c r="G96" s="9">
        <x:v>4.3799999999999999E-2</x:v>
      </x:c>
    </x:row>
    <x:row r="97">
      <x:c r="A97" s="5">
        <x:v>2015</x:v>
      </x:c>
      <x:c r="B97" s="15" t="s">
        <x:v>672</x:v>
      </x:c>
      <x:c r="C97" s="15" t="s">
        <x:v>673</x:v>
      </x:c>
      <x:c r="D97" s="15" t="s">
        <x:v>670</x:v>
      </x:c>
      <x:c r="E97" s="6">
        <x:v>97350</x:v>
      </x:c>
      <x:c r="F97" s="6">
        <x:v>1495540</x:v>
      </x:c>
      <x:c r="G97" s="9">
        <x:v>6.5090000000000009E-2</x:v>
      </x:c>
    </x:row>
    <x:row r="98">
      <x:c r="A98" s="5">
        <x:v>2015</x:v>
      </x:c>
      <x:c r="B98" s="15" t="s">
        <x:v>705</x:v>
      </x:c>
      <x:c r="C98" s="15" t="s">
        <x:v>780</x:v>
      </x:c>
      <x:c r="D98" s="15" t="s">
        <x:v>670</x:v>
      </x:c>
      <x:c r="E98" s="6">
        <x:v>67440</x:v>
      </x:c>
      <x:c r="F98" s="6">
        <x:v>1303020</x:v>
      </x:c>
      <x:c r="G98" s="9">
        <x:v>5.176E-2</x:v>
      </x:c>
    </x:row>
    <x:row r="99">
      <x:c r="A99" s="5">
        <x:v>2015</x:v>
      </x:c>
      <x:c r="B99" s="15" t="s">
        <x:v>740</x:v>
      </x:c>
      <x:c r="C99" s="15" t="s">
        <x:v>741</x:v>
      </x:c>
      <x:c r="D99" s="15" t="s">
        <x:v>670</x:v>
      </x:c>
      <x:c r="E99" s="6">
        <x:v>66350</x:v>
      </x:c>
      <x:c r="F99" s="6">
        <x:v>1189550</x:v>
      </x:c>
      <x:c r="G99" s="9">
        <x:v>5.5780000000000003E-2</x:v>
      </x:c>
    </x:row>
    <x:row r="100">
      <x:c r="A100" s="5">
        <x:v>2015</x:v>
      </x:c>
      <x:c r="B100" s="15" t="s">
        <x:v>635</x:v>
      </x:c>
      <x:c r="C100" s="15" t="s">
        <x:v>10</x:v>
      </x:c>
      <x:c r="D100" s="15" t="s">
        <x:v>636</x:v>
      </x:c>
      <x:c r="E100" s="6">
        <x:v>37560</x:v>
      </x:c>
      <x:c r="F100" s="6">
        <x:v>375910</x:v>
      </x:c>
      <x:c r="G100" s="9">
        <x:v>9.9920000000000009E-2</x:v>
      </x:c>
    </x:row>
    <x:row r="101">
      <x:c r="A101" s="5">
        <x:v>2015</x:v>
      </x:c>
      <x:c r="B101" s="15" t="s">
        <x:v>637</x:v>
      </x:c>
      <x:c r="C101" s="15" t="s">
        <x:v>14</x:v>
      </x:c>
      <x:c r="D101" s="15" t="s">
        <x:v>638</x:v>
      </x:c>
      <x:c r="E101" s="6">
        <x:v>32910</x:v>
      </x:c>
      <x:c r="F101" s="6">
        <x:v>355090</x:v>
      </x:c>
      <x:c r="G101" s="9">
        <x:v>9.2689999999999995E-2</x:v>
      </x:c>
    </x:row>
    <x:row r="102">
      <x:c r="A102" s="5">
        <x:v>2015</x:v>
      </x:c>
      <x:c r="B102" s="15" t="s">
        <x:v>749</x:v>
      </x:c>
      <x:c r="C102" s="15" t="s">
        <x:v>67</x:v>
      </x:c>
      <x:c r="D102" s="15" t="s">
        <x:v>648</x:v>
      </x:c>
      <x:c r="E102" s="6">
        <x:v>9210</x:v>
      </x:c>
      <x:c r="F102" s="6">
        <x:v>179010</x:v>
      </x:c>
      <x:c r="G102" s="9">
        <x:v>5.144E-2</x:v>
      </x:c>
    </x:row>
    <x:row r="103">
      <x:c r="A103" s="5">
        <x:v>2015</x:v>
      </x:c>
      <x:c r="B103" s="15" t="s">
        <x:v>641</x:v>
      </x:c>
      <x:c r="C103" s="15" t="s">
        <x:v>20</x:v>
      </x:c>
      <x:c r="D103" s="15" t="s">
        <x:v>642</x:v>
      </x:c>
      <x:c r="E103" s="6">
        <x:v>68430</x:v>
      </x:c>
      <x:c r="F103" s="6">
        <x:v>856110</x:v>
      </x:c>
      <x:c r="G103" s="9">
        <x:v>7.9930000000000001E-2</x:v>
      </x:c>
    </x:row>
    <x:row r="104">
      <x:c r="A104" s="5">
        <x:v>2015</x:v>
      </x:c>
      <x:c r="B104" s="15" t="s">
        <x:v>783</x:v>
      </x:c>
      <x:c r="C104" s="15" t="s">
        <x:v>75</x:v>
      </x:c>
      <x:c r="D104" s="15" t="s">
        <x:v>774</x:v>
      </x:c>
      <x:c r="E104" s="6">
        <x:v>4370</x:v>
      </x:c>
      <x:c r="F104" s="6">
        <x:v>91960</x:v>
      </x:c>
      <x:c r="G104" s="9">
        <x:v>4.752E-2</x:v>
      </x:c>
    </x:row>
    <x:row r="105">
      <x:c r="A105" s="5">
        <x:v>2016</x:v>
      </x:c>
      <x:c r="B105" s="15" t="s">
        <x:v>636</x:v>
      </x:c>
      <x:c r="C105" s="15" t="s">
        <x:v>786</x:v>
      </x:c>
      <x:c r="D105" s="15" t="s">
        <x:v>649</x:v>
      </x:c>
      <x:c r="E105" s="6">
        <x:v>28690</x:v>
      </x:c>
      <x:c r="F105" s="6">
        <x:v>586850</x:v>
      </x:c>
      <x:c r="G105" s="9">
        <x:v>4.888E-2</x:v>
      </x:c>
    </x:row>
    <x:row r="106">
      <x:c r="A106" s="5">
        <x:v>2016</x:v>
      </x:c>
      <x:c r="B106" s="15" t="s">
        <x:v>638</x:v>
      </x:c>
      <x:c r="C106" s="15" t="s">
        <x:v>50</x:v>
      </x:c>
      <x:c r="D106" s="15" t="s">
        <x:v>647</x:v>
      </x:c>
      <x:c r="E106" s="6">
        <x:v>36900</x:v>
      </x:c>
      <x:c r="F106" s="6">
        <x:v>516820</x:v>
      </x:c>
      <x:c r="G106" s="9">
        <x:v>7.1390000000000009E-2</x:v>
      </x:c>
    </x:row>
    <x:row r="107">
      <x:c r="A107" s="5">
        <x:v>2016</x:v>
      </x:c>
      <x:c r="B107" s="15" t="s">
        <x:v>648</x:v>
      </x:c>
      <x:c r="C107" s="15" t="s">
        <x:v>46</x:v>
      </x:c>
      <x:c r="D107" s="15" t="s">
        <x:v>649</x:v>
      </x:c>
      <x:c r="E107" s="6">
        <x:v>23640</x:v>
      </x:c>
      <x:c r="F107" s="6">
        <x:v>327270</x:v>
      </x:c>
      <x:c r="G107" s="9">
        <x:v>7.2220000000000006E-2</x:v>
      </x:c>
    </x:row>
    <x:row r="108">
      <x:c r="A108" s="5">
        <x:v>2016</x:v>
      </x:c>
      <x:c r="B108" s="15" t="s">
        <x:v>642</x:v>
      </x:c>
      <x:c r="C108" s="15" t="s">
        <x:v>748</x:v>
      </x:c>
      <x:c r="D108" s="15" t="s">
        <x:v>672</x:v>
      </x:c>
      <x:c r="E108" s="6">
        <x:v>9380</x:v>
      </x:c>
      <x:c r="F108" s="6">
        <x:v>159070</x:v>
      </x:c>
      <x:c r="G108" s="9">
        <x:v>5.8939999999999999E-2</x:v>
      </x:c>
    </x:row>
    <x:row r="109">
      <x:c r="A109" s="5">
        <x:v>2016</x:v>
      </x:c>
      <x:c r="B109" s="15" t="s">
        <x:v>800</x:v>
      </x:c>
      <x:c r="C109" s="15" t="s">
        <x:v>801</x:v>
      </x:c>
      <x:c r="D109" s="15" t="s">
        <x:v>672</x:v>
      </x:c>
      <x:c r="E109" s="6">
        <x:v>6550</x:v>
      </x:c>
      <x:c r="F109" s="6">
        <x:v>135270</x:v>
      </x:c>
      <x:c r="G109" s="9">
        <x:v>4.845E-2</x:v>
      </x:c>
    </x:row>
    <x:row r="110">
      <x:c r="A110" s="5">
        <x:v>2016</x:v>
      </x:c>
      <x:c r="B110" s="15" t="s">
        <x:v>774</x:v>
      </x:c>
      <x:c r="C110" s="15" t="s">
        <x:v>775</x:v>
      </x:c>
      <x:c r="D110" s="15" t="s">
        <x:v>672</x:v>
      </x:c>
      <x:c r="E110" s="6">
        <x:v>61400</x:v>
      </x:c>
      <x:c r="F110" s="6">
        <x:v>1080540</x:v>
      </x:c>
      <x:c r="G110" s="9">
        <x:v>5.6820000000000002E-2</x:v>
      </x:c>
    </x:row>
    <x:row r="111">
      <x:c r="A111" s="5">
        <x:v>2016</x:v>
      </x:c>
      <x:c r="B111" s="15" t="s">
        <x:v>742</x:v>
      </x:c>
      <x:c r="C111" s="15" t="s">
        <x:v>743</x:v>
      </x:c>
      <x:c r="D111" s="15" t="s">
        <x:v>649</x:v>
      </x:c>
      <x:c r="E111" s="6">
        <x:v>18580</x:v>
      </x:c>
      <x:c r="F111" s="6">
        <x:v>316460</x:v>
      </x:c>
      <x:c r="G111" s="9">
        <x:v>5.8710000000000005E-2</x:v>
      </x:c>
    </x:row>
    <x:row r="112">
      <x:c r="A112" s="5">
        <x:v>2016</x:v>
      </x:c>
      <x:c r="B112" s="15" t="s">
        <x:v>653</x:v>
      </x:c>
      <x:c r="C112" s="15" t="s">
        <x:v>97</x:v>
      </x:c>
      <x:c r="D112" s="15" t="s">
        <x:v>651</x:v>
      </x:c>
      <x:c r="E112" s="6">
        <x:v>18830</x:v>
      </x:c>
      <x:c r="F112" s="6">
        <x:v>265880</x:v>
      </x:c>
      <x:c r="G112" s="9">
        <x:v>7.0809999999999998E-2</x:v>
      </x:c>
    </x:row>
    <x:row r="113">
      <x:c r="A113" s="5">
        <x:v>2016</x:v>
      </x:c>
      <x:c r="B113" s="15" t="s">
        <x:v>717</x:v>
      </x:c>
      <x:c r="C113" s="15" t="s">
        <x:v>718</x:v>
      </x:c>
      <x:c r="D113" s="15" t="s">
        <x:v>671</x:v>
      </x:c>
      <x:c r="E113" s="6">
        <x:v>9160</x:v>
      </x:c>
      <x:c r="F113" s="6">
        <x:v>147420</x:v>
      </x:c>
      <x:c r="G113" s="9">
        <x:v>6.2149999999999997E-2</x:v>
      </x:c>
    </x:row>
    <x:row r="114">
      <x:c r="A114" s="5">
        <x:v>2016</x:v>
      </x:c>
      <x:c r="B114" s="15" t="s">
        <x:v>668</x:v>
      </x:c>
      <x:c r="C114" s="15" t="s">
        <x:v>669</x:v>
      </x:c>
      <x:c r="D114" s="15" t="s">
        <x:v>651</x:v>
      </x:c>
      <x:c r="E114" s="6">
        <x:v>19490</x:v>
      </x:c>
      <x:c r="F114" s="6">
        <x:v>294630</x:v>
      </x:c>
      <x:c r="G114" s="9">
        <x:v>6.6159999999999997E-2</x:v>
      </x:c>
    </x:row>
    <x:row r="115">
      <x:c r="A115" s="5">
        <x:v>2016</x:v>
      </x:c>
      <x:c r="B115" s="15" t="s">
        <x:v>670</x:v>
      </x:c>
      <x:c r="C115" s="15" t="s">
        <x:v>89</x:v>
      </x:c>
      <x:c r="D115" s="15" t="s">
        <x:v>671</x:v>
      </x:c>
      <x:c r="E115" s="6">
        <x:v>24240</x:v>
      </x:c>
      <x:c r="F115" s="6">
        <x:v>359380</x:v>
      </x:c>
      <x:c r="G115" s="9">
        <x:v>6.7460000000000006E-2</x:v>
      </x:c>
    </x:row>
    <x:row r="116">
      <x:c r="A116" s="5">
        <x:v>2016</x:v>
      </x:c>
      <x:c r="B116" s="15" t="s">
        <x:v>768</x:v>
      </x:c>
      <x:c r="C116" s="15" t="s">
        <x:v>769</x:v>
      </x:c>
      <x:c r="D116" s="15" t="s">
        <x:v>671</x:v>
      </x:c>
      <x:c r="E116" s="6">
        <x:v>14810</x:v>
      </x:c>
      <x:c r="F116" s="6">
        <x:v>267170</x:v>
      </x:c>
      <x:c r="G116" s="9">
        <x:v>5.5439999999999996E-2</x:v>
      </x:c>
    </x:row>
    <x:row r="117">
      <x:c r="A117" s="5">
        <x:v>2016</x:v>
      </x:c>
      <x:c r="B117" s="15" t="s">
        <x:v>744</x:v>
      </x:c>
      <x:c r="C117" s="15" t="s">
        <x:v>745</x:v>
      </x:c>
      <x:c r="D117" s="15" t="s">
        <x:v>672</x:v>
      </x:c>
      <x:c r="E117" s="6">
        <x:v>121240</x:v>
      </x:c>
      <x:c r="F117" s="6">
        <x:v>2036120</x:v>
      </x:c>
      <x:c r="G117" s="9">
        <x:v>5.9539999999999996E-2</x:v>
      </x:c>
    </x:row>
    <x:row r="118">
      <x:c r="A118" s="5">
        <x:v>2016</x:v>
      </x:c>
      <x:c r="B118" s="15" t="s">
        <x:v>772</x:v>
      </x:c>
      <x:c r="C118" s="15" t="s">
        <x:v>773</x:v>
      </x:c>
      <x:c r="D118" s="15" t="s">
        <x:v>689</x:v>
      </x:c>
      <x:c r="E118" s="6">
        <x:v>34920</x:v>
      </x:c>
      <x:c r="F118" s="6">
        <x:v>669680</x:v>
      </x:c>
      <x:c r="G118" s="9">
        <x:v>5.2140000000000006E-2</x:v>
      </x:c>
    </x:row>
    <x:row r="119">
      <x:c r="A119" s="5">
        <x:v>2016</x:v>
      </x:c>
      <x:c r="B119" s="15" t="s">
        <x:v>692</x:v>
      </x:c>
      <x:c r="C119" s="15" t="s">
        <x:v>693</x:v>
      </x:c>
      <x:c r="D119" s="15" t="s">
        <x:v>649</x:v>
      </x:c>
      <x:c r="E119" s="6">
        <x:v>8710</x:v>
      </x:c>
      <x:c r="F119" s="6">
        <x:v>137500</x:v>
      </x:c>
      <x:c r="G119" s="9">
        <x:v>6.336E-2</x:v>
      </x:c>
    </x:row>
    <x:row r="120">
      <x:c r="A120" s="5">
        <x:v>2016</x:v>
      </x:c>
      <x:c r="B120" s="15" t="s">
        <x:v>701</x:v>
      </x:c>
      <x:c r="C120" s="15" t="s">
        <x:v>702</x:v>
      </x:c>
      <x:c r="D120" s="15" t="s">
        <x:v>644</x:v>
      </x:c>
      <x:c r="E120" s="6">
        <x:v>20400</x:v>
      </x:c>
      <x:c r="F120" s="6">
        <x:v>337430</x:v>
      </x:c>
      <x:c r="G120" s="9">
        <x:v>6.0469999999999996E-2</x:v>
      </x:c>
    </x:row>
    <x:row r="121">
      <x:c r="A121" s="5">
        <x:v>2016</x:v>
      </x:c>
      <x:c r="B121" s="15" t="s">
        <x:v>727</x:v>
      </x:c>
      <x:c r="C121" s="15" t="s">
        <x:v>728</x:v>
      </x:c>
      <x:c r="D121" s="15" t="s">
        <x:v>644</x:v>
      </x:c>
      <x:c r="E121" s="6">
        <x:v>36880</x:v>
      </x:c>
      <x:c r="F121" s="6">
        <x:v>634600</x:v>
      </x:c>
      <x:c r="G121" s="9">
        <x:v>5.8120000000000005E-2</x:v>
      </x:c>
    </x:row>
    <x:row r="122">
      <x:c r="A122" s="5">
        <x:v>2016</x:v>
      </x:c>
      <x:c r="B122" s="15" t="s">
        <x:v>654</x:v>
      </x:c>
      <x:c r="C122" s="15" t="s">
        <x:v>86</x:v>
      </x:c>
      <x:c r="D122" s="15" t="s">
        <x:v>646</x:v>
      </x:c>
      <x:c r="E122" s="6">
        <x:v>21210</x:v>
      </x:c>
      <x:c r="F122" s="6">
        <x:v>295880</x:v>
      </x:c>
      <x:c r="G122" s="9">
        <x:v>7.168999999999999E-2</x:v>
      </x:c>
    </x:row>
    <x:row r="123">
      <x:c r="A123" s="5">
        <x:v>2016</x:v>
      </x:c>
      <x:c r="B123" s="15" t="s">
        <x:v>681</x:v>
      </x:c>
      <x:c r="C123" s="15" t="s">
        <x:v>682</x:v>
      </x:c>
      <x:c r="D123" s="15" t="s">
        <x:v>644</x:v>
      </x:c>
      <x:c r="E123" s="6">
        <x:v>15200</x:v>
      </x:c>
      <x:c r="F123" s="6">
        <x:v>230970</x:v>
      </x:c>
      <x:c r="G123" s="9">
        <x:v>6.5790000000000001E-2</x:v>
      </x:c>
    </x:row>
    <x:row r="124">
      <x:c r="A124" s="5">
        <x:v>2016</x:v>
      </x:c>
      <x:c r="B124" s="15" t="s">
        <x:v>746</x:v>
      </x:c>
      <x:c r="C124" s="15" t="s">
        <x:v>747</x:v>
      </x:c>
      <x:c r="D124" s="15" t="s">
        <x:v>640</x:v>
      </x:c>
      <x:c r="E124" s="6">
        <x:v>29030</x:v>
      </x:c>
      <x:c r="F124" s="6">
        <x:v>506210</x:v>
      </x:c>
      <x:c r="G124" s="9">
        <x:v>5.7350000000000005E-2</x:v>
      </x:c>
    </x:row>
    <x:row r="125">
      <x:c r="A125" s="5">
        <x:v>2016</x:v>
      </x:c>
      <x:c r="B125" s="15" t="s">
        <x:v>797</x:v>
      </x:c>
      <x:c r="C125" s="15" t="s">
        <x:v>798</x:v>
      </x:c>
      <x:c r="D125" s="15" t="s">
        <x:v>799</x:v>
      </x:c>
      <x:c r="E125" s="6">
        <x:v>26340</x:v>
      </x:c>
      <x:c r="F125" s="6">
        <x:v>584530</x:v>
      </x:c>
      <x:c r="G125" s="9">
        <x:v>4.5069999999999999E-2</x:v>
      </x:c>
    </x:row>
    <x:row r="126">
      <x:c r="A126" s="5">
        <x:v>2016</x:v>
      </x:c>
      <x:c r="B126" s="15" t="s">
        <x:v>643</x:v>
      </x:c>
      <x:c r="C126" s="15" t="s">
        <x:v>30</x:v>
      </x:c>
      <x:c r="D126" s="15" t="s">
        <x:v>644</x:v>
      </x:c>
      <x:c r="E126" s="6">
        <x:v>8860</x:v>
      </x:c>
      <x:c r="F126" s="6">
        <x:v>110200</x:v>
      </x:c>
      <x:c r="G126" s="9">
        <x:v>8.0380000000000007E-2</x:v>
      </x:c>
    </x:row>
    <x:row r="127">
      <x:c r="A127" s="5">
        <x:v>2016</x:v>
      </x:c>
      <x:c r="B127" s="15" t="s">
        <x:v>646</x:v>
      </x:c>
      <x:c r="C127" s="15" t="s">
        <x:v>674</x:v>
      </x:c>
      <x:c r="D127" s="15" t="s">
        <x:v>644</x:v>
      </x:c>
      <x:c r="E127" s="6">
        <x:v>26460</x:v>
      </x:c>
      <x:c r="F127" s="6">
        <x:v>394680</x:v>
      </x:c>
      <x:c r="G127" s="9">
        <x:v>6.7030000000000006E-2</x:v>
      </x:c>
    </x:row>
    <x:row r="128">
      <x:c r="A128" s="5">
        <x:v>2016</x:v>
      </x:c>
      <x:c r="B128" s="15" t="s">
        <x:v>766</x:v>
      </x:c>
      <x:c r="C128" s="15" t="s">
        <x:v>767</x:v>
      </x:c>
      <x:c r="D128" s="15" t="s">
        <x:v>640</x:v>
      </x:c>
      <x:c r="E128" s="6">
        <x:v>27970</x:v>
      </x:c>
      <x:c r="F128" s="6">
        <x:v>524910</x:v>
      </x:c>
      <x:c r="G128" s="9">
        <x:v>5.3289999999999997E-2</x:v>
      </x:c>
    </x:row>
    <x:row r="129">
      <x:c r="A129" s="5">
        <x:v>2016</x:v>
      </x:c>
      <x:c r="B129" s="15" t="s">
        <x:v>764</x:v>
      </x:c>
      <x:c r="C129" s="15" t="s">
        <x:v>765</x:v>
      </x:c>
      <x:c r="D129" s="15" t="s">
        <x:v>649</x:v>
      </x:c>
      <x:c r="E129" s="6">
        <x:v>28820</x:v>
      </x:c>
      <x:c r="F129" s="6">
        <x:v>504430</x:v>
      </x:c>
      <x:c r="G129" s="9">
        <x:v>5.7140000000000003E-2</x:v>
      </x:c>
    </x:row>
    <x:row r="130">
      <x:c r="A130" s="5">
        <x:v>2016</x:v>
      </x:c>
      <x:c r="B130" s="15" t="s">
        <x:v>640</x:v>
      </x:c>
      <x:c r="C130" s="15" t="s">
        <x:v>724</x:v>
      </x:c>
      <x:c r="D130" s="15" t="s">
        <x:v>689</x:v>
      </x:c>
      <x:c r="E130" s="6">
        <x:v>33540</x:v>
      </x:c>
      <x:c r="F130" s="6">
        <x:v>581350</x:v>
      </x:c>
      <x:c r="G130" s="9">
        <x:v>5.7689999999999998E-2</x:v>
      </x:c>
    </x:row>
    <x:row r="131">
      <x:c r="A131" s="5">
        <x:v>2016</x:v>
      </x:c>
      <x:c r="B131" s="15" t="s">
        <x:v>689</x:v>
      </x:c>
      <x:c r="C131" s="15" t="s">
        <x:v>694</x:v>
      </x:c>
      <x:c r="D131" s="15" t="s">
        <x:v>646</x:v>
      </x:c>
      <x:c r="E131" s="6">
        <x:v>25320</x:v>
      </x:c>
      <x:c r="F131" s="6">
        <x:v>418780</x:v>
      </x:c>
      <x:c r="G131" s="9">
        <x:v>6.0469999999999996E-2</x:v>
      </x:c>
    </x:row>
    <x:row r="132">
      <x:c r="A132" s="5">
        <x:v>2016</x:v>
      </x:c>
      <x:c r="B132" s="15" t="s">
        <x:v>811</x:v>
      </x:c>
      <x:c r="C132" s="15" t="s">
        <x:v>812</x:v>
      </x:c>
      <x:c r="D132" s="15" t="s">
        <x:v>799</x:v>
      </x:c>
      <x:c r="E132" s="6">
        <x:v>36690</x:v>
      </x:c>
      <x:c r="F132" s="6">
        <x:v>886560</x:v>
      </x:c>
      <x:c r="G132" s="9">
        <x:v>4.1390000000000003E-2</x:v>
      </x:c>
    </x:row>
    <x:row r="133">
      <x:c r="A133" s="5">
        <x:v>2016</x:v>
      </x:c>
      <x:c r="B133" s="15" t="s">
        <x:v>719</x:v>
      </x:c>
      <x:c r="C133" s="15" t="s">
        <x:v>720</x:v>
      </x:c>
      <x:c r="D133" s="15" t="s">
        <x:v>705</x:v>
      </x:c>
      <x:c r="E133" s="6">
        <x:v>8100</x:v>
      </x:c>
      <x:c r="F133" s="6">
        <x:v>136410</x:v>
      </x:c>
      <x:c r="G133" s="9">
        <x:v>5.9370000000000006E-2</x:v>
      </x:c>
    </x:row>
    <x:row r="134">
      <x:c r="A134" s="5">
        <x:v>2016</x:v>
      </x:c>
      <x:c r="B134" s="15" t="s">
        <x:v>703</x:v>
      </x:c>
      <x:c r="C134" s="15" t="s">
        <x:v>704</x:v>
      </x:c>
      <x:c r="D134" s="15" t="s">
        <x:v>705</x:v>
      </x:c>
      <x:c r="E134" s="6">
        <x:v>9350</x:v>
      </x:c>
      <x:c r="F134" s="6">
        <x:v>148840</x:v>
      </x:c>
      <x:c r="G134" s="9">
        <x:v>6.2800000000000009E-2</x:v>
      </x:c>
    </x:row>
    <x:row r="135">
      <x:c r="A135" s="5">
        <x:v>2016</x:v>
      </x:c>
      <x:c r="B135" s="15" t="s">
        <x:v>725</x:v>
      </x:c>
      <x:c r="C135" s="15" t="s">
        <x:v>726</x:v>
      </x:c>
      <x:c r="D135" s="15" t="s">
        <x:v>671</x:v>
      </x:c>
      <x:c r="E135" s="6">
        <x:v>43890</x:v>
      </x:c>
      <x:c r="F135" s="6">
        <x:v>734300</x:v>
      </x:c>
      <x:c r="G135" s="9">
        <x:v>5.9770000000000004E-2</x:v>
      </x:c>
    </x:row>
    <x:row r="136">
      <x:c r="A136" s="5">
        <x:v>2016</x:v>
      </x:c>
      <x:c r="B136" s="15" t="s">
        <x:v>813</x:v>
      </x:c>
      <x:c r="C136" s="15" t="s">
        <x:v>814</x:v>
      </x:c>
      <x:c r="D136" s="15" t="s">
        <x:v>671</x:v>
      </x:c>
      <x:c r="E136" s="6">
        <x:v>56940</x:v>
      </x:c>
      <x:c r="F136" s="6">
        <x:v>1298400</x:v>
      </x:c>
      <x:c r="G136" s="9">
        <x:v>4.385E-2</x:v>
      </x:c>
    </x:row>
    <x:row r="137">
      <x:c r="A137" s="5">
        <x:v>2016</x:v>
      </x:c>
      <x:c r="B137" s="15" t="s">
        <x:v>647</x:v>
      </x:c>
      <x:c r="C137" s="15" t="s">
        <x:v>721</x:v>
      </x:c>
      <x:c r="D137" s="15" t="s">
        <x:v>671</x:v>
      </x:c>
      <x:c r="E137" s="6">
        <x:v>10790</x:v>
      </x:c>
      <x:c r="F137" s="6">
        <x:v>184580</x:v>
      </x:c>
      <x:c r="G137" s="9">
        <x:v>5.8470000000000001E-2</x:v>
      </x:c>
    </x:row>
    <x:row r="138">
      <x:c r="A138" s="5">
        <x:v>2016</x:v>
      </x:c>
      <x:c r="B138" s="15" t="s">
        <x:v>795</x:v>
      </x:c>
      <x:c r="C138" s="15" t="s">
        <x:v>796</x:v>
      </x:c>
      <x:c r="D138" s="15" t="s">
        <x:v>644</x:v>
      </x:c>
      <x:c r="E138" s="6">
        <x:v>76040</x:v>
      </x:c>
      <x:c r="F138" s="6">
        <x:v>1539240</x:v>
      </x:c>
      <x:c r="G138" s="9">
        <x:v>4.9400000000000006E-2</x:v>
      </x:c>
    </x:row>
    <x:row r="139">
      <x:c r="A139" s="5">
        <x:v>2016</x:v>
      </x:c>
      <x:c r="B139" s="15" t="s">
        <x:v>781</x:v>
      </x:c>
      <x:c r="C139" s="15" t="s">
        <x:v>782</x:v>
      </x:c>
      <x:c r="D139" s="15" t="s">
        <x:v>671</x:v>
      </x:c>
      <x:c r="E139" s="6">
        <x:v>61130</x:v>
      </x:c>
      <x:c r="F139" s="6">
        <x:v>1118010</x:v>
      </x:c>
      <x:c r="G139" s="9">
        <x:v>5.4679999999999999E-2</x:v>
      </x:c>
    </x:row>
    <x:row r="140">
      <x:c r="A140" s="5">
        <x:v>2016</x:v>
      </x:c>
      <x:c r="B140" s="15" t="s">
        <x:v>819</x:v>
      </x:c>
      <x:c r="C140" s="15" t="s">
        <x:v>820</x:v>
      </x:c>
      <x:c r="D140" s="15" t="s">
        <x:v>799</x:v>
      </x:c>
      <x:c r="E140" s="6">
        <x:v>34130</x:v>
      </x:c>
      <x:c r="F140" s="6">
        <x:v>1007590</x:v>
      </x:c>
      <x:c r="G140" s="9">
        <x:v>3.388E-2</x:v>
      </x:c>
    </x:row>
    <x:row r="141">
      <x:c r="A141" s="5">
        <x:v>2016</x:v>
      </x:c>
      <x:c r="B141" s="15" t="s">
        <x:v>645</x:v>
      </x:c>
      <x:c r="C141" s="15" t="s">
        <x:v>34</x:v>
      </x:c>
      <x:c r="D141" s="15" t="s">
        <x:v>646</x:v>
      </x:c>
      <x:c r="E141" s="6">
        <x:v>16010</x:v>
      </x:c>
      <x:c r="F141" s="6">
        <x:v>212980</x:v>
      </x:c>
      <x:c r="G141" s="9">
        <x:v>7.5149999999999995E-2</x:v>
      </x:c>
    </x:row>
    <x:row r="142">
      <x:c r="A142" s="5">
        <x:v>2016</x:v>
      </x:c>
      <x:c r="B142" s="15" t="s">
        <x:v>778</x:v>
      </x:c>
      <x:c r="C142" s="15" t="s">
        <x:v>779</x:v>
      </x:c>
      <x:c r="D142" s="15" t="s">
        <x:v>646</x:v>
      </x:c>
      <x:c r="E142" s="6">
        <x:v>31590</x:v>
      </x:c>
      <x:c r="F142" s="6">
        <x:v>591620</x:v>
      </x:c>
      <x:c r="G142" s="9">
        <x:v>5.3390000000000007E-2</x:v>
      </x:c>
    </x:row>
    <x:row r="143">
      <x:c r="A143" s="5">
        <x:v>2016</x:v>
      </x:c>
      <x:c r="B143" s="15" t="s">
        <x:v>787</x:v>
      </x:c>
      <x:c r="C143" s="15" t="s">
        <x:v>788</x:v>
      </x:c>
      <x:c r="D143" s="15" t="s">
        <x:v>649</x:v>
      </x:c>
      <x:c r="E143" s="6">
        <x:v>63730</x:v>
      </x:c>
      <x:c r="F143" s="6">
        <x:v>1236050</x:v>
      </x:c>
      <x:c r="G143" s="9">
        <x:v>5.1559999999999995E-2</x:v>
      </x:c>
    </x:row>
    <x:row r="144">
      <x:c r="A144" s="5">
        <x:v>2016</x:v>
      </x:c>
      <x:c r="B144" s="15" t="s">
        <x:v>729</x:v>
      </x:c>
      <x:c r="C144" s="15" t="s">
        <x:v>730</x:v>
      </x:c>
      <x:c r="D144" s="15" t="s">
        <x:v>640</x:v>
      </x:c>
      <x:c r="E144" s="6">
        <x:v>14330</x:v>
      </x:c>
      <x:c r="F144" s="6">
        <x:v>252350</x:v>
      </x:c>
      <x:c r="G144" s="9">
        <x:v>5.679E-2</x:v>
      </x:c>
    </x:row>
    <x:row r="145">
      <x:c r="A145" s="5">
        <x:v>2016</x:v>
      </x:c>
      <x:c r="B145" s="15" t="s">
        <x:v>738</x:v>
      </x:c>
      <x:c r="C145" s="15" t="s">
        <x:v>739</x:v>
      </x:c>
      <x:c r="D145" s="15" t="s">
        <x:v>644</x:v>
      </x:c>
      <x:c r="E145" s="6">
        <x:v>23870</x:v>
      </x:c>
      <x:c r="F145" s="6">
        <x:v>403730</x:v>
      </x:c>
      <x:c r="G145" s="9">
        <x:v>5.9109999999999996E-2</x:v>
      </x:c>
    </x:row>
    <x:row r="146">
      <x:c r="A146" s="5">
        <x:v>2016</x:v>
      </x:c>
      <x:c r="B146" s="15" t="s">
        <x:v>666</x:v>
      </x:c>
      <x:c r="C146" s="15" t="s">
        <x:v>667</x:v>
      </x:c>
      <x:c r="D146" s="15" t="s">
        <x:v>646</x:v>
      </x:c>
      <x:c r="E146" s="6">
        <x:v>21830</x:v>
      </x:c>
      <x:c r="F146" s="6">
        <x:v>323950</x:v>
      </x:c>
      <x:c r="G146" s="9">
        <x:v>6.7380000000000009E-2</x:v>
      </x:c>
    </x:row>
    <x:row r="147">
      <x:c r="A147" s="5">
        <x:v>2016</x:v>
      </x:c>
      <x:c r="B147" s="15" t="s">
        <x:v>722</x:v>
      </x:c>
      <x:c r="C147" s="15" t="s">
        <x:v>723</x:v>
      </x:c>
      <x:c r="D147" s="15" t="s">
        <x:v>649</x:v>
      </x:c>
      <x:c r="E147" s="6">
        <x:v>45350</x:v>
      </x:c>
      <x:c r="F147" s="6">
        <x:v>744640</x:v>
      </x:c>
      <x:c r="G147" s="9">
        <x:v>6.0899999999999996E-2</x:v>
      </x:c>
    </x:row>
    <x:row r="148">
      <x:c r="A148" s="5">
        <x:v>2016</x:v>
      </x:c>
      <x:c r="B148" s="15" t="s">
        <x:v>736</x:v>
      </x:c>
      <x:c r="C148" s="15" t="s">
        <x:v>737</x:v>
      </x:c>
      <x:c r="D148" s="15" t="s">
        <x:v>649</x:v>
      </x:c>
      <x:c r="E148" s="6">
        <x:v>12970</x:v>
      </x:c>
      <x:c r="F148" s="6">
        <x:v>218950</x:v>
      </x:c>
      <x:c r="G148" s="9">
        <x:v>5.9249999999999997E-2</x:v>
      </x:c>
    </x:row>
    <x:row r="149">
      <x:c r="A149" s="5">
        <x:v>2016</x:v>
      </x:c>
      <x:c r="B149" s="15" t="s">
        <x:v>651</x:v>
      </x:c>
      <x:c r="C149" s="15" t="s">
        <x:v>816</x:v>
      </x:c>
      <x:c r="D149" s="15" t="s">
        <x:v>652</x:v>
      </x:c>
      <x:c r="E149" s="6">
        <x:v>53540</x:v>
      </x:c>
      <x:c r="F149" s="6">
        <x:v>1352440</x:v>
      </x:c>
      <x:c r="G149" s="9">
        <x:v>3.959E-2</x:v>
      </x:c>
    </x:row>
    <x:row r="150">
      <x:c r="A150" s="5">
        <x:v>2016</x:v>
      </x:c>
      <x:c r="B150" s="15" t="s">
        <x:v>697</x:v>
      </x:c>
      <x:c r="C150" s="15" t="s">
        <x:v>698</x:v>
      </x:c>
      <x:c r="D150" s="15" t="s">
        <x:v>646</x:v>
      </x:c>
      <x:c r="E150" s="6">
        <x:v>40600</x:v>
      </x:c>
      <x:c r="F150" s="6">
        <x:v>655630</x:v>
      </x:c>
      <x:c r="G150" s="9">
        <x:v>6.1929999999999999E-2</x:v>
      </x:c>
    </x:row>
    <x:row r="151">
      <x:c r="A151" s="5">
        <x:v>2016</x:v>
      </x:c>
      <x:c r="B151" s="15" t="s">
        <x:v>706</x:v>
      </x:c>
      <x:c r="C151" s="15" t="s">
        <x:v>707</x:v>
      </x:c>
      <x:c r="D151" s="15" t="s">
        <x:v>671</x:v>
      </x:c>
      <x:c r="E151" s="6">
        <x:v>10660</x:v>
      </x:c>
      <x:c r="F151" s="6">
        <x:v>165250</x:v>
      </x:c>
      <x:c r="G151" s="9">
        <x:v>6.448000000000001E-2</x:v>
      </x:c>
    </x:row>
    <x:row r="152">
      <x:c r="A152" s="5">
        <x:v>2016</x:v>
      </x:c>
      <x:c r="B152" s="15" t="s">
        <x:v>710</x:v>
      </x:c>
      <x:c r="C152" s="15" t="s">
        <x:v>711</x:v>
      </x:c>
      <x:c r="D152" s="15" t="s">
        <x:v>644</x:v>
      </x:c>
      <x:c r="E152" s="6">
        <x:v>19780</x:v>
      </x:c>
      <x:c r="F152" s="6">
        <x:v>321750</x:v>
      </x:c>
      <x:c r="G152" s="9">
        <x:v>6.1470000000000004E-2</x:v>
      </x:c>
    </x:row>
    <x:row r="153">
      <x:c r="A153" s="5">
        <x:v>2016</x:v>
      </x:c>
      <x:c r="B153" s="15" t="s">
        <x:v>776</x:v>
      </x:c>
      <x:c r="C153" s="15" t="s">
        <x:v>777</x:v>
      </x:c>
      <x:c r="D153" s="15" t="s">
        <x:v>671</x:v>
      </x:c>
      <x:c r="E153" s="6">
        <x:v>4010</x:v>
      </x:c>
      <x:c r="F153" s="6">
        <x:v>71080</x:v>
      </x:c>
      <x:c r="G153" s="9">
        <x:v>5.636E-2</x:v>
      </x:c>
    </x:row>
    <x:row r="154">
      <x:c r="A154" s="5">
        <x:v>2016</x:v>
      </x:c>
      <x:c r="B154" s="15" t="s">
        <x:v>793</x:v>
      </x:c>
      <x:c r="C154" s="15" t="s">
        <x:v>794</x:v>
      </x:c>
      <x:c r="D154" s="15" t="s">
        <x:v>652</x:v>
      </x:c>
      <x:c r="E154" s="6">
        <x:v>37320</x:v>
      </x:c>
      <x:c r="F154" s="6">
        <x:v>788340</x:v>
      </x:c>
      <x:c r="G154" s="9">
        <x:v>4.7329999999999997E-2</x:v>
      </x:c>
    </x:row>
    <x:row r="155">
      <x:c r="A155" s="5">
        <x:v>2016</x:v>
      </x:c>
      <x:c r="B155" s="15" t="s">
        <x:v>770</x:v>
      </x:c>
      <x:c r="C155" s="15" t="s">
        <x:v>771</x:v>
      </x:c>
      <x:c r="D155" s="15" t="s">
        <x:v>689</x:v>
      </x:c>
      <x:c r="E155" s="6">
        <x:v>24830</x:v>
      </x:c>
      <x:c r="F155" s="6">
        <x:v>481260</x:v>
      </x:c>
      <x:c r="G155" s="9">
        <x:v>5.1589999999999997E-2</x:v>
      </x:c>
    </x:row>
    <x:row r="156">
      <x:c r="A156" s="5">
        <x:v>2016</x:v>
      </x:c>
      <x:c r="B156" s="15" t="s">
        <x:v>679</x:v>
      </x:c>
      <x:c r="C156" s="15" t="s">
        <x:v>680</x:v>
      </x:c>
      <x:c r="D156" s="15" t="s">
        <x:v>651</x:v>
      </x:c>
      <x:c r="E156" s="6">
        <x:v>34330</x:v>
      </x:c>
      <x:c r="F156" s="6">
        <x:v>541530</x:v>
      </x:c>
      <x:c r="G156" s="9">
        <x:v>6.3390000000000002E-2</x:v>
      </x:c>
    </x:row>
    <x:row r="157">
      <x:c r="A157" s="5">
        <x:v>2016</x:v>
      </x:c>
      <x:c r="B157" s="15" t="s">
        <x:v>652</x:v>
      </x:c>
      <x:c r="C157" s="15" t="s">
        <x:v>182</x:v>
      </x:c>
      <x:c r="D157" s="15" t="s">
        <x:v>651</x:v>
      </x:c>
      <x:c r="E157" s="6">
        <x:v>12060</x:v>
      </x:c>
      <x:c r="F157" s="6">
        <x:v>171470</x:v>
      </x:c>
      <x:c r="G157" s="9">
        <x:v>7.0309999999999997E-2</x:v>
      </x:c>
    </x:row>
    <x:row r="158">
      <x:c r="A158" s="5">
        <x:v>2016</x:v>
      </x:c>
      <x:c r="B158" s="15" t="s">
        <x:v>799</x:v>
      </x:c>
      <x:c r="C158" s="15" t="s">
        <x:v>804</x:v>
      </x:c>
      <x:c r="D158" s="15" t="s">
        <x:v>652</x:v>
      </x:c>
      <x:c r="E158" s="6">
        <x:v>12690</x:v>
      </x:c>
      <x:c r="F158" s="6">
        <x:v>297540</x:v>
      </x:c>
      <x:c r="G158" s="9">
        <x:v>4.2649999999999993E-2</x:v>
      </x:c>
    </x:row>
    <x:row r="159">
      <x:c r="A159" s="5">
        <x:v>2016</x:v>
      </x:c>
      <x:c r="B159" s="15" t="s">
        <x:v>685</x:v>
      </x:c>
      <x:c r="C159" s="15" t="s">
        <x:v>686</x:v>
      </x:c>
      <x:c r="D159" s="15" t="s">
        <x:v>651</x:v>
      </x:c>
      <x:c r="E159" s="6">
        <x:v>42750</x:v>
      </x:c>
      <x:c r="F159" s="6">
        <x:v>659650</x:v>
      </x:c>
      <x:c r="G159" s="9">
        <x:v>6.480000000000001E-2</x:v>
      </x:c>
    </x:row>
    <x:row r="160">
      <x:c r="A160" s="5">
        <x:v>2016</x:v>
      </x:c>
      <x:c r="B160" s="15" t="s">
        <x:v>656</x:v>
      </x:c>
      <x:c r="C160" s="15" t="s">
        <x:v>657</x:v>
      </x:c>
      <x:c r="D160" s="15" t="s">
        <x:v>651</x:v>
      </x:c>
      <x:c r="E160" s="6">
        <x:v>11870</x:v>
      </x:c>
      <x:c r="F160" s="6">
        <x:v>176080</x:v>
      </x:c>
      <x:c r="G160" s="9">
        <x:v>6.7409999999999998E-2</x:v>
      </x:c>
    </x:row>
    <x:row r="161">
      <x:c r="A161" s="5">
        <x:v>2016</x:v>
      </x:c>
      <x:c r="B161" s="15" t="s">
        <x:v>802</x:v>
      </x:c>
      <x:c r="C161" s="15" t="s">
        <x:v>803</x:v>
      </x:c>
      <x:c r="D161" s="15" t="s">
        <x:v>799</x:v>
      </x:c>
      <x:c r="E161" s="6">
        <x:v>33040</x:v>
      </x:c>
      <x:c r="F161" s="6">
        <x:v>731480</x:v>
      </x:c>
      <x:c r="G161" s="9">
        <x:v>4.5170000000000002E-2</x:v>
      </x:c>
    </x:row>
    <x:row r="162">
      <x:c r="A162" s="5">
        <x:v>2016</x:v>
      </x:c>
      <x:c r="B162" s="15" t="s">
        <x:v>650</x:v>
      </x:c>
      <x:c r="C162" s="15" t="s">
        <x:v>38</x:v>
      </x:c>
      <x:c r="D162" s="15" t="s">
        <x:v>651</x:v>
      </x:c>
      <x:c r="E162" s="6">
        <x:v>66360</x:v>
      </x:c>
      <x:c r="F162" s="6">
        <x:v>903990</x:v>
      </x:c>
      <x:c r="G162" s="9">
        <x:v>7.3410000000000003E-2</x:v>
      </x:c>
    </x:row>
    <x:row r="163">
      <x:c r="A163" s="5">
        <x:v>2016</x:v>
      </x:c>
      <x:c r="B163" s="15" t="s">
        <x:v>639</x:v>
      </x:c>
      <x:c r="C163" s="15" t="s">
        <x:v>19</x:v>
      </x:c>
      <x:c r="D163" s="15" t="s">
        <x:v>640</x:v>
      </x:c>
      <x:c r="E163" s="6">
        <x:v>17050</x:v>
      </x:c>
      <x:c r="F163" s="6">
        <x:v>198700</x:v>
      </x:c>
      <x:c r="G163" s="9">
        <x:v>8.5809999999999997E-2</x:v>
      </x:c>
    </x:row>
    <x:row r="164">
      <x:c r="A164" s="5">
        <x:v>2016</x:v>
      </x:c>
      <x:c r="B164" s="15" t="s">
        <x:v>690</x:v>
      </x:c>
      <x:c r="C164" s="15" t="s">
        <x:v>691</x:v>
      </x:c>
      <x:c r="D164" s="15" t="s">
        <x:v>647</x:v>
      </x:c>
      <x:c r="E164" s="6">
        <x:v>158230</x:v>
      </x:c>
      <x:c r="F164" s="6">
        <x:v>2500130</x:v>
      </x:c>
      <x:c r="G164" s="9">
        <x:v>6.3289999999999999E-2</x:v>
      </x:c>
    </x:row>
    <x:row r="165">
      <x:c r="A165" s="5">
        <x:v>2016</x:v>
      </x:c>
      <x:c r="B165" s="15" t="s">
        <x:v>708</x:v>
      </x:c>
      <x:c r="C165" s="15" t="s">
        <x:v>709</x:v>
      </x:c>
      <x:c r="D165" s="15" t="s">
        <x:v>647</x:v>
      </x:c>
      <x:c r="E165" s="6">
        <x:v>46850</x:v>
      </x:c>
      <x:c r="F165" s="6">
        <x:v>799770</x:v>
      </x:c>
      <x:c r="G165" s="9">
        <x:v>5.8570000000000004E-2</x:v>
      </x:c>
    </x:row>
    <x:row r="166">
      <x:c r="A166" s="5">
        <x:v>2016</x:v>
      </x:c>
      <x:c r="B166" s="15" t="s">
        <x:v>687</x:v>
      </x:c>
      <x:c r="C166" s="15" t="s">
        <x:v>688</x:v>
      </x:c>
      <x:c r="D166" s="15" t="s">
        <x:v>689</x:v>
      </x:c>
      <x:c r="E166" s="6">
        <x:v>16720</x:v>
      </x:c>
      <x:c r="F166" s="6">
        <x:v>271350</x:v>
      </x:c>
      <x:c r="G166" s="9">
        <x:v>6.1609999999999998E-2</x:v>
      </x:c>
    </x:row>
    <x:row r="167">
      <x:c r="A167" s="5">
        <x:v>2016</x:v>
      </x:c>
      <x:c r="B167" s="15" t="s">
        <x:v>658</x:v>
      </x:c>
      <x:c r="C167" s="15" t="s">
        <x:v>659</x:v>
      </x:c>
      <x:c r="D167" s="15" t="s">
        <x:v>647</x:v>
      </x:c>
      <x:c r="E167" s="6">
        <x:v>97670</x:v>
      </x:c>
      <x:c r="F167" s="6">
        <x:v>1436830</x:v>
      </x:c>
      <x:c r="G167" s="9">
        <x:v>6.7970000000000003E-2</x:v>
      </x:c>
    </x:row>
    <x:row r="168">
      <x:c r="A168" s="5">
        <x:v>2016</x:v>
      </x:c>
      <x:c r="B168" s="15" t="s">
        <x:v>760</x:v>
      </x:c>
      <x:c r="C168" s="15" t="s">
        <x:v>761</x:v>
      </x:c>
      <x:c r="D168" s="15" t="s">
        <x:v>649</x:v>
      </x:c>
      <x:c r="E168" s="6">
        <x:v>35370</x:v>
      </x:c>
      <x:c r="F168" s="6">
        <x:v>628770</x:v>
      </x:c>
      <x:c r="G168" s="9">
        <x:v>5.6260000000000004E-2</x:v>
      </x:c>
    </x:row>
    <x:row r="169">
      <x:c r="A169" s="5">
        <x:v>2016</x:v>
      </x:c>
      <x:c r="B169" s="15" t="s">
        <x:v>789</x:v>
      </x:c>
      <x:c r="C169" s="15" t="s">
        <x:v>790</x:v>
      </x:c>
      <x:c r="D169" s="15" t="s">
        <x:v>644</x:v>
      </x:c>
      <x:c r="E169" s="6">
        <x:v>33780</x:v>
      </x:c>
      <x:c r="F169" s="6">
        <x:v>650300</x:v>
      </x:c>
      <x:c r="G169" s="9">
        <x:v>5.194E-2</x:v>
      </x:c>
    </x:row>
    <x:row r="170">
      <x:c r="A170" s="5">
        <x:v>2016</x:v>
      </x:c>
      <x:c r="B170" s="15" t="s">
        <x:v>734</x:v>
      </x:c>
      <x:c r="C170" s="15" t="s">
        <x:v>735</x:v>
      </x:c>
      <x:c r="D170" s="15" t="s">
        <x:v>671</x:v>
      </x:c>
      <x:c r="E170" s="6">
        <x:v>13590</x:v>
      </x:c>
      <x:c r="F170" s="6">
        <x:v>225810</x:v>
      </x:c>
      <x:c r="G170" s="9">
        <x:v>6.0179999999999997E-2</x:v>
      </x:c>
    </x:row>
    <x:row r="171">
      <x:c r="A171" s="5">
        <x:v>2016</x:v>
      </x:c>
      <x:c r="B171" s="15" t="s">
        <x:v>695</x:v>
      </x:c>
      <x:c r="C171" s="15" t="s">
        <x:v>696</x:v>
      </x:c>
      <x:c r="D171" s="15" t="s">
        <x:v>671</x:v>
      </x:c>
      <x:c r="E171" s="6">
        <x:v>29690</x:v>
      </x:c>
      <x:c r="F171" s="6">
        <x:v>465290</x:v>
      </x:c>
      <x:c r="G171" s="9">
        <x:v>6.3799999999999996E-2</x:v>
      </x:c>
    </x:row>
    <x:row r="172">
      <x:c r="A172" s="5">
        <x:v>2016</x:v>
      </x:c>
      <x:c r="B172" s="15" t="s">
        <x:v>699</x:v>
      </x:c>
      <x:c r="C172" s="15" t="s">
        <x:v>700</x:v>
      </x:c>
      <x:c r="D172" s="15" t="s">
        <x:v>651</x:v>
      </x:c>
      <x:c r="E172" s="6">
        <x:v>69600</x:v>
      </x:c>
      <x:c r="F172" s="6">
        <x:v>1072990</x:v>
      </x:c>
      <x:c r="G172" s="9">
        <x:v>6.4860000000000001E-2</x:v>
      </x:c>
    </x:row>
    <x:row r="173">
      <x:c r="A173" s="5">
        <x:v>2016</x:v>
      </x:c>
      <x:c r="B173" s="15" t="s">
        <x:v>677</x:v>
      </x:c>
      <x:c r="C173" s="15" t="s">
        <x:v>678</x:v>
      </x:c>
      <x:c r="D173" s="15" t="s">
        <x:v>651</x:v>
      </x:c>
      <x:c r="E173" s="6">
        <x:v>47560</x:v>
      </x:c>
      <x:c r="F173" s="6">
        <x:v>727490</x:v>
      </x:c>
      <x:c r="G173" s="9">
        <x:v>6.5380000000000008E-2</x:v>
      </x:c>
    </x:row>
    <x:row r="174">
      <x:c r="A174" s="5">
        <x:v>2016</x:v>
      </x:c>
      <x:c r="B174" s="15" t="s">
        <x:v>791</x:v>
      </x:c>
      <x:c r="C174" s="15" t="s">
        <x:v>792</x:v>
      </x:c>
      <x:c r="D174" s="15" t="s">
        <x:v>649</x:v>
      </x:c>
      <x:c r="E174" s="6">
        <x:v>88580</x:v>
      </x:c>
      <x:c r="F174" s="6">
        <x:v>1791680</x:v>
      </x:c>
      <x:c r="G174" s="9">
        <x:v>4.9439999999999998E-2</x:v>
      </x:c>
    </x:row>
    <x:row r="175">
      <x:c r="A175" s="5">
        <x:v>2016</x:v>
      </x:c>
      <x:c r="B175" s="15" t="s">
        <x:v>664</x:v>
      </x:c>
      <x:c r="C175" s="15" t="s">
        <x:v>665</x:v>
      </x:c>
      <x:c r="D175" s="15" t="s">
        <x:v>640</x:v>
      </x:c>
      <x:c r="E175" s="6">
        <x:v>14770</x:v>
      </x:c>
      <x:c r="F175" s="6">
        <x:v>230790</x:v>
      </x:c>
      <x:c r="G175" s="9">
        <x:v>6.4000000000000001E-2</x:v>
      </x:c>
    </x:row>
    <x:row r="176">
      <x:c r="A176" s="5">
        <x:v>2016</x:v>
      </x:c>
      <x:c r="B176" s="15" t="s">
        <x:v>660</x:v>
      </x:c>
      <x:c r="C176" s="15" t="s">
        <x:v>661</x:v>
      </x:c>
      <x:c r="D176" s="15" t="s">
        <x:v>640</x:v>
      </x:c>
      <x:c r="E176" s="6">
        <x:v>37110</x:v>
      </x:c>
      <x:c r="F176" s="6">
        <x:v>533110</x:v>
      </x:c>
      <x:c r="G176" s="9">
        <x:v>6.9599999999999995E-2</x:v>
      </x:c>
    </x:row>
    <x:row r="177">
      <x:c r="A177" s="5">
        <x:v>2016</x:v>
      </x:c>
      <x:c r="B177" s="15" t="s">
        <x:v>732</x:v>
      </x:c>
      <x:c r="C177" s="15" t="s">
        <x:v>733</x:v>
      </x:c>
      <x:c r="D177" s="15" t="s">
        <x:v>652</x:v>
      </x:c>
      <x:c r="E177" s="6">
        <x:v>31240</x:v>
      </x:c>
      <x:c r="F177" s="6">
        <x:v>550450</x:v>
      </x:c>
      <x:c r="G177" s="9">
        <x:v>5.6760000000000005E-2</x:v>
      </x:c>
    </x:row>
    <x:row r="178">
      <x:c r="A178" s="5">
        <x:v>2016</x:v>
      </x:c>
      <x:c r="B178" s="15" t="s">
        <x:v>807</x:v>
      </x:c>
      <x:c r="C178" s="15" t="s">
        <x:v>808</x:v>
      </x:c>
      <x:c r="D178" s="15" t="s">
        <x:v>649</x:v>
      </x:c>
      <x:c r="E178" s="6">
        <x:v>19320</x:v>
      </x:c>
      <x:c r="F178" s="6">
        <x:v>419220</x:v>
      </x:c>
      <x:c r="G178" s="9">
        <x:v>4.6100000000000002E-2</x:v>
      </x:c>
    </x:row>
    <x:row r="179">
      <x:c r="A179" s="5">
        <x:v>2016</x:v>
      </x:c>
      <x:c r="B179" s="15" t="s">
        <x:v>817</x:v>
      </x:c>
      <x:c r="C179" s="15" t="s">
        <x:v>818</x:v>
      </x:c>
      <x:c r="D179" s="15" t="s">
        <x:v>649</x:v>
      </x:c>
      <x:c r="E179" s="6">
        <x:v>31130</x:v>
      </x:c>
      <x:c r="F179" s="6">
        <x:v>753380</x:v>
      </x:c>
      <x:c r="G179" s="9">
        <x:v>4.1319999999999996E-2</x:v>
      </x:c>
    </x:row>
    <x:row r="180">
      <x:c r="A180" s="5">
        <x:v>2016</x:v>
      </x:c>
      <x:c r="B180" s="15" t="s">
        <x:v>644</x:v>
      </x:c>
      <x:c r="C180" s="15" t="s">
        <x:v>815</x:v>
      </x:c>
      <x:c r="D180" s="15" t="s">
        <x:v>670</x:v>
      </x:c>
      <x:c r="E180" s="6">
        <x:v>90070</x:v>
      </x:c>
      <x:c r="F180" s="6">
        <x:v>2087250</x:v>
      </x:c>
      <x:c r="G180" s="9">
        <x:v>4.3150000000000001E-2</x:v>
      </x:c>
    </x:row>
    <x:row r="181">
      <x:c r="A181" s="5">
        <x:v>2016</x:v>
      </x:c>
      <x:c r="B181" s="15" t="s">
        <x:v>671</x:v>
      </x:c>
      <x:c r="C181" s="15" t="s">
        <x:v>714</x:v>
      </x:c>
      <x:c r="D181" s="15" t="s">
        <x:v>689</x:v>
      </x:c>
      <x:c r="E181" s="6">
        <x:v>73050</x:v>
      </x:c>
      <x:c r="F181" s="6">
        <x:v>1217490</x:v>
      </x:c>
      <x:c r="G181" s="9">
        <x:v>0.06</x:v>
      </x:c>
    </x:row>
    <x:row r="182">
      <x:c r="A182" s="5">
        <x:v>2016</x:v>
      </x:c>
      <x:c r="B182" s="15" t="s">
        <x:v>762</x:v>
      </x:c>
      <x:c r="C182" s="15" t="s">
        <x:v>763</x:v>
      </x:c>
      <x:c r="D182" s="15" t="s">
        <x:v>670</x:v>
      </x:c>
      <x:c r="E182" s="6">
        <x:v>72560</x:v>
      </x:c>
      <x:c r="F182" s="6">
        <x:v>1355420</x:v>
      </x:c>
      <x:c r="G182" s="9">
        <x:v>5.3529999999999994E-2</x:v>
      </x:c>
    </x:row>
    <x:row r="183">
      <x:c r="A183" s="5">
        <x:v>2016</x:v>
      </x:c>
      <x:c r="B183" s="15" t="s">
        <x:v>805</x:v>
      </x:c>
      <x:c r="C183" s="15" t="s">
        <x:v>806</x:v>
      </x:c>
      <x:c r="D183" s="15" t="s">
        <x:v>670</x:v>
      </x:c>
      <x:c r="E183" s="6">
        <x:v>64200</x:v>
      </x:c>
      <x:c r="F183" s="6">
        <x:v>1409140</x:v>
      </x:c>
      <x:c r="G183" s="9">
        <x:v>4.5560000000000003E-2</x:v>
      </x:c>
    </x:row>
    <x:row r="184">
      <x:c r="A184" s="5">
        <x:v>2016</x:v>
      </x:c>
      <x:c r="B184" s="15" t="s">
        <x:v>715</x:v>
      </x:c>
      <x:c r="C184" s="15" t="s">
        <x:v>716</x:v>
      </x:c>
      <x:c r="D184" s="15" t="s">
        <x:v>644</x:v>
      </x:c>
      <x:c r="E184" s="6">
        <x:v>20960</x:v>
      </x:c>
      <x:c r="F184" s="6">
        <x:v>362310</x:v>
      </x:c>
      <x:c r="G184" s="9">
        <x:v>5.7859999999999995E-2</x:v>
      </x:c>
    </x:row>
    <x:row r="185">
      <x:c r="A185" s="5">
        <x:v>2016</x:v>
      </x:c>
      <x:c r="B185" s="15" t="s">
        <x:v>662</x:v>
      </x:c>
      <x:c r="C185" s="15" t="s">
        <x:v>663</x:v>
      </x:c>
      <x:c r="D185" s="15" t="s">
        <x:v>647</x:v>
      </x:c>
      <x:c r="E185" s="6">
        <x:v>36450</x:v>
      </x:c>
      <x:c r="F185" s="6">
        <x:v>548380</x:v>
      </x:c>
      <x:c r="G185" s="9">
        <x:v>6.6470000000000001E-2</x:v>
      </x:c>
    </x:row>
    <x:row r="186">
      <x:c r="A186" s="5">
        <x:v>2016</x:v>
      </x:c>
      <x:c r="B186" s="15" t="s">
        <x:v>752</x:v>
      </x:c>
      <x:c r="C186" s="15" t="s">
        <x:v>753</x:v>
      </x:c>
      <x:c r="D186" s="15" t="s">
        <x:v>671</x:v>
      </x:c>
      <x:c r="E186" s="6">
        <x:v>21400</x:v>
      </x:c>
      <x:c r="F186" s="6">
        <x:v>380550</x:v>
      </x:c>
      <x:c r="G186" s="9">
        <x:v>5.6230000000000002E-2</x:v>
      </x:c>
    </x:row>
    <x:row r="187">
      <x:c r="A187" s="5">
        <x:v>2016</x:v>
      </x:c>
      <x:c r="B187" s="15" t="s">
        <x:v>756</x:v>
      </x:c>
      <x:c r="C187" s="15" t="s">
        <x:v>757</x:v>
      </x:c>
      <x:c r="D187" s="15" t="s">
        <x:v>671</x:v>
      </x:c>
      <x:c r="E187" s="6">
        <x:v>14250</x:v>
      </x:c>
      <x:c r="F187" s="6">
        <x:v>254850</x:v>
      </x:c>
      <x:c r="G187" s="9">
        <x:v>5.5930000000000001E-2</x:v>
      </x:c>
    </x:row>
    <x:row r="188">
      <x:c r="A188" s="5">
        <x:v>2016</x:v>
      </x:c>
      <x:c r="B188" s="15" t="s">
        <x:v>758</x:v>
      </x:c>
      <x:c r="C188" s="15" t="s">
        <x:v>759</x:v>
      </x:c>
      <x:c r="D188" s="15" t="s">
        <x:v>672</x:v>
      </x:c>
      <x:c r="E188" s="6">
        <x:v>62860</x:v>
      </x:c>
      <x:c r="F188" s="6">
        <x:v>1068660</x:v>
      </x:c>
      <x:c r="G188" s="9">
        <x:v>5.8819999999999997E-2</x:v>
      </x:c>
    </x:row>
    <x:row r="189">
      <x:c r="A189" s="5">
        <x:v>2016</x:v>
      </x:c>
      <x:c r="B189" s="15" t="s">
        <x:v>649</x:v>
      </x:c>
      <x:c r="C189" s="15" t="s">
        <x:v>731</x:v>
      </x:c>
      <x:c r="D189" s="15" t="s">
        <x:v>672</x:v>
      </x:c>
      <x:c r="E189" s="6">
        <x:v>33850</x:v>
      </x:c>
      <x:c r="F189" s="6">
        <x:v>561910</x:v>
      </x:c>
      <x:c r="G189" s="9">
        <x:v>6.0240000000000002E-2</x:v>
      </x:c>
    </x:row>
    <x:row r="190">
      <x:c r="A190" s="5">
        <x:v>2016</x:v>
      </x:c>
      <x:c r="B190" s="15" t="s">
        <x:v>754</x:v>
      </x:c>
      <x:c r="C190" s="15" t="s">
        <x:v>755</x:v>
      </x:c>
      <x:c r="D190" s="15" t="s">
        <x:v>652</x:v>
      </x:c>
      <x:c r="E190" s="6">
        <x:v>35250</x:v>
      </x:c>
      <x:c r="F190" s="6">
        <x:v>661130</x:v>
      </x:c>
      <x:c r="G190" s="9">
        <x:v>5.3319999999999999E-2</x:v>
      </x:c>
    </x:row>
    <x:row r="191">
      <x:c r="A191" s="5">
        <x:v>2016</x:v>
      </x:c>
      <x:c r="B191" s="15" t="s">
        <x:v>750</x:v>
      </x:c>
      <x:c r="C191" s="15" t="s">
        <x:v>751</x:v>
      </x:c>
      <x:c r="D191" s="15" t="s">
        <x:v>644</x:v>
      </x:c>
      <x:c r="E191" s="6">
        <x:v>21990</x:v>
      </x:c>
      <x:c r="F191" s="6">
        <x:v>416200</x:v>
      </x:c>
      <x:c r="G191" s="9">
        <x:v>5.2839999999999998E-2</x:v>
      </x:c>
    </x:row>
    <x:row r="192">
      <x:c r="A192" s="5">
        <x:v>2016</x:v>
      </x:c>
      <x:c r="B192" s="15" t="s">
        <x:v>683</x:v>
      </x:c>
      <x:c r="C192" s="15" t="s">
        <x:v>684</x:v>
      </x:c>
      <x:c r="D192" s="15" t="s">
        <x:v>644</x:v>
      </x:c>
      <x:c r="E192" s="6">
        <x:v>22740</x:v>
      </x:c>
      <x:c r="F192" s="6">
        <x:v>351490</x:v>
      </x:c>
      <x:c r="G192" s="9">
        <x:v>6.4689999999999998E-2</x:v>
      </x:c>
    </x:row>
    <x:row r="193">
      <x:c r="A193" s="5">
        <x:v>2016</x:v>
      </x:c>
      <x:c r="B193" s="15" t="s">
        <x:v>675</x:v>
      </x:c>
      <x:c r="C193" s="15" t="s">
        <x:v>676</x:v>
      </x:c>
      <x:c r="D193" s="15" t="s">
        <x:v>651</x:v>
      </x:c>
      <x:c r="E193" s="6">
        <x:v>23200</x:v>
      </x:c>
      <x:c r="F193" s="6">
        <x:v>361280</x:v>
      </x:c>
      <x:c r="G193" s="9">
        <x:v>6.4210000000000003E-2</x:v>
      </x:c>
    </x:row>
    <x:row r="194">
      <x:c r="A194" s="5">
        <x:v>2016</x:v>
      </x:c>
      <x:c r="B194" s="15" t="s">
        <x:v>655</x:v>
      </x:c>
      <x:c r="C194" s="15" t="s">
        <x:v>42</x:v>
      </x:c>
      <x:c r="D194" s="15" t="s">
        <x:v>640</x:v>
      </x:c>
      <x:c r="E194" s="6">
        <x:v>23800</x:v>
      </x:c>
      <x:c r="F194" s="6">
        <x:v>328190</x:v>
      </x:c>
      <x:c r="G194" s="9">
        <x:v>7.2520000000000001E-2</x:v>
      </x:c>
    </x:row>
    <x:row r="195">
      <x:c r="A195" s="5">
        <x:v>2016</x:v>
      </x:c>
      <x:c r="B195" s="15" t="s">
        <x:v>712</x:v>
      </x:c>
      <x:c r="C195" s="15" t="s">
        <x:v>713</x:v>
      </x:c>
      <x:c r="D195" s="15" t="s">
        <x:v>640</x:v>
      </x:c>
      <x:c r="E195" s="6">
        <x:v>7800</x:v>
      </x:c>
      <x:c r="F195" s="6">
        <x:v>136170</x:v>
      </x:c>
      <x:c r="G195" s="9">
        <x:v>5.7270000000000001E-2</x:v>
      </x:c>
    </x:row>
    <x:row r="196">
      <x:c r="A196" s="5">
        <x:v>2016</x:v>
      </x:c>
      <x:c r="B196" s="15" t="s">
        <x:v>784</x:v>
      </x:c>
      <x:c r="C196" s="15" t="s">
        <x:v>785</x:v>
      </x:c>
      <x:c r="D196" s="15" t="s">
        <x:v>670</x:v>
      </x:c>
      <x:c r="E196" s="6">
        <x:v>63270</x:v>
      </x:c>
      <x:c r="F196" s="6">
        <x:v>1250730</x:v>
      </x:c>
      <x:c r="G196" s="9">
        <x:v>5.058E-2</x:v>
      </x:c>
    </x:row>
    <x:row r="197">
      <x:c r="A197" s="5">
        <x:v>2016</x:v>
      </x:c>
      <x:c r="B197" s="15" t="s">
        <x:v>809</x:v>
      </x:c>
      <x:c r="C197" s="15" t="s">
        <x:v>810</x:v>
      </x:c>
      <x:c r="D197" s="15" t="s">
        <x:v>670</x:v>
      </x:c>
      <x:c r="E197" s="6">
        <x:v>68070</x:v>
      </x:c>
      <x:c r="F197" s="6">
        <x:v>1545180</x:v>
      </x:c>
      <x:c r="G197" s="9">
        <x:v>4.4050000000000006E-2</x:v>
      </x:c>
    </x:row>
    <x:row r="198">
      <x:c r="A198" s="5">
        <x:v>2016</x:v>
      </x:c>
      <x:c r="B198" s="15" t="s">
        <x:v>672</x:v>
      </x:c>
      <x:c r="C198" s="15" t="s">
        <x:v>673</x:v>
      </x:c>
      <x:c r="D198" s="15" t="s">
        <x:v>670</x:v>
      </x:c>
      <x:c r="E198" s="6">
        <x:v>99990</x:v>
      </x:c>
      <x:c r="F198" s="6">
        <x:v>1526880</x:v>
      </x:c>
      <x:c r="G198" s="9">
        <x:v>6.5490000000000007E-2</x:v>
      </x:c>
    </x:row>
    <x:row r="199">
      <x:c r="A199" s="5">
        <x:v>2016</x:v>
      </x:c>
      <x:c r="B199" s="15" t="s">
        <x:v>705</x:v>
      </x:c>
      <x:c r="C199" s="15" t="s">
        <x:v>780</x:v>
      </x:c>
      <x:c r="D199" s="15" t="s">
        <x:v>670</x:v>
      </x:c>
      <x:c r="E199" s="6">
        <x:v>69260</x:v>
      </x:c>
      <x:c r="F199" s="6">
        <x:v>1319790</x:v>
      </x:c>
      <x:c r="G199" s="9">
        <x:v>5.2479999999999999E-2</x:v>
      </x:c>
    </x:row>
    <x:row r="200">
      <x:c r="A200" s="5">
        <x:v>2016</x:v>
      </x:c>
      <x:c r="B200" s="15" t="s">
        <x:v>740</x:v>
      </x:c>
      <x:c r="C200" s="15" t="s">
        <x:v>741</x:v>
      </x:c>
      <x:c r="D200" s="15" t="s">
        <x:v>670</x:v>
      </x:c>
      <x:c r="E200" s="6">
        <x:v>68570</x:v>
      </x:c>
      <x:c r="F200" s="6">
        <x:v>1206980</x:v>
      </x:c>
      <x:c r="G200" s="9">
        <x:v>5.6809999999999999E-2</x:v>
      </x:c>
    </x:row>
    <x:row r="201">
      <x:c r="A201" s="5">
        <x:v>2016</x:v>
      </x:c>
      <x:c r="B201" s="15" t="s">
        <x:v>635</x:v>
      </x:c>
      <x:c r="C201" s="15" t="s">
        <x:v>10</x:v>
      </x:c>
      <x:c r="D201" s="15" t="s">
        <x:v>636</x:v>
      </x:c>
      <x:c r="E201" s="6">
        <x:v>39140</x:v>
      </x:c>
      <x:c r="F201" s="6">
        <x:v>382770</x:v>
      </x:c>
      <x:c r="G201" s="9">
        <x:v>0.10226</x:v>
      </x:c>
    </x:row>
    <x:row r="202">
      <x:c r="A202" s="5">
        <x:v>2016</x:v>
      </x:c>
      <x:c r="B202" s="15" t="s">
        <x:v>637</x:v>
      </x:c>
      <x:c r="C202" s="15" t="s">
        <x:v>14</x:v>
      </x:c>
      <x:c r="D202" s="15" t="s">
        <x:v>638</x:v>
      </x:c>
      <x:c r="E202" s="6">
        <x:v>33910</x:v>
      </x:c>
      <x:c r="F202" s="6">
        <x:v>360390</x:v>
      </x:c>
      <x:c r="G202" s="9">
        <x:v>9.4090000000000007E-2</x:v>
      </x:c>
    </x:row>
    <x:row r="203">
      <x:c r="A203" s="5">
        <x:v>2016</x:v>
      </x:c>
      <x:c r="B203" s="15" t="s">
        <x:v>749</x:v>
      </x:c>
      <x:c r="C203" s="15" t="s">
        <x:v>67</x:v>
      </x:c>
      <x:c r="D203" s="15" t="s">
        <x:v>648</x:v>
      </x:c>
      <x:c r="E203" s="6">
        <x:v>9750</x:v>
      </x:c>
      <x:c r="F203" s="6">
        <x:v>189420</x:v>
      </x:c>
      <x:c r="G203" s="9">
        <x:v>5.1470000000000002E-2</x:v>
      </x:c>
    </x:row>
    <x:row r="204">
      <x:c r="A204" s="5">
        <x:v>2016</x:v>
      </x:c>
      <x:c r="B204" s="15" t="s">
        <x:v>641</x:v>
      </x:c>
      <x:c r="C204" s="15" t="s">
        <x:v>20</x:v>
      </x:c>
      <x:c r="D204" s="15" t="s">
        <x:v>642</x:v>
      </x:c>
      <x:c r="E204" s="6">
        <x:v>71040</x:v>
      </x:c>
      <x:c r="F204" s="6">
        <x:v>876650</x:v>
      </x:c>
      <x:c r="G204" s="9">
        <x:v>8.1039999999999987E-2</x:v>
      </x:c>
    </x:row>
    <x:row r="205">
      <x:c r="A205" s="5">
        <x:v>2016</x:v>
      </x:c>
      <x:c r="B205" s="15" t="s">
        <x:v>783</x:v>
      </x:c>
      <x:c r="C205" s="15" t="s">
        <x:v>75</x:v>
      </x:c>
      <x:c r="D205" s="15" t="s">
        <x:v>774</x:v>
      </x:c>
      <x:c r="E205" s="6">
        <x:v>4710</x:v>
      </x:c>
      <x:c r="F205" s="6">
        <x:v>81880</x:v>
      </x:c>
      <x:c r="G205" s="9">
        <x:v>5.7519999999999995E-2</x:v>
      </x:c>
    </x:row>
    <x:row r="206">
      <x:c r="A206" s="5">
        <x:v>2017</x:v>
      </x:c>
      <x:c r="B206" s="15" t="s">
        <x:v>636</x:v>
      </x:c>
      <x:c r="C206" s="15" t="s">
        <x:v>786</x:v>
      </x:c>
      <x:c r="D206" s="15" t="s">
        <x:v>649</x:v>
      </x:c>
      <x:c r="E206" s="6">
        <x:v>29790</x:v>
      </x:c>
      <x:c r="F206" s="6">
        <x:v>590990</x:v>
      </x:c>
      <x:c r="G206" s="9">
        <x:v>5.0410000000000003E-2</x:v>
      </x:c>
    </x:row>
    <x:row r="207">
      <x:c r="A207" s="5">
        <x:v>2017</x:v>
      </x:c>
      <x:c r="B207" s="15" t="s">
        <x:v>638</x:v>
      </x:c>
      <x:c r="C207" s="15" t="s">
        <x:v>50</x:v>
      </x:c>
      <x:c r="D207" s="15" t="s">
        <x:v>647</x:v>
      </x:c>
      <x:c r="E207" s="6">
        <x:v>37640</x:v>
      </x:c>
      <x:c r="F207" s="6">
        <x:v>514680</x:v>
      </x:c>
      <x:c r="G207" s="9">
        <x:v>7.3130000000000001E-2</x:v>
      </x:c>
    </x:row>
    <x:row r="208">
      <x:c r="A208" s="5">
        <x:v>2017</x:v>
      </x:c>
      <x:c r="B208" s="15" t="s">
        <x:v>648</x:v>
      </x:c>
      <x:c r="C208" s="15" t="s">
        <x:v>46</x:v>
      </x:c>
      <x:c r="D208" s="15" t="s">
        <x:v>649</x:v>
      </x:c>
      <x:c r="E208" s="6">
        <x:v>24290</x:v>
      </x:c>
      <x:c r="F208" s="6">
        <x:v>325650</x:v>
      </x:c>
      <x:c r="G208" s="9">
        <x:v>7.458999999999999E-2</x:v>
      </x:c>
    </x:row>
    <x:row r="209">
      <x:c r="A209" s="5">
        <x:v>2017</x:v>
      </x:c>
      <x:c r="B209" s="15" t="s">
        <x:v>642</x:v>
      </x:c>
      <x:c r="C209" s="15" t="s">
        <x:v>748</x:v>
      </x:c>
      <x:c r="D209" s="15" t="s">
        <x:v>672</x:v>
      </x:c>
      <x:c r="E209" s="6">
        <x:v>9590</x:v>
      </x:c>
      <x:c r="F209" s="6">
        <x:v>160030</x:v>
      </x:c>
      <x:c r="G209" s="9">
        <x:v>5.9950000000000003E-2</x:v>
      </x:c>
    </x:row>
    <x:row r="210">
      <x:c r="A210" s="5">
        <x:v>2017</x:v>
      </x:c>
      <x:c r="B210" s="15" t="s">
        <x:v>800</x:v>
      </x:c>
      <x:c r="C210" s="15" t="s">
        <x:v>801</x:v>
      </x:c>
      <x:c r="D210" s="15" t="s">
        <x:v>672</x:v>
      </x:c>
      <x:c r="E210" s="6">
        <x:v>6710</x:v>
      </x:c>
      <x:c r="F210" s="6">
        <x:v>135800</x:v>
      </x:c>
      <x:c r="G210" s="9">
        <x:v>4.9409999999999996E-2</x:v>
      </x:c>
    </x:row>
    <x:row r="211">
      <x:c r="A211" s="5">
        <x:v>2017</x:v>
      </x:c>
      <x:c r="B211" s="15" t="s">
        <x:v>774</x:v>
      </x:c>
      <x:c r="C211" s="15" t="s">
        <x:v>775</x:v>
      </x:c>
      <x:c r="D211" s="15" t="s">
        <x:v>672</x:v>
      </x:c>
      <x:c r="E211" s="6">
        <x:v>62540</x:v>
      </x:c>
      <x:c r="F211" s="6">
        <x:v>1088250</x:v>
      </x:c>
      <x:c r="G211" s="9">
        <x:v>5.7460000000000004E-2</x:v>
      </x:c>
    </x:row>
    <x:row r="212">
      <x:c r="A212" s="5">
        <x:v>2017</x:v>
      </x:c>
      <x:c r="B212" s="15" t="s">
        <x:v>742</x:v>
      </x:c>
      <x:c r="C212" s="15" t="s">
        <x:v>743</x:v>
      </x:c>
      <x:c r="D212" s="15" t="s">
        <x:v>649</x:v>
      </x:c>
      <x:c r="E212" s="6">
        <x:v>19160</x:v>
      </x:c>
      <x:c r="F212" s="6">
        <x:v>317810</x:v>
      </x:c>
      <x:c r="G212" s="9">
        <x:v>6.0270000000000004E-2</x:v>
      </x:c>
    </x:row>
    <x:row r="213">
      <x:c r="A213" s="5">
        <x:v>2017</x:v>
      </x:c>
      <x:c r="B213" s="15" t="s">
        <x:v>653</x:v>
      </x:c>
      <x:c r="C213" s="15" t="s">
        <x:v>97</x:v>
      </x:c>
      <x:c r="D213" s="15" t="s">
        <x:v>651</x:v>
      </x:c>
      <x:c r="E213" s="6">
        <x:v>19200</x:v>
      </x:c>
      <x:c r="F213" s="6">
        <x:v>263800</x:v>
      </x:c>
      <x:c r="G213" s="9">
        <x:v>7.2779999999999997E-2</x:v>
      </x:c>
    </x:row>
    <x:row r="214">
      <x:c r="A214" s="5">
        <x:v>2017</x:v>
      </x:c>
      <x:c r="B214" s="15" t="s">
        <x:v>717</x:v>
      </x:c>
      <x:c r="C214" s="15" t="s">
        <x:v>718</x:v>
      </x:c>
      <x:c r="D214" s="15" t="s">
        <x:v>671</x:v>
      </x:c>
      <x:c r="E214" s="6">
        <x:v>9350</x:v>
      </x:c>
      <x:c r="F214" s="6">
        <x:v>148420</x:v>
      </x:c>
      <x:c r="G214" s="9">
        <x:v>6.3030000000000003E-2</x:v>
      </x:c>
    </x:row>
    <x:row r="215">
      <x:c r="A215" s="5">
        <x:v>2017</x:v>
      </x:c>
      <x:c r="B215" s="15" t="s">
        <x:v>668</x:v>
      </x:c>
      <x:c r="C215" s="15" t="s">
        <x:v>669</x:v>
      </x:c>
      <x:c r="D215" s="15" t="s">
        <x:v>651</x:v>
      </x:c>
      <x:c r="E215" s="6">
        <x:v>19860</x:v>
      </x:c>
      <x:c r="F215" s="6">
        <x:v>294350</x:v>
      </x:c>
      <x:c r="G215" s="9">
        <x:v>6.7460000000000006E-2</x:v>
      </x:c>
    </x:row>
    <x:row r="216">
      <x:c r="A216" s="5">
        <x:v>2017</x:v>
      </x:c>
      <x:c r="B216" s="15" t="s">
        <x:v>670</x:v>
      </x:c>
      <x:c r="C216" s="15" t="s">
        <x:v>89</x:v>
      </x:c>
      <x:c r="D216" s="15" t="s">
        <x:v>671</x:v>
      </x:c>
      <x:c r="E216" s="6">
        <x:v>24810</x:v>
      </x:c>
      <x:c r="F216" s="6">
        <x:v>361690</x:v>
      </x:c>
      <x:c r="G216" s="9">
        <x:v>6.8610000000000004E-2</x:v>
      </x:c>
    </x:row>
    <x:row r="217">
      <x:c r="A217" s="5">
        <x:v>2017</x:v>
      </x:c>
      <x:c r="B217" s="15" t="s">
        <x:v>768</x:v>
      </x:c>
      <x:c r="C217" s="15" t="s">
        <x:v>769</x:v>
      </x:c>
      <x:c r="D217" s="15" t="s">
        <x:v>671</x:v>
      </x:c>
      <x:c r="E217" s="6">
        <x:v>15110</x:v>
      </x:c>
      <x:c r="F217" s="6">
        <x:v>267800</x:v>
      </x:c>
      <x:c r="G217" s="9">
        <x:v>5.6420000000000005E-2</x:v>
      </x:c>
    </x:row>
    <x:row r="218">
      <x:c r="A218" s="5">
        <x:v>2017</x:v>
      </x:c>
      <x:c r="B218" s="15" t="s">
        <x:v>744</x:v>
      </x:c>
      <x:c r="C218" s="15" t="s">
        <x:v>745</x:v>
      </x:c>
      <x:c r="D218" s="15" t="s">
        <x:v>672</x:v>
      </x:c>
      <x:c r="E218" s="6">
        <x:v>123780</x:v>
      </x:c>
      <x:c r="F218" s="6">
        <x:v>2050620</x:v>
      </x:c>
      <x:c r="G218" s="9">
        <x:v>6.0359999999999997E-2</x:v>
      </x:c>
    </x:row>
    <x:row r="219">
      <x:c r="A219" s="5">
        <x:v>2017</x:v>
      </x:c>
      <x:c r="B219" s="15" t="s">
        <x:v>772</x:v>
      </x:c>
      <x:c r="C219" s="15" t="s">
        <x:v>773</x:v>
      </x:c>
      <x:c r="D219" s="15" t="s">
        <x:v>689</x:v>
      </x:c>
      <x:c r="E219" s="6">
        <x:v>36030</x:v>
      </x:c>
      <x:c r="F219" s="6">
        <x:v>671020</x:v>
      </x:c>
      <x:c r="G219" s="9">
        <x:v>5.3689999999999995E-2</x:v>
      </x:c>
    </x:row>
    <x:row r="220">
      <x:c r="A220" s="5">
        <x:v>2017</x:v>
      </x:c>
      <x:c r="B220" s="15" t="s">
        <x:v>692</x:v>
      </x:c>
      <x:c r="C220" s="15" t="s">
        <x:v>693</x:v>
      </x:c>
      <x:c r="D220" s="15" t="s">
        <x:v>649</x:v>
      </x:c>
      <x:c r="E220" s="6">
        <x:v>8810</x:v>
      </x:c>
      <x:c r="F220" s="6">
        <x:v>137460</x:v>
      </x:c>
      <x:c r="G220" s="9">
        <x:v>6.4100000000000004E-2</x:v>
      </x:c>
    </x:row>
    <x:row r="221">
      <x:c r="A221" s="5">
        <x:v>2017</x:v>
      </x:c>
      <x:c r="B221" s="15" t="s">
        <x:v>701</x:v>
      </x:c>
      <x:c r="C221" s="15" t="s">
        <x:v>702</x:v>
      </x:c>
      <x:c r="D221" s="15" t="s">
        <x:v>644</x:v>
      </x:c>
      <x:c r="E221" s="6">
        <x:v>20870</x:v>
      </x:c>
      <x:c r="F221" s="6">
        <x:v>337340</x:v>
      </x:c>
      <x:c r="G221" s="9">
        <x:v>6.1859999999999998E-2</x:v>
      </x:c>
    </x:row>
    <x:row r="222">
      <x:c r="A222" s="5">
        <x:v>2017</x:v>
      </x:c>
      <x:c r="B222" s="15" t="s">
        <x:v>727</x:v>
      </x:c>
      <x:c r="C222" s="15" t="s">
        <x:v>728</x:v>
      </x:c>
      <x:c r="D222" s="15" t="s">
        <x:v>644</x:v>
      </x:c>
      <x:c r="E222" s="6">
        <x:v>38050</x:v>
      </x:c>
      <x:c r="F222" s="6">
        <x:v>639020</x:v>
      </x:c>
      <x:c r="G222" s="9">
        <x:v>5.9539999999999996E-2</x:v>
      </x:c>
    </x:row>
    <x:row r="223">
      <x:c r="A223" s="5">
        <x:v>2017</x:v>
      </x:c>
      <x:c r="B223" s="15" t="s">
        <x:v>654</x:v>
      </x:c>
      <x:c r="C223" s="15" t="s">
        <x:v>86</x:v>
      </x:c>
      <x:c r="D223" s="15" t="s">
        <x:v>646</x:v>
      </x:c>
      <x:c r="E223" s="6">
        <x:v>21530</x:v>
      </x:c>
      <x:c r="F223" s="6">
        <x:v>294130</x:v>
      </x:c>
      <x:c r="G223" s="9">
        <x:v>7.3200000000000001E-2</x:v>
      </x:c>
    </x:row>
    <x:row r="224">
      <x:c r="A224" s="5">
        <x:v>2017</x:v>
      </x:c>
      <x:c r="B224" s="15" t="s">
        <x:v>681</x:v>
      </x:c>
      <x:c r="C224" s="15" t="s">
        <x:v>682</x:v>
      </x:c>
      <x:c r="D224" s="15" t="s">
        <x:v>644</x:v>
      </x:c>
      <x:c r="E224" s="6">
        <x:v>15460</x:v>
      </x:c>
      <x:c r="F224" s="6">
        <x:v>230000</x:v>
      </x:c>
      <x:c r="G224" s="9">
        <x:v>6.719E-2</x:v>
      </x:c>
    </x:row>
    <x:row r="225">
      <x:c r="A225" s="5">
        <x:v>2017</x:v>
      </x:c>
      <x:c r="B225" s="15" t="s">
        <x:v>746</x:v>
      </x:c>
      <x:c r="C225" s="15" t="s">
        <x:v>747</x:v>
      </x:c>
      <x:c r="D225" s="15" t="s">
        <x:v>640</x:v>
      </x:c>
      <x:c r="E225" s="6">
        <x:v>29560</x:v>
      </x:c>
      <x:c r="F225" s="6">
        <x:v>506910</x:v>
      </x:c>
      <x:c r="G225" s="9">
        <x:v>5.8299999999999998E-2</x:v>
      </x:c>
    </x:row>
    <x:row r="226">
      <x:c r="A226" s="5">
        <x:v>2017</x:v>
      </x:c>
      <x:c r="B226" s="15" t="s">
        <x:v>797</x:v>
      </x:c>
      <x:c r="C226" s="15" t="s">
        <x:v>798</x:v>
      </x:c>
      <x:c r="D226" s="15" t="s">
        <x:v>799</x:v>
      </x:c>
      <x:c r="E226" s="6">
        <x:v>27240</x:v>
      </x:c>
      <x:c r="F226" s="6">
        <x:v>585650</x:v>
      </x:c>
      <x:c r="G226" s="9">
        <x:v>4.6509999999999996E-2</x:v>
      </x:c>
    </x:row>
    <x:row r="227">
      <x:c r="A227" s="5">
        <x:v>2017</x:v>
      </x:c>
      <x:c r="B227" s="15" t="s">
        <x:v>643</x:v>
      </x:c>
      <x:c r="C227" s="15" t="s">
        <x:v>30</x:v>
      </x:c>
      <x:c r="D227" s="15" t="s">
        <x:v>644</x:v>
      </x:c>
      <x:c r="E227" s="6">
        <x:v>8970</x:v>
      </x:c>
      <x:c r="F227" s="6">
        <x:v>109620</x:v>
      </x:c>
      <x:c r="G227" s="9">
        <x:v>8.1860000000000002E-2</x:v>
      </x:c>
    </x:row>
    <x:row r="228">
      <x:c r="A228" s="5">
        <x:v>2017</x:v>
      </x:c>
      <x:c r="B228" s="15" t="s">
        <x:v>646</x:v>
      </x:c>
      <x:c r="C228" s="15" t="s">
        <x:v>674</x:v>
      </x:c>
      <x:c r="D228" s="15" t="s">
        <x:v>644</x:v>
      </x:c>
      <x:c r="E228" s="6">
        <x:v>27130</x:v>
      </x:c>
      <x:c r="F228" s="6">
        <x:v>395420</x:v>
      </x:c>
      <x:c r="G228" s="9">
        <x:v>6.862E-2</x:v>
      </x:c>
    </x:row>
    <x:row r="229">
      <x:c r="A229" s="5">
        <x:v>2017</x:v>
      </x:c>
      <x:c r="B229" s="15" t="s">
        <x:v>766</x:v>
      </x:c>
      <x:c r="C229" s="15" t="s">
        <x:v>767</x:v>
      </x:c>
      <x:c r="D229" s="15" t="s">
        <x:v>640</x:v>
      </x:c>
      <x:c r="E229" s="6">
        <x:v>28620</x:v>
      </x:c>
      <x:c r="F229" s="6">
        <x:v>524260</x:v>
      </x:c>
      <x:c r="G229" s="9">
        <x:v>5.4600000000000003E-2</x:v>
      </x:c>
    </x:row>
    <x:row r="230">
      <x:c r="A230" s="5">
        <x:v>2017</x:v>
      </x:c>
      <x:c r="B230" s="15" t="s">
        <x:v>764</x:v>
      </x:c>
      <x:c r="C230" s="15" t="s">
        <x:v>765</x:v>
      </x:c>
      <x:c r="D230" s="15" t="s">
        <x:v>649</x:v>
      </x:c>
      <x:c r="E230" s="6">
        <x:v>29550</x:v>
      </x:c>
      <x:c r="F230" s="6">
        <x:v>507010</x:v>
      </x:c>
      <x:c r="G230" s="9">
        <x:v>5.8270000000000002E-2</x:v>
      </x:c>
    </x:row>
    <x:row r="231">
      <x:c r="A231" s="5">
        <x:v>2017</x:v>
      </x:c>
      <x:c r="B231" s="15" t="s">
        <x:v>640</x:v>
      </x:c>
      <x:c r="C231" s="15" t="s">
        <x:v>724</x:v>
      </x:c>
      <x:c r="D231" s="15" t="s">
        <x:v>689</x:v>
      </x:c>
      <x:c r="E231" s="6">
        <x:v>34250</x:v>
      </x:c>
      <x:c r="F231" s="6">
        <x:v>579980</x:v>
      </x:c>
      <x:c r="G231" s="9">
        <x:v>5.9050000000000005E-2</x:v>
      </x:c>
    </x:row>
    <x:row r="232">
      <x:c r="A232" s="5">
        <x:v>2017</x:v>
      </x:c>
      <x:c r="B232" s="15" t="s">
        <x:v>689</x:v>
      </x:c>
      <x:c r="C232" s="15" t="s">
        <x:v>694</x:v>
      </x:c>
      <x:c r="D232" s="15" t="s">
        <x:v>646</x:v>
      </x:c>
      <x:c r="E232" s="6">
        <x:v>25980</x:v>
      </x:c>
      <x:c r="F232" s="6">
        <x:v>417380</x:v>
      </x:c>
      <x:c r="G232" s="9">
        <x:v>6.225E-2</x:v>
      </x:c>
    </x:row>
    <x:row r="233">
      <x:c r="A233" s="5">
        <x:v>2017</x:v>
      </x:c>
      <x:c r="B233" s="15" t="s">
        <x:v>811</x:v>
      </x:c>
      <x:c r="C233" s="15" t="s">
        <x:v>812</x:v>
      </x:c>
      <x:c r="D233" s="15" t="s">
        <x:v>799</x:v>
      </x:c>
      <x:c r="E233" s="6">
        <x:v>38000</x:v>
      </x:c>
      <x:c r="F233" s="6">
        <x:v>888490</x:v>
      </x:c>
      <x:c r="G233" s="9">
        <x:v>4.2770000000000002E-2</x:v>
      </x:c>
    </x:row>
    <x:row r="234">
      <x:c r="A234" s="5">
        <x:v>2017</x:v>
      </x:c>
      <x:c r="B234" s="15" t="s">
        <x:v>719</x:v>
      </x:c>
      <x:c r="C234" s="15" t="s">
        <x:v>720</x:v>
      </x:c>
      <x:c r="D234" s="15" t="s">
        <x:v>705</x:v>
      </x:c>
      <x:c r="E234" s="6">
        <x:v>8350</x:v>
      </x:c>
      <x:c r="F234" s="6">
        <x:v>137720</x:v>
      </x:c>
      <x:c r="G234" s="9">
        <x:v>6.0609999999999997E-2</x:v>
      </x:c>
    </x:row>
    <x:row r="235">
      <x:c r="A235" s="5">
        <x:v>2017</x:v>
      </x:c>
      <x:c r="B235" s="15" t="s">
        <x:v>703</x:v>
      </x:c>
      <x:c r="C235" s="15" t="s">
        <x:v>704</x:v>
      </x:c>
      <x:c r="D235" s="15" t="s">
        <x:v>705</x:v>
      </x:c>
      <x:c r="E235" s="6">
        <x:v>9620</x:v>
      </x:c>
      <x:c r="F235" s="6">
        <x:v>150640</x:v>
      </x:c>
      <x:c r="G235" s="9">
        <x:v>6.3829999999999998E-2</x:v>
      </x:c>
    </x:row>
    <x:row r="236">
      <x:c r="A236" s="5">
        <x:v>2017</x:v>
      </x:c>
      <x:c r="B236" s="15" t="s">
        <x:v>725</x:v>
      </x:c>
      <x:c r="C236" s="15" t="s">
        <x:v>726</x:v>
      </x:c>
      <x:c r="D236" s="15" t="s">
        <x:v>671</x:v>
      </x:c>
      <x:c r="E236" s="6">
        <x:v>44810</x:v>
      </x:c>
      <x:c r="F236" s="6">
        <x:v>738360</x:v>
      </x:c>
      <x:c r="G236" s="9">
        <x:v>6.0690000000000001E-2</x:v>
      </x:c>
    </x:row>
    <x:row r="237">
      <x:c r="A237" s="5">
        <x:v>2017</x:v>
      </x:c>
      <x:c r="B237" s="15" t="s">
        <x:v>813</x:v>
      </x:c>
      <x:c r="C237" s="15" t="s">
        <x:v>814</x:v>
      </x:c>
      <x:c r="D237" s="15" t="s">
        <x:v>671</x:v>
      </x:c>
      <x:c r="E237" s="6">
        <x:v>58550</x:v>
      </x:c>
      <x:c r="F237" s="6">
        <x:v>1314420</x:v>
      </x:c>
      <x:c r="G237" s="9">
        <x:v>4.4539999999999996E-2</x:v>
      </x:c>
    </x:row>
    <x:row r="238">
      <x:c r="A238" s="5">
        <x:v>2017</x:v>
      </x:c>
      <x:c r="B238" s="15" t="s">
        <x:v>647</x:v>
      </x:c>
      <x:c r="C238" s="15" t="s">
        <x:v>721</x:v>
      </x:c>
      <x:c r="D238" s="15" t="s">
        <x:v>671</x:v>
      </x:c>
      <x:c r="E238" s="6">
        <x:v>11070</x:v>
      </x:c>
      <x:c r="F238" s="6">
        <x:v>184770</x:v>
      </x:c>
      <x:c r="G238" s="9">
        <x:v>5.9920000000000001E-2</x:v>
      </x:c>
    </x:row>
    <x:row r="239">
      <x:c r="A239" s="5">
        <x:v>2017</x:v>
      </x:c>
      <x:c r="B239" s="15" t="s">
        <x:v>795</x:v>
      </x:c>
      <x:c r="C239" s="15" t="s">
        <x:v>796</x:v>
      </x:c>
      <x:c r="D239" s="15" t="s">
        <x:v>644</x:v>
      </x:c>
      <x:c r="E239" s="6">
        <x:v>78250</x:v>
      </x:c>
      <x:c r="F239" s="6">
        <x:v>1563520</x:v>
      </x:c>
      <x:c r="G239" s="9">
        <x:v>5.0049999999999997E-2</x:v>
      </x:c>
    </x:row>
    <x:row r="240">
      <x:c r="A240" s="5">
        <x:v>2017</x:v>
      </x:c>
      <x:c r="B240" s="15" t="s">
        <x:v>781</x:v>
      </x:c>
      <x:c r="C240" s="15" t="s">
        <x:v>782</x:v>
      </x:c>
      <x:c r="D240" s="15" t="s">
        <x:v>671</x:v>
      </x:c>
      <x:c r="E240" s="6">
        <x:v>63030</x:v>
      </x:c>
      <x:c r="F240" s="6">
        <x:v>1132960</x:v>
      </x:c>
      <x:c r="G240" s="9">
        <x:v>5.5629999999999999E-2</x:v>
      </x:c>
    </x:row>
    <x:row r="241">
      <x:c r="A241" s="5">
        <x:v>2017</x:v>
      </x:c>
      <x:c r="B241" s="15" t="s">
        <x:v>819</x:v>
      </x:c>
      <x:c r="C241" s="15" t="s">
        <x:v>820</x:v>
      </x:c>
      <x:c r="D241" s="15" t="s">
        <x:v>799</x:v>
      </x:c>
      <x:c r="E241" s="6">
        <x:v>35300</x:v>
      </x:c>
      <x:c r="F241" s="6">
        <x:v>1018040</x:v>
      </x:c>
      <x:c r="G241" s="9">
        <x:v>3.4680000000000002E-2</x:v>
      </x:c>
    </x:row>
    <x:row r="242">
      <x:c r="A242" s="5">
        <x:v>2017</x:v>
      </x:c>
      <x:c r="B242" s="15" t="s">
        <x:v>645</x:v>
      </x:c>
      <x:c r="C242" s="15" t="s">
        <x:v>34</x:v>
      </x:c>
      <x:c r="D242" s="15" t="s">
        <x:v>646</x:v>
      </x:c>
      <x:c r="E242" s="6">
        <x:v>16260</x:v>
      </x:c>
      <x:c r="F242" s="6">
        <x:v>211470</x:v>
      </x:c>
      <x:c r="G242" s="9">
        <x:v>7.6870000000000008E-2</x:v>
      </x:c>
    </x:row>
    <x:row r="243">
      <x:c r="A243" s="5">
        <x:v>2017</x:v>
      </x:c>
      <x:c r="B243" s="15" t="s">
        <x:v>778</x:v>
      </x:c>
      <x:c r="C243" s="15" t="s">
        <x:v>779</x:v>
      </x:c>
      <x:c r="D243" s="15" t="s">
        <x:v>646</x:v>
      </x:c>
      <x:c r="E243" s="6">
        <x:v>32440</x:v>
      </x:c>
      <x:c r="F243" s="6">
        <x:v>593200</x:v>
      </x:c>
      <x:c r="G243" s="9">
        <x:v>5.4679999999999999E-2</x:v>
      </x:c>
    </x:row>
    <x:row r="244">
      <x:c r="A244" s="5">
        <x:v>2017</x:v>
      </x:c>
      <x:c r="B244" s="15" t="s">
        <x:v>787</x:v>
      </x:c>
      <x:c r="C244" s="15" t="s">
        <x:v>788</x:v>
      </x:c>
      <x:c r="D244" s="15" t="s">
        <x:v>649</x:v>
      </x:c>
      <x:c r="E244" s="6">
        <x:v>65800</x:v>
      </x:c>
      <x:c r="F244" s="6">
        <x:v>1241240</x:v>
      </x:c>
      <x:c r="G244" s="9">
        <x:v>5.3010000000000002E-2</x:v>
      </x:c>
    </x:row>
    <x:row r="245">
      <x:c r="A245" s="5">
        <x:v>2017</x:v>
      </x:c>
      <x:c r="B245" s="15" t="s">
        <x:v>729</x:v>
      </x:c>
      <x:c r="C245" s="15" t="s">
        <x:v>730</x:v>
      </x:c>
      <x:c r="D245" s="15" t="s">
        <x:v>640</x:v>
      </x:c>
      <x:c r="E245" s="6">
        <x:v>14650</x:v>
      </x:c>
      <x:c r="F245" s="6">
        <x:v>251730</x:v>
      </x:c>
      <x:c r="G245" s="9">
        <x:v>5.8209999999999998E-2</x:v>
      </x:c>
    </x:row>
    <x:row r="246">
      <x:c r="A246" s="5">
        <x:v>2017</x:v>
      </x:c>
      <x:c r="B246" s="15" t="s">
        <x:v>738</x:v>
      </x:c>
      <x:c r="C246" s="15" t="s">
        <x:v>739</x:v>
      </x:c>
      <x:c r="D246" s="15" t="s">
        <x:v>644</x:v>
      </x:c>
      <x:c r="E246" s="6">
        <x:v>24600</x:v>
      </x:c>
      <x:c r="F246" s="6">
        <x:v>407670</x:v>
      </x:c>
      <x:c r="G246" s="9">
        <x:v>6.0350000000000001E-2</x:v>
      </x:c>
    </x:row>
    <x:row r="247">
      <x:c r="A247" s="5">
        <x:v>2017</x:v>
      </x:c>
      <x:c r="B247" s="15" t="s">
        <x:v>666</x:v>
      </x:c>
      <x:c r="C247" s="15" t="s">
        <x:v>667</x:v>
      </x:c>
      <x:c r="D247" s="15" t="s">
        <x:v>646</x:v>
      </x:c>
      <x:c r="E247" s="6">
        <x:v>22230</x:v>
      </x:c>
      <x:c r="F247" s="6">
        <x:v>322100</x:v>
      </x:c>
      <x:c r="G247" s="9">
        <x:v>6.9019999999999998E-2</x:v>
      </x:c>
    </x:row>
    <x:row r="248">
      <x:c r="A248" s="5">
        <x:v>2017</x:v>
      </x:c>
      <x:c r="B248" s="15" t="s">
        <x:v>722</x:v>
      </x:c>
      <x:c r="C248" s="15" t="s">
        <x:v>723</x:v>
      </x:c>
      <x:c r="D248" s="15" t="s">
        <x:v>649</x:v>
      </x:c>
      <x:c r="E248" s="6">
        <x:v>46170</x:v>
      </x:c>
      <x:c r="F248" s="6">
        <x:v>744490</x:v>
      </x:c>
      <x:c r="G248" s="9">
        <x:v>6.2019999999999999E-2</x:v>
      </x:c>
    </x:row>
    <x:row r="249">
      <x:c r="A249" s="5">
        <x:v>2017</x:v>
      </x:c>
      <x:c r="B249" s="15" t="s">
        <x:v>736</x:v>
      </x:c>
      <x:c r="C249" s="15" t="s">
        <x:v>737</x:v>
      </x:c>
      <x:c r="D249" s="15" t="s">
        <x:v>649</x:v>
      </x:c>
      <x:c r="E249" s="6">
        <x:v>13290</x:v>
      </x:c>
      <x:c r="F249" s="6">
        <x:v>218980</x:v>
      </x:c>
      <x:c r="G249" s="9">
        <x:v>6.0690000000000001E-2</x:v>
      </x:c>
    </x:row>
    <x:row r="250">
      <x:c r="A250" s="5">
        <x:v>2017</x:v>
      </x:c>
      <x:c r="B250" s="15" t="s">
        <x:v>651</x:v>
      </x:c>
      <x:c r="C250" s="15" t="s">
        <x:v>816</x:v>
      </x:c>
      <x:c r="D250" s="15" t="s">
        <x:v>652</x:v>
      </x:c>
      <x:c r="E250" s="6">
        <x:v>55600</x:v>
      </x:c>
      <x:c r="F250" s="6">
        <x:v>1371430</x:v>
      </x:c>
      <x:c r="G250" s="9">
        <x:v>4.054E-2</x:v>
      </x:c>
    </x:row>
    <x:row r="251">
      <x:c r="A251" s="5">
        <x:v>2017</x:v>
      </x:c>
      <x:c r="B251" s="15" t="s">
        <x:v>697</x:v>
      </x:c>
      <x:c r="C251" s="15" t="s">
        <x:v>698</x:v>
      </x:c>
      <x:c r="D251" s="15" t="s">
        <x:v>646</x:v>
      </x:c>
      <x:c r="E251" s="6">
        <x:v>41450</x:v>
      </x:c>
      <x:c r="F251" s="6">
        <x:v>656400</x:v>
      </x:c>
      <x:c r="G251" s="9">
        <x:v>6.3140000000000002E-2</x:v>
      </x:c>
    </x:row>
    <x:row r="252">
      <x:c r="A252" s="5">
        <x:v>2017</x:v>
      </x:c>
      <x:c r="B252" s="15" t="s">
        <x:v>706</x:v>
      </x:c>
      <x:c r="C252" s="15" t="s">
        <x:v>707</x:v>
      </x:c>
      <x:c r="D252" s="15" t="s">
        <x:v>671</x:v>
      </x:c>
      <x:c r="E252" s="6">
        <x:v>10760</x:v>
      </x:c>
      <x:c r="F252" s="6">
        <x:v>165860</x:v>
      </x:c>
      <x:c r="G252" s="9">
        <x:v>6.4850000000000005E-2</x:v>
      </x:c>
    </x:row>
    <x:row r="253">
      <x:c r="A253" s="5">
        <x:v>2017</x:v>
      </x:c>
      <x:c r="B253" s="15" t="s">
        <x:v>710</x:v>
      </x:c>
      <x:c r="C253" s="15" t="s">
        <x:v>711</x:v>
      </x:c>
      <x:c r="D253" s="15" t="s">
        <x:v>644</x:v>
      </x:c>
      <x:c r="E253" s="6">
        <x:v>20200</x:v>
      </x:c>
      <x:c r="F253" s="6">
        <x:v>323550</x:v>
      </x:c>
      <x:c r="G253" s="9">
        <x:v>6.2439999999999996E-2</x:v>
      </x:c>
    </x:row>
    <x:row r="254">
      <x:c r="A254" s="5">
        <x:v>2017</x:v>
      </x:c>
      <x:c r="B254" s="15" t="s">
        <x:v>776</x:v>
      </x:c>
      <x:c r="C254" s="15" t="s">
        <x:v>777</x:v>
      </x:c>
      <x:c r="D254" s="15" t="s">
        <x:v>671</x:v>
      </x:c>
      <x:c r="E254" s="6">
        <x:v>4000</x:v>
      </x:c>
      <x:c r="F254" s="6">
        <x:v>71010</x:v>
      </x:c>
      <x:c r="G254" s="9">
        <x:v>5.6260000000000004E-2</x:v>
      </x:c>
    </x:row>
    <x:row r="255">
      <x:c r="A255" s="5">
        <x:v>2017</x:v>
      </x:c>
      <x:c r="B255" s="15" t="s">
        <x:v>793</x:v>
      </x:c>
      <x:c r="C255" s="15" t="s">
        <x:v>794</x:v>
      </x:c>
      <x:c r="D255" s="15" t="s">
        <x:v>652</x:v>
      </x:c>
      <x:c r="E255" s="6">
        <x:v>38310</x:v>
      </x:c>
      <x:c r="F255" s="6">
        <x:v>791190</x:v>
      </x:c>
      <x:c r="G255" s="9">
        <x:v>4.8419999999999998E-2</x:v>
      </x:c>
    </x:row>
    <x:row r="256">
      <x:c r="A256" s="5">
        <x:v>2017</x:v>
      </x:c>
      <x:c r="B256" s="15" t="s">
        <x:v>770</x:v>
      </x:c>
      <x:c r="C256" s="15" t="s">
        <x:v>771</x:v>
      </x:c>
      <x:c r="D256" s="15" t="s">
        <x:v>689</x:v>
      </x:c>
      <x:c r="E256" s="6">
        <x:v>25520</x:v>
      </x:c>
      <x:c r="F256" s="6">
        <x:v>480000</x:v>
      </x:c>
      <x:c r="G256" s="9">
        <x:v>5.3170000000000002E-2</x:v>
      </x:c>
    </x:row>
    <x:row r="257">
      <x:c r="A257" s="5">
        <x:v>2017</x:v>
      </x:c>
      <x:c r="B257" s="15" t="s">
        <x:v>679</x:v>
      </x:c>
      <x:c r="C257" s="15" t="s">
        <x:v>680</x:v>
      </x:c>
      <x:c r="D257" s="15" t="s">
        <x:v>651</x:v>
      </x:c>
      <x:c r="E257" s="6">
        <x:v>35170</x:v>
      </x:c>
      <x:c r="F257" s="6">
        <x:v>543610</x:v>
      </x:c>
      <x:c r="G257" s="9">
        <x:v>6.4699999999999994E-2</x:v>
      </x:c>
    </x:row>
    <x:row r="258">
      <x:c r="A258" s="5">
        <x:v>2017</x:v>
      </x:c>
      <x:c r="B258" s="15" t="s">
        <x:v>652</x:v>
      </x:c>
      <x:c r="C258" s="15" t="s">
        <x:v>182</x:v>
      </x:c>
      <x:c r="D258" s="15" t="s">
        <x:v>651</x:v>
      </x:c>
      <x:c r="E258" s="6">
        <x:v>12300</x:v>
      </x:c>
      <x:c r="F258" s="6">
        <x:v>169380</x:v>
      </x:c>
      <x:c r="G258" s="9">
        <x:v>7.2590000000000002E-2</x:v>
      </x:c>
    </x:row>
    <x:row r="259">
      <x:c r="A259" s="5">
        <x:v>2017</x:v>
      </x:c>
      <x:c r="B259" s="15" t="s">
        <x:v>799</x:v>
      </x:c>
      <x:c r="C259" s="15" t="s">
        <x:v>804</x:v>
      </x:c>
      <x:c r="D259" s="15" t="s">
        <x:v>652</x:v>
      </x:c>
      <x:c r="E259" s="6">
        <x:v>13040</x:v>
      </x:c>
      <x:c r="F259" s="6">
        <x:v>296140</x:v>
      </x:c>
      <x:c r="G259" s="9">
        <x:v>4.4029999999999993E-2</x:v>
      </x:c>
    </x:row>
    <x:row r="260">
      <x:c r="A260" s="5">
        <x:v>2017</x:v>
      </x:c>
      <x:c r="B260" s="15" t="s">
        <x:v>685</x:v>
      </x:c>
      <x:c r="C260" s="15" t="s">
        <x:v>686</x:v>
      </x:c>
      <x:c r="D260" s="15" t="s">
        <x:v>651</x:v>
      </x:c>
      <x:c r="E260" s="6">
        <x:v>43690</x:v>
      </x:c>
      <x:c r="F260" s="6">
        <x:v>660130</x:v>
      </x:c>
      <x:c r="G260" s="9">
        <x:v>6.6180000000000003E-2</x:v>
      </x:c>
    </x:row>
    <x:row r="261">
      <x:c r="A261" s="5">
        <x:v>2017</x:v>
      </x:c>
      <x:c r="B261" s="15" t="s">
        <x:v>656</x:v>
      </x:c>
      <x:c r="C261" s="15" t="s">
        <x:v>657</x:v>
      </x:c>
      <x:c r="D261" s="15" t="s">
        <x:v>651</x:v>
      </x:c>
      <x:c r="E261" s="6">
        <x:v>12080</x:v>
      </x:c>
      <x:c r="F261" s="6">
        <x:v>174930</x:v>
      </x:c>
      <x:c r="G261" s="9">
        <x:v>6.9080000000000003E-2</x:v>
      </x:c>
    </x:row>
    <x:row r="262">
      <x:c r="A262" s="5">
        <x:v>2017</x:v>
      </x:c>
      <x:c r="B262" s="15" t="s">
        <x:v>802</x:v>
      </x:c>
      <x:c r="C262" s="15" t="s">
        <x:v>803</x:v>
      </x:c>
      <x:c r="D262" s="15" t="s">
        <x:v>799</x:v>
      </x:c>
      <x:c r="E262" s="6">
        <x:v>34210</x:v>
      </x:c>
      <x:c r="F262" s="6">
        <x:v>736180</x:v>
      </x:c>
      <x:c r="G262" s="9">
        <x:v>4.6470000000000004E-2</x:v>
      </x:c>
    </x:row>
    <x:row r="263">
      <x:c r="A263" s="5">
        <x:v>2017</x:v>
      </x:c>
      <x:c r="B263" s="15" t="s">
        <x:v>650</x:v>
      </x:c>
      <x:c r="C263" s="15" t="s">
        <x:v>38</x:v>
      </x:c>
      <x:c r="D263" s="15" t="s">
        <x:v>651</x:v>
      </x:c>
      <x:c r="E263" s="6">
        <x:v>67600</x:v>
      </x:c>
      <x:c r="F263" s="6">
        <x:v>902300</x:v>
      </x:c>
      <x:c r="G263" s="9">
        <x:v>7.492E-2</x:v>
      </x:c>
    </x:row>
    <x:row r="264">
      <x:c r="A264" s="5">
        <x:v>2017</x:v>
      </x:c>
      <x:c r="B264" s="15" t="s">
        <x:v>639</x:v>
      </x:c>
      <x:c r="C264" s="15" t="s">
        <x:v>19</x:v>
      </x:c>
      <x:c r="D264" s="15" t="s">
        <x:v>640</x:v>
      </x:c>
      <x:c r="E264" s="6">
        <x:v>17280</x:v>
      </x:c>
      <x:c r="F264" s="6">
        <x:v>197390</x:v>
      </x:c>
      <x:c r="G264" s="9">
        <x:v>8.7520000000000001E-2</x:v>
      </x:c>
    </x:row>
    <x:row r="265">
      <x:c r="A265" s="5">
        <x:v>2017</x:v>
      </x:c>
      <x:c r="B265" s="15" t="s">
        <x:v>690</x:v>
      </x:c>
      <x:c r="C265" s="15" t="s">
        <x:v>691</x:v>
      </x:c>
      <x:c r="D265" s="15" t="s">
        <x:v>647</x:v>
      </x:c>
      <x:c r="E265" s="6">
        <x:v>161320</x:v>
      </x:c>
      <x:c r="F265" s="6">
        <x:v>2499490</x:v>
      </x:c>
      <x:c r="G265" s="9">
        <x:v>6.454E-2</x:v>
      </x:c>
    </x:row>
    <x:row r="266">
      <x:c r="A266" s="5">
        <x:v>2017</x:v>
      </x:c>
      <x:c r="B266" s="15" t="s">
        <x:v>708</x:v>
      </x:c>
      <x:c r="C266" s="15" t="s">
        <x:v>709</x:v>
      </x:c>
      <x:c r="D266" s="15" t="s">
        <x:v>647</x:v>
      </x:c>
      <x:c r="E266" s="6">
        <x:v>47870</x:v>
      </x:c>
      <x:c r="F266" s="6">
        <x:v>798380</x:v>
      </x:c>
      <x:c r="G266" s="9">
        <x:v>5.9960000000000006E-2</x:v>
      </x:c>
    </x:row>
    <x:row r="267">
      <x:c r="A267" s="5">
        <x:v>2017</x:v>
      </x:c>
      <x:c r="B267" s="15" t="s">
        <x:v>687</x:v>
      </x:c>
      <x:c r="C267" s="15" t="s">
        <x:v>688</x:v>
      </x:c>
      <x:c r="D267" s="15" t="s">
        <x:v>689</x:v>
      </x:c>
      <x:c r="E267" s="6">
        <x:v>17050</x:v>
      </x:c>
      <x:c r="F267" s="6">
        <x:v>269460</x:v>
      </x:c>
      <x:c r="G267" s="9">
        <x:v>6.3259999999999997E-2</x:v>
      </x:c>
    </x:row>
    <x:row r="268">
      <x:c r="A268" s="5">
        <x:v>2017</x:v>
      </x:c>
      <x:c r="B268" s="15" t="s">
        <x:v>658</x:v>
      </x:c>
      <x:c r="C268" s="15" t="s">
        <x:v>659</x:v>
      </x:c>
      <x:c r="D268" s="15" t="s">
        <x:v>647</x:v>
      </x:c>
      <x:c r="E268" s="6">
        <x:v>99690</x:v>
      </x:c>
      <x:c r="F268" s="6">
        <x:v>1433400</x:v>
      </x:c>
      <x:c r="G268" s="9">
        <x:v>6.9550000000000001E-2</x:v>
      </x:c>
    </x:row>
    <x:row r="269">
      <x:c r="A269" s="5">
        <x:v>2017</x:v>
      </x:c>
      <x:c r="B269" s="15" t="s">
        <x:v>760</x:v>
      </x:c>
      <x:c r="C269" s="15" t="s">
        <x:v>761</x:v>
      </x:c>
      <x:c r="D269" s="15" t="s">
        <x:v>649</x:v>
      </x:c>
      <x:c r="E269" s="6">
        <x:v>36340</x:v>
      </x:c>
      <x:c r="F269" s="6">
        <x:v>631350</x:v>
      </x:c>
      <x:c r="G269" s="9">
        <x:v>5.7549999999999997E-2</x:v>
      </x:c>
    </x:row>
    <x:row r="270">
      <x:c r="A270" s="5">
        <x:v>2017</x:v>
      </x:c>
      <x:c r="B270" s="15" t="s">
        <x:v>789</x:v>
      </x:c>
      <x:c r="C270" s="15" t="s">
        <x:v>790</x:v>
      </x:c>
      <x:c r="D270" s="15" t="s">
        <x:v>644</x:v>
      </x:c>
      <x:c r="E270" s="6">
        <x:v>34840</x:v>
      </x:c>
      <x:c r="F270" s="6">
        <x:v>656300</x:v>
      </x:c>
      <x:c r="G270" s="9">
        <x:v>5.3079999999999995E-2</x:v>
      </x:c>
    </x:row>
    <x:row r="271">
      <x:c r="A271" s="5">
        <x:v>2017</x:v>
      </x:c>
      <x:c r="B271" s="15" t="s">
        <x:v>734</x:v>
      </x:c>
      <x:c r="C271" s="15" t="s">
        <x:v>735</x:v>
      </x:c>
      <x:c r="D271" s="15" t="s">
        <x:v>671</x:v>
      </x:c>
      <x:c r="E271" s="6">
        <x:v>13800</x:v>
      </x:c>
      <x:c r="F271" s="6">
        <x:v>226000</x:v>
      </x:c>
      <x:c r="G271" s="9">
        <x:v>6.1069999999999999E-2</x:v>
      </x:c>
    </x:row>
    <x:row r="272">
      <x:c r="A272" s="5">
        <x:v>2017</x:v>
      </x:c>
      <x:c r="B272" s="15" t="s">
        <x:v>695</x:v>
      </x:c>
      <x:c r="C272" s="15" t="s">
        <x:v>696</x:v>
      </x:c>
      <x:c r="D272" s="15" t="s">
        <x:v>671</x:v>
      </x:c>
      <x:c r="E272" s="6">
        <x:v>30400</x:v>
      </x:c>
      <x:c r="F272" s="6">
        <x:v>469410</x:v>
      </x:c>
      <x:c r="G272" s="9">
        <x:v>6.4759999999999998E-2</x:v>
      </x:c>
    </x:row>
    <x:row r="273">
      <x:c r="A273" s="5">
        <x:v>2017</x:v>
      </x:c>
      <x:c r="B273" s="15" t="s">
        <x:v>699</x:v>
      </x:c>
      <x:c r="C273" s="15" t="s">
        <x:v>700</x:v>
      </x:c>
      <x:c r="D273" s="15" t="s">
        <x:v>651</x:v>
      </x:c>
      <x:c r="E273" s="6">
        <x:v>71030</x:v>
      </x:c>
      <x:c r="F273" s="6">
        <x:v>1084980</x:v>
      </x:c>
      <x:c r="G273" s="9">
        <x:v>6.547E-2</x:v>
      </x:c>
    </x:row>
    <x:row r="274">
      <x:c r="A274" s="5">
        <x:v>2017</x:v>
      </x:c>
      <x:c r="B274" s="15" t="s">
        <x:v>677</x:v>
      </x:c>
      <x:c r="C274" s="15" t="s">
        <x:v>678</x:v>
      </x:c>
      <x:c r="D274" s="15" t="s">
        <x:v>651</x:v>
      </x:c>
      <x:c r="E274" s="6">
        <x:v>48430</x:v>
      </x:c>
      <x:c r="F274" s="6">
        <x:v>726740</x:v>
      </x:c>
      <x:c r="G274" s="9">
        <x:v>6.6639999999999991E-2</x:v>
      </x:c>
    </x:row>
    <x:row r="275">
      <x:c r="A275" s="5">
        <x:v>2017</x:v>
      </x:c>
      <x:c r="B275" s="15" t="s">
        <x:v>791</x:v>
      </x:c>
      <x:c r="C275" s="15" t="s">
        <x:v>792</x:v>
      </x:c>
      <x:c r="D275" s="15" t="s">
        <x:v>649</x:v>
      </x:c>
      <x:c r="E275" s="6">
        <x:v>90550</x:v>
      </x:c>
      <x:c r="F275" s="6">
        <x:v>1807920</x:v>
      </x:c>
      <x:c r="G275" s="9">
        <x:v>5.008E-2</x:v>
      </x:c>
    </x:row>
    <x:row r="276">
      <x:c r="A276" s="5">
        <x:v>2017</x:v>
      </x:c>
      <x:c r="B276" s="15" t="s">
        <x:v>664</x:v>
      </x:c>
      <x:c r="C276" s="15" t="s">
        <x:v>665</x:v>
      </x:c>
      <x:c r="D276" s="15" t="s">
        <x:v>640</x:v>
      </x:c>
      <x:c r="E276" s="6">
        <x:v>15070</x:v>
      </x:c>
      <x:c r="F276" s="6">
        <x:v>229640</x:v>
      </x:c>
      <x:c r="G276" s="9">
        <x:v>6.5619999999999998E-2</x:v>
      </x:c>
    </x:row>
    <x:row r="277">
      <x:c r="A277" s="5">
        <x:v>2017</x:v>
      </x:c>
      <x:c r="B277" s="15" t="s">
        <x:v>660</x:v>
      </x:c>
      <x:c r="C277" s="15" t="s">
        <x:v>661</x:v>
      </x:c>
      <x:c r="D277" s="15" t="s">
        <x:v>640</x:v>
      </x:c>
      <x:c r="E277" s="6">
        <x:v>38020</x:v>
      </x:c>
      <x:c r="F277" s="6">
        <x:v>532250</x:v>
      </x:c>
      <x:c r="G277" s="9">
        <x:v>7.1440000000000003E-2</x:v>
      </x:c>
    </x:row>
    <x:row r="278">
      <x:c r="A278" s="5">
        <x:v>2017</x:v>
      </x:c>
      <x:c r="B278" s="15" t="s">
        <x:v>732</x:v>
      </x:c>
      <x:c r="C278" s="15" t="s">
        <x:v>733</x:v>
      </x:c>
      <x:c r="D278" s="15" t="s">
        <x:v>652</x:v>
      </x:c>
      <x:c r="E278" s="6">
        <x:v>31900</x:v>
      </x:c>
      <x:c r="F278" s="6">
        <x:v>549270</x:v>
      </x:c>
      <x:c r="G278" s="9">
        <x:v>5.8070000000000004E-2</x:v>
      </x:c>
    </x:row>
    <x:row r="279">
      <x:c r="A279" s="5">
        <x:v>2017</x:v>
      </x:c>
      <x:c r="B279" s="15" t="s">
        <x:v>807</x:v>
      </x:c>
      <x:c r="C279" s="15" t="s">
        <x:v>808</x:v>
      </x:c>
      <x:c r="D279" s="15" t="s">
        <x:v>649</x:v>
      </x:c>
      <x:c r="E279" s="6">
        <x:v>19940</x:v>
      </x:c>
      <x:c r="F279" s="6">
        <x:v>422030</x:v>
      </x:c>
      <x:c r="G279" s="9">
        <x:v>4.7249999999999993E-2</x:v>
      </x:c>
    </x:row>
    <x:row r="280">
      <x:c r="A280" s="5">
        <x:v>2017</x:v>
      </x:c>
      <x:c r="B280" s="15" t="s">
        <x:v>817</x:v>
      </x:c>
      <x:c r="C280" s="15" t="s">
        <x:v>818</x:v>
      </x:c>
      <x:c r="D280" s="15" t="s">
        <x:v>649</x:v>
      </x:c>
      <x:c r="E280" s="6">
        <x:v>32160</x:v>
      </x:c>
      <x:c r="F280" s="6">
        <x:v>760790</x:v>
      </x:c>
      <x:c r="G280" s="9">
        <x:v>4.2270000000000002E-2</x:v>
      </x:c>
    </x:row>
    <x:row r="281">
      <x:c r="A281" s="5">
        <x:v>2017</x:v>
      </x:c>
      <x:c r="B281" s="15" t="s">
        <x:v>644</x:v>
      </x:c>
      <x:c r="C281" s="15" t="s">
        <x:v>815</x:v>
      </x:c>
      <x:c r="D281" s="15" t="s">
        <x:v>670</x:v>
      </x:c>
      <x:c r="E281" s="6">
        <x:v>91620</x:v>
      </x:c>
      <x:c r="F281" s="6">
        <x:v>2092040</x:v>
      </x:c>
      <x:c r="G281" s="9">
        <x:v>4.3789999999999996E-2</x:v>
      </x:c>
    </x:row>
    <x:row r="282">
      <x:c r="A282" s="5">
        <x:v>2017</x:v>
      </x:c>
      <x:c r="B282" s="15" t="s">
        <x:v>671</x:v>
      </x:c>
      <x:c r="C282" s="15" t="s">
        <x:v>714</x:v>
      </x:c>
      <x:c r="D282" s="15" t="s">
        <x:v>689</x:v>
      </x:c>
      <x:c r="E282" s="6">
        <x:v>74560</x:v>
      </x:c>
      <x:c r="F282" s="6">
        <x:v>1217450</x:v>
      </x:c>
      <x:c r="G282" s="9">
        <x:v>6.1249999999999999E-2</x:v>
      </x:c>
    </x:row>
    <x:row r="283">
      <x:c r="A283" s="5">
        <x:v>2017</x:v>
      </x:c>
      <x:c r="B283" s="15" t="s">
        <x:v>762</x:v>
      </x:c>
      <x:c r="C283" s="15" t="s">
        <x:v>763</x:v>
      </x:c>
      <x:c r="D283" s="15" t="s">
        <x:v>670</x:v>
      </x:c>
      <x:c r="E283" s="6">
        <x:v>74610</x:v>
      </x:c>
      <x:c r="F283" s="6">
        <x:v>1358040</x:v>
      </x:c>
      <x:c r="G283" s="9">
        <x:v>5.4939999999999996E-2</x:v>
      </x:c>
    </x:row>
    <x:row r="284">
      <x:c r="A284" s="5">
        <x:v>2017</x:v>
      </x:c>
      <x:c r="B284" s="15" t="s">
        <x:v>805</x:v>
      </x:c>
      <x:c r="C284" s="15" t="s">
        <x:v>806</x:v>
      </x:c>
      <x:c r="D284" s="15" t="s">
        <x:v>670</x:v>
      </x:c>
      <x:c r="E284" s="6">
        <x:v>65760</x:v>
      </x:c>
      <x:c r="F284" s="6">
        <x:v>1412300</x:v>
      </x:c>
      <x:c r="G284" s="9">
        <x:v>4.6559999999999997E-2</x:v>
      </x:c>
    </x:row>
    <x:row r="285">
      <x:c r="A285" s="5">
        <x:v>2017</x:v>
      </x:c>
      <x:c r="B285" s="15" t="s">
        <x:v>715</x:v>
      </x:c>
      <x:c r="C285" s="15" t="s">
        <x:v>716</x:v>
      </x:c>
      <x:c r="D285" s="15" t="s">
        <x:v>644</x:v>
      </x:c>
      <x:c r="E285" s="6">
        <x:v>21420</x:v>
      </x:c>
      <x:c r="F285" s="6">
        <x:v>362190</x:v>
      </x:c>
      <x:c r="G285" s="9">
        <x:v>5.9130000000000002E-2</x:v>
      </x:c>
    </x:row>
    <x:row r="286">
      <x:c r="A286" s="5">
        <x:v>2017</x:v>
      </x:c>
      <x:c r="B286" s="15" t="s">
        <x:v>662</x:v>
      </x:c>
      <x:c r="C286" s="15" t="s">
        <x:v>663</x:v>
      </x:c>
      <x:c r="D286" s="15" t="s">
        <x:v>647</x:v>
      </x:c>
      <x:c r="E286" s="6">
        <x:v>37330</x:v>
      </x:c>
      <x:c r="F286" s="6">
        <x:v>546800</x:v>
      </x:c>
      <x:c r="G286" s="9">
        <x:v>6.8269999999999997E-2</x:v>
      </x:c>
    </x:row>
    <x:row r="287">
      <x:c r="A287" s="5">
        <x:v>2017</x:v>
      </x:c>
      <x:c r="B287" s="15" t="s">
        <x:v>752</x:v>
      </x:c>
      <x:c r="C287" s="15" t="s">
        <x:v>753</x:v>
      </x:c>
      <x:c r="D287" s="15" t="s">
        <x:v>671</x:v>
      </x:c>
      <x:c r="E287" s="6">
        <x:v>21920</x:v>
      </x:c>
      <x:c r="F287" s="6">
        <x:v>382340</x:v>
      </x:c>
      <x:c r="G287" s="9">
        <x:v>5.7340000000000002E-2</x:v>
      </x:c>
    </x:row>
    <x:row r="288">
      <x:c r="A288" s="5">
        <x:v>2017</x:v>
      </x:c>
      <x:c r="B288" s="15" t="s">
        <x:v>756</x:v>
      </x:c>
      <x:c r="C288" s="15" t="s">
        <x:v>757</x:v>
      </x:c>
      <x:c r="D288" s="15" t="s">
        <x:v>671</x:v>
      </x:c>
      <x:c r="E288" s="6">
        <x:v>14580</x:v>
      </x:c>
      <x:c r="F288" s="6">
        <x:v>255760</x:v>
      </x:c>
      <x:c r="G288" s="9">
        <x:v>5.7009999999999998E-2</x:v>
      </x:c>
    </x:row>
    <x:row r="289">
      <x:c r="A289" s="5">
        <x:v>2017</x:v>
      </x:c>
      <x:c r="B289" s="15" t="s">
        <x:v>758</x:v>
      </x:c>
      <x:c r="C289" s="15" t="s">
        <x:v>759</x:v>
      </x:c>
      <x:c r="D289" s="15" t="s">
        <x:v>672</x:v>
      </x:c>
      <x:c r="E289" s="6">
        <x:v>64210</x:v>
      </x:c>
      <x:c r="F289" s="6">
        <x:v>1079000</x:v>
      </x:c>
      <x:c r="G289" s="9">
        <x:v>5.9509999999999993E-2</x:v>
      </x:c>
    </x:row>
    <x:row r="290">
      <x:c r="A290" s="5">
        <x:v>2017</x:v>
      </x:c>
      <x:c r="B290" s="15" t="s">
        <x:v>649</x:v>
      </x:c>
      <x:c r="C290" s="15" t="s">
        <x:v>731</x:v>
      </x:c>
      <x:c r="D290" s="15" t="s">
        <x:v>672</x:v>
      </x:c>
      <x:c r="E290" s="6">
        <x:v>34530</x:v>
      </x:c>
      <x:c r="F290" s="6">
        <x:v>565190</x:v>
      </x:c>
      <x:c r="G290" s="9">
        <x:v>6.1100000000000002E-2</x:v>
      </x:c>
    </x:row>
    <x:row r="291">
      <x:c r="A291" s="5">
        <x:v>2017</x:v>
      </x:c>
      <x:c r="B291" s="15" t="s">
        <x:v>754</x:v>
      </x:c>
      <x:c r="C291" s="15" t="s">
        <x:v>755</x:v>
      </x:c>
      <x:c r="D291" s="15" t="s">
        <x:v>652</x:v>
      </x:c>
      <x:c r="E291" s="6">
        <x:v>36670</x:v>
      </x:c>
      <x:c r="F291" s="6">
        <x:v>665350</x:v>
      </x:c>
      <x:c r="G291" s="9">
        <x:v>5.5119999999999995E-2</x:v>
      </x:c>
    </x:row>
    <x:row r="292">
      <x:c r="A292" s="5">
        <x:v>2017</x:v>
      </x:c>
      <x:c r="B292" s="15" t="s">
        <x:v>750</x:v>
      </x:c>
      <x:c r="C292" s="15" t="s">
        <x:v>751</x:v>
      </x:c>
      <x:c r="D292" s="15" t="s">
        <x:v>644</x:v>
      </x:c>
      <x:c r="E292" s="6">
        <x:v>22470</x:v>
      </x:c>
      <x:c r="F292" s="6">
        <x:v>416050</x:v>
      </x:c>
      <x:c r="G292" s="9">
        <x:v>5.4019999999999999E-2</x:v>
      </x:c>
    </x:row>
    <x:row r="293">
      <x:c r="A293" s="5">
        <x:v>2017</x:v>
      </x:c>
      <x:c r="B293" s="15" t="s">
        <x:v>683</x:v>
      </x:c>
      <x:c r="C293" s="15" t="s">
        <x:v>684</x:v>
      </x:c>
      <x:c r="D293" s="15" t="s">
        <x:v>644</x:v>
      </x:c>
      <x:c r="E293" s="6">
        <x:v>23200</x:v>
      </x:c>
      <x:c r="F293" s="6">
        <x:v>351080</x:v>
      </x:c>
      <x:c r="G293" s="9">
        <x:v>6.6070000000000004E-2</x:v>
      </x:c>
    </x:row>
    <x:row r="294">
      <x:c r="A294" s="5">
        <x:v>2017</x:v>
      </x:c>
      <x:c r="B294" s="15" t="s">
        <x:v>675</x:v>
      </x:c>
      <x:c r="C294" s="15" t="s">
        <x:v>676</x:v>
      </x:c>
      <x:c r="D294" s="15" t="s">
        <x:v>651</x:v>
      </x:c>
      <x:c r="E294" s="6">
        <x:v>23660</x:v>
      </x:c>
      <x:c r="F294" s="6">
        <x:v>359090</x:v>
      </x:c>
      <x:c r="G294" s="9">
        <x:v>6.5879999999999994E-2</x:v>
      </x:c>
    </x:row>
    <x:row r="295">
      <x:c r="A295" s="5">
        <x:v>2017</x:v>
      </x:c>
      <x:c r="B295" s="15" t="s">
        <x:v>655</x:v>
      </x:c>
      <x:c r="C295" s="15" t="s">
        <x:v>42</x:v>
      </x:c>
      <x:c r="D295" s="15" t="s">
        <x:v>640</x:v>
      </x:c>
      <x:c r="E295" s="6">
        <x:v>23990</x:v>
      </x:c>
      <x:c r="F295" s="6">
        <x:v>326210</x:v>
      </x:c>
      <x:c r="G295" s="9">
        <x:v>7.3539999999999994E-2</x:v>
      </x:c>
    </x:row>
    <x:row r="296">
      <x:c r="A296" s="5">
        <x:v>2017</x:v>
      </x:c>
      <x:c r="B296" s="15" t="s">
        <x:v>712</x:v>
      </x:c>
      <x:c r="C296" s="15" t="s">
        <x:v>713</x:v>
      </x:c>
      <x:c r="D296" s="15" t="s">
        <x:v>640</x:v>
      </x:c>
      <x:c r="E296" s="6">
        <x:v>7940</x:v>
      </x:c>
      <x:c r="F296" s="6">
        <x:v>135860</x:v>
      </x:c>
      <x:c r="G296" s="9">
        <x:v>5.8449999999999995E-2</x:v>
      </x:c>
    </x:row>
    <x:row r="297">
      <x:c r="A297" s="5">
        <x:v>2017</x:v>
      </x:c>
      <x:c r="B297" s="15" t="s">
        <x:v>784</x:v>
      </x:c>
      <x:c r="C297" s="15" t="s">
        <x:v>785</x:v>
      </x:c>
      <x:c r="D297" s="15" t="s">
        <x:v>670</x:v>
      </x:c>
      <x:c r="E297" s="6">
        <x:v>65260</x:v>
      </x:c>
      <x:c r="F297" s="6">
        <x:v>1260800</x:v>
      </x:c>
      <x:c r="G297" s="9">
        <x:v>5.176E-2</x:v>
      </x:c>
    </x:row>
    <x:row r="298">
      <x:c r="A298" s="5">
        <x:v>2017</x:v>
      </x:c>
      <x:c r="B298" s="15" t="s">
        <x:v>809</x:v>
      </x:c>
      <x:c r="C298" s="15" t="s">
        <x:v>810</x:v>
      </x:c>
      <x:c r="D298" s="15" t="s">
        <x:v>670</x:v>
      </x:c>
      <x:c r="E298" s="6">
        <x:v>69360</x:v>
      </x:c>
      <x:c r="F298" s="6">
        <x:v>1547930</x:v>
      </x:c>
      <x:c r="G298" s="9">
        <x:v>4.4809999999999996E-2</x:v>
      </x:c>
    </x:row>
    <x:row r="299">
      <x:c r="A299" s="5">
        <x:v>2017</x:v>
      </x:c>
      <x:c r="B299" s="15" t="s">
        <x:v>672</x:v>
      </x:c>
      <x:c r="C299" s="15" t="s">
        <x:v>673</x:v>
      </x:c>
      <x:c r="D299" s="15" t="s">
        <x:v>670</x:v>
      </x:c>
      <x:c r="E299" s="6">
        <x:v>102730</x:v>
      </x:c>
      <x:c r="F299" s="6">
        <x:v>1534320</x:v>
      </x:c>
      <x:c r="G299" s="9">
        <x:v>6.695000000000001E-2</x:v>
      </x:c>
    </x:row>
    <x:row r="300">
      <x:c r="A300" s="5">
        <x:v>2017</x:v>
      </x:c>
      <x:c r="B300" s="15" t="s">
        <x:v>705</x:v>
      </x:c>
      <x:c r="C300" s="15" t="s">
        <x:v>780</x:v>
      </x:c>
      <x:c r="D300" s="15" t="s">
        <x:v>670</x:v>
      </x:c>
      <x:c r="E300" s="6">
        <x:v>70750</x:v>
      </x:c>
      <x:c r="F300" s="6">
        <x:v>1324750</x:v>
      </x:c>
      <x:c r="G300" s="9">
        <x:v>5.3409999999999999E-2</x:v>
      </x:c>
    </x:row>
    <x:row r="301">
      <x:c r="A301" s="5">
        <x:v>2017</x:v>
      </x:c>
      <x:c r="B301" s="15" t="s">
        <x:v>740</x:v>
      </x:c>
      <x:c r="C301" s="15" t="s">
        <x:v>741</x:v>
      </x:c>
      <x:c r="D301" s="15" t="s">
        <x:v>670</x:v>
      </x:c>
      <x:c r="E301" s="6">
        <x:v>70320</x:v>
      </x:c>
      <x:c r="F301" s="6">
        <x:v>1215390</x:v>
      </x:c>
      <x:c r="G301" s="9">
        <x:v>5.7859999999999995E-2</x:v>
      </x:c>
    </x:row>
    <x:row r="302">
      <x:c r="A302" s="5">
        <x:v>2017</x:v>
      </x:c>
      <x:c r="B302" s="15" t="s">
        <x:v>635</x:v>
      </x:c>
      <x:c r="C302" s="15" t="s">
        <x:v>10</x:v>
      </x:c>
      <x:c r="D302" s="15" t="s">
        <x:v>636</x:v>
      </x:c>
      <x:c r="E302" s="6">
        <x:v>39920</x:v>
      </x:c>
      <x:c r="F302" s="6">
        <x:v>380320</x:v>
      </x:c>
      <x:c r="G302" s="9">
        <x:v>0.10494999999999999</x:v>
      </x:c>
    </x:row>
    <x:row r="303">
      <x:c r="A303" s="5">
        <x:v>2017</x:v>
      </x:c>
      <x:c r="B303" s="15" t="s">
        <x:v>637</x:v>
      </x:c>
      <x:c r="C303" s="15" t="s">
        <x:v>14</x:v>
      </x:c>
      <x:c r="D303" s="15" t="s">
        <x:v>638</x:v>
      </x:c>
      <x:c r="E303" s="6">
        <x:v>34730</x:v>
      </x:c>
      <x:c r="F303" s="6">
        <x:v>358770</x:v>
      </x:c>
      <x:c r="G303" s="9">
        <x:v>9.6799999999999997E-2</x:v>
      </x:c>
    </x:row>
    <x:row r="304">
      <x:c r="A304" s="5">
        <x:v>2017</x:v>
      </x:c>
      <x:c r="B304" s="15" t="s">
        <x:v>749</x:v>
      </x:c>
      <x:c r="C304" s="15" t="s">
        <x:v>67</x:v>
      </x:c>
      <x:c r="D304" s="15" t="s">
        <x:v>648</x:v>
      </x:c>
      <x:c r="E304" s="6">
        <x:v>10180</x:v>
      </x:c>
      <x:c r="F304" s="6">
        <x:v>191150</x:v>
      </x:c>
      <x:c r="G304" s="9">
        <x:v>5.3269999999999998E-2</x:v>
      </x:c>
    </x:row>
    <x:row r="305">
      <x:c r="A305" s="5">
        <x:v>2017</x:v>
      </x:c>
      <x:c r="B305" s="15" t="s">
        <x:v>641</x:v>
      </x:c>
      <x:c r="C305" s="15" t="s">
        <x:v>20</x:v>
      </x:c>
      <x:c r="D305" s="15" t="s">
        <x:v>642</x:v>
      </x:c>
      <x:c r="E305" s="6">
        <x:v>72740</x:v>
      </x:c>
      <x:c r="F305" s="6">
        <x:v>885680</x:v>
      </x:c>
      <x:c r="G305" s="9">
        <x:v>8.2119999999999999E-2</x:v>
      </x:c>
    </x:row>
    <x:row r="306">
      <x:c r="A306" s="5">
        <x:v>2017</x:v>
      </x:c>
      <x:c r="B306" s="15" t="s">
        <x:v>783</x:v>
      </x:c>
      <x:c r="C306" s="15" t="s">
        <x:v>75</x:v>
      </x:c>
      <x:c r="D306" s="15" t="s">
        <x:v>774</x:v>
      </x:c>
      <x:c r="E306" s="6">
        <x:v>5130</x:v>
      </x:c>
      <x:c r="F306" s="6">
        <x:v>100420</x:v>
      </x:c>
      <x:c r="G306" s="9">
        <x:v>5.1109999999999996E-2</x:v>
      </x:c>
    </x:row>
    <x:row r="307">
      <x:c r="A307" s="5">
        <x:v>2018</x:v>
      </x:c>
      <x:c r="B307" s="15" t="s">
        <x:v>636</x:v>
      </x:c>
      <x:c r="C307" s="15" t="s">
        <x:v>786</x:v>
      </x:c>
      <x:c r="D307" s="15" t="s">
        <x:v>649</x:v>
      </x:c>
      <x:c r="E307" s="6">
        <x:v>30750</x:v>
      </x:c>
      <x:c r="F307" s="6">
        <x:v>597880</x:v>
      </x:c>
      <x:c r="G307" s="9">
        <x:v>5.1429999999999997E-2</x:v>
      </x:c>
    </x:row>
    <x:row r="308">
      <x:c r="A308" s="5">
        <x:v>2018</x:v>
      </x:c>
      <x:c r="B308" s="15" t="s">
        <x:v>638</x:v>
      </x:c>
      <x:c r="C308" s="15" t="s">
        <x:v>50</x:v>
      </x:c>
      <x:c r="D308" s="15" t="s">
        <x:v>647</x:v>
      </x:c>
      <x:c r="E308" s="6">
        <x:v>38290</x:v>
      </x:c>
      <x:c r="F308" s="6">
        <x:v>512560</x:v>
      </x:c>
      <x:c r="G308" s="9">
        <x:v>7.4709999999999999E-2</x:v>
      </x:c>
    </x:row>
    <x:row r="309">
      <x:c r="A309" s="5">
        <x:v>2018</x:v>
      </x:c>
      <x:c r="B309" s="15" t="s">
        <x:v>648</x:v>
      </x:c>
      <x:c r="C309" s="15" t="s">
        <x:v>46</x:v>
      </x:c>
      <x:c r="D309" s="15" t="s">
        <x:v>649</x:v>
      </x:c>
      <x:c r="E309" s="6">
        <x:v>24800</x:v>
      </x:c>
      <x:c r="F309" s="6">
        <x:v>325820</x:v>
      </x:c>
      <x:c r="G309" s="9">
        <x:v>7.6109999999999997E-2</x:v>
      </x:c>
    </x:row>
    <x:row r="310">
      <x:c r="A310" s="5">
        <x:v>2018</x:v>
      </x:c>
      <x:c r="B310" s="15" t="s">
        <x:v>642</x:v>
      </x:c>
      <x:c r="C310" s="15" t="s">
        <x:v>748</x:v>
      </x:c>
      <x:c r="D310" s="15" t="s">
        <x:v>672</x:v>
      </x:c>
      <x:c r="E310" s="6">
        <x:v>9800</x:v>
      </x:c>
      <x:c r="F310" s="6">
        <x:v>161020</x:v>
      </x:c>
      <x:c r="G310" s="9">
        <x:v>6.0860000000000004E-2</x:v>
      </x:c>
    </x:row>
    <x:row r="311">
      <x:c r="A311" s="5">
        <x:v>2018</x:v>
      </x:c>
      <x:c r="B311" s="15" t="s">
        <x:v>800</x:v>
      </x:c>
      <x:c r="C311" s="15" t="s">
        <x:v>801</x:v>
      </x:c>
      <x:c r="D311" s="15" t="s">
        <x:v>672</x:v>
      </x:c>
      <x:c r="E311" s="6">
        <x:v>6850</x:v>
      </x:c>
      <x:c r="F311" s="6">
        <x:v>136960</x:v>
      </x:c>
      <x:c r="G311" s="9">
        <x:v>5.0039999999999994E-2</x:v>
      </x:c>
    </x:row>
    <x:row r="312">
      <x:c r="A312" s="5">
        <x:v>2018</x:v>
      </x:c>
      <x:c r="B312" s="15" t="s">
        <x:v>774</x:v>
      </x:c>
      <x:c r="C312" s="15" t="s">
        <x:v>775</x:v>
      </x:c>
      <x:c r="D312" s="15" t="s">
        <x:v>672</x:v>
      </x:c>
      <x:c r="E312" s="6">
        <x:v>63140</x:v>
      </x:c>
      <x:c r="F312" s="6">
        <x:v>1092950</x:v>
      </x:c>
      <x:c r="G312" s="9">
        <x:v>5.7770000000000002E-2</x:v>
      </x:c>
    </x:row>
    <x:row r="313">
      <x:c r="A313" s="5">
        <x:v>2018</x:v>
      </x:c>
      <x:c r="B313" s="15" t="s">
        <x:v>742</x:v>
      </x:c>
      <x:c r="C313" s="15" t="s">
        <x:v>743</x:v>
      </x:c>
      <x:c r="D313" s="15" t="s">
        <x:v>649</x:v>
      </x:c>
      <x:c r="E313" s="6">
        <x:v>19580</x:v>
      </x:c>
      <x:c r="F313" s="6">
        <x:v>319430</x:v>
      </x:c>
      <x:c r="G313" s="9">
        <x:v>6.13E-2</x:v>
      </x:c>
    </x:row>
    <x:row r="314">
      <x:c r="A314" s="5">
        <x:v>2018</x:v>
      </x:c>
      <x:c r="B314" s="15" t="s">
        <x:v>653</x:v>
      </x:c>
      <x:c r="C314" s="15" t="s">
        <x:v>97</x:v>
      </x:c>
      <x:c r="D314" s="15" t="s">
        <x:v>651</x:v>
      </x:c>
      <x:c r="E314" s="6">
        <x:v>19470</x:v>
      </x:c>
      <x:c r="F314" s="6">
        <x:v>263190</x:v>
      </x:c>
      <x:c r="G314" s="9">
        <x:v>7.3970000000000008E-2</x:v>
      </x:c>
    </x:row>
    <x:row r="315">
      <x:c r="A315" s="5">
        <x:v>2018</x:v>
      </x:c>
      <x:c r="B315" s="15" t="s">
        <x:v>717</x:v>
      </x:c>
      <x:c r="C315" s="15" t="s">
        <x:v>718</x:v>
      </x:c>
      <x:c r="D315" s="15" t="s">
        <x:v>671</x:v>
      </x:c>
      <x:c r="E315" s="6">
        <x:v>9490</x:v>
      </x:c>
      <x:c r="F315" s="6">
        <x:v>148750</x:v>
      </x:c>
      <x:c r="G315" s="9">
        <x:v>6.3789999999999999E-2</x:v>
      </x:c>
    </x:row>
    <x:row r="316">
      <x:c r="A316" s="5">
        <x:v>2018</x:v>
      </x:c>
      <x:c r="B316" s="15" t="s">
        <x:v>668</x:v>
      </x:c>
      <x:c r="C316" s="15" t="s">
        <x:v>669</x:v>
      </x:c>
      <x:c r="D316" s="15" t="s">
        <x:v>651</x:v>
      </x:c>
      <x:c r="E316" s="6">
        <x:v>20240</x:v>
      </x:c>
      <x:c r="F316" s="6">
        <x:v>294760</x:v>
      </x:c>
      <x:c r="G316" s="9">
        <x:v>6.8659999999999999E-2</x:v>
      </x:c>
    </x:row>
    <x:row r="317">
      <x:c r="A317" s="5">
        <x:v>2018</x:v>
      </x:c>
      <x:c r="B317" s="15" t="s">
        <x:v>670</x:v>
      </x:c>
      <x:c r="C317" s="15" t="s">
        <x:v>89</x:v>
      </x:c>
      <x:c r="D317" s="15" t="s">
        <x:v>671</x:v>
      </x:c>
      <x:c r="E317" s="6">
        <x:v>25380</x:v>
      </x:c>
      <x:c r="F317" s="6">
        <x:v>364280</x:v>
      </x:c>
      <x:c r="G317" s="9">
        <x:v>6.966E-2</x:v>
      </x:c>
    </x:row>
    <x:row r="318">
      <x:c r="A318" s="5">
        <x:v>2018</x:v>
      </x:c>
      <x:c r="B318" s="15" t="s">
        <x:v>768</x:v>
      </x:c>
      <x:c r="C318" s="15" t="s">
        <x:v>769</x:v>
      </x:c>
      <x:c r="D318" s="15" t="s">
        <x:v>671</x:v>
      </x:c>
      <x:c r="E318" s="6">
        <x:v>15440</x:v>
      </x:c>
      <x:c r="F318" s="6">
        <x:v>268450</x:v>
      </x:c>
      <x:c r="G318" s="9">
        <x:v>5.7529999999999998E-2</x:v>
      </x:c>
    </x:row>
    <x:row r="319">
      <x:c r="A319" s="5">
        <x:v>2018</x:v>
      </x:c>
      <x:c r="B319" s="15" t="s">
        <x:v>744</x:v>
      </x:c>
      <x:c r="C319" s="15" t="s">
        <x:v>745</x:v>
      </x:c>
      <x:c r="D319" s="15" t="s">
        <x:v>672</x:v>
      </x:c>
      <x:c r="E319" s="6">
        <x:v>126310</x:v>
      </x:c>
      <x:c r="F319" s="6">
        <x:v>2071200</x:v>
      </x:c>
      <x:c r="G319" s="9">
        <x:v>6.0990000000000003E-2</x:v>
      </x:c>
    </x:row>
    <x:row r="320">
      <x:c r="A320" s="5">
        <x:v>2018</x:v>
      </x:c>
      <x:c r="B320" s="15" t="s">
        <x:v>772</x:v>
      </x:c>
      <x:c r="C320" s="15" t="s">
        <x:v>773</x:v>
      </x:c>
      <x:c r="D320" s="15" t="s">
        <x:v>689</x:v>
      </x:c>
      <x:c r="E320" s="6">
        <x:v>36930</x:v>
      </x:c>
      <x:c r="F320" s="6">
        <x:v>674240</x:v>
      </x:c>
      <x:c r="G320" s="9">
        <x:v>5.4770000000000006E-2</x:v>
      </x:c>
    </x:row>
    <x:row r="321">
      <x:c r="A321" s="5">
        <x:v>2018</x:v>
      </x:c>
      <x:c r="B321" s="15" t="s">
        <x:v>692</x:v>
      </x:c>
      <x:c r="C321" s="15" t="s">
        <x:v>693</x:v>
      </x:c>
      <x:c r="D321" s="15" t="s">
        <x:v>649</x:v>
      </x:c>
      <x:c r="E321" s="6">
        <x:v>8960</x:v>
      </x:c>
      <x:c r="F321" s="6">
        <x:v>138090</x:v>
      </x:c>
      <x:c r="G321" s="9">
        <x:v>6.4890000000000003E-2</x:v>
      </x:c>
    </x:row>
    <x:row r="322">
      <x:c r="A322" s="5">
        <x:v>2018</x:v>
      </x:c>
      <x:c r="B322" s="15" t="s">
        <x:v>701</x:v>
      </x:c>
      <x:c r="C322" s="15" t="s">
        <x:v>702</x:v>
      </x:c>
      <x:c r="D322" s="15" t="s">
        <x:v>644</x:v>
      </x:c>
      <x:c r="E322" s="6">
        <x:v>21370</x:v>
      </x:c>
      <x:c r="F322" s="6">
        <x:v>338140</x:v>
      </x:c>
      <x:c r="G322" s="9">
        <x:v>6.3200000000000006E-2</x:v>
      </x:c>
    </x:row>
    <x:row r="323">
      <x:c r="A323" s="5">
        <x:v>2018</x:v>
      </x:c>
      <x:c r="B323" s="15" t="s">
        <x:v>727</x:v>
      </x:c>
      <x:c r="C323" s="15" t="s">
        <x:v>728</x:v>
      </x:c>
      <x:c r="D323" s="15" t="s">
        <x:v>644</x:v>
      </x:c>
      <x:c r="E323" s="6">
        <x:v>39260</x:v>
      </x:c>
      <x:c r="F323" s="6">
        <x:v>647250</x:v>
      </x:c>
      <x:c r="G323" s="9">
        <x:v>6.0650000000000003E-2</x:v>
      </x:c>
    </x:row>
    <x:row r="324">
      <x:c r="A324" s="5">
        <x:v>2018</x:v>
      </x:c>
      <x:c r="B324" s="15" t="s">
        <x:v>654</x:v>
      </x:c>
      <x:c r="C324" s="15" t="s">
        <x:v>86</x:v>
      </x:c>
      <x:c r="D324" s="15" t="s">
        <x:v>646</x:v>
      </x:c>
      <x:c r="E324" s="6">
        <x:v>21730</x:v>
      </x:c>
      <x:c r="F324" s="6">
        <x:v>293220</x:v>
      </x:c>
      <x:c r="G324" s="9">
        <x:v>7.4109999999999995E-2</x:v>
      </x:c>
    </x:row>
    <x:row r="325">
      <x:c r="A325" s="5">
        <x:v>2018</x:v>
      </x:c>
      <x:c r="B325" s="15" t="s">
        <x:v>681</x:v>
      </x:c>
      <x:c r="C325" s="15" t="s">
        <x:v>682</x:v>
      </x:c>
      <x:c r="D325" s="15" t="s">
        <x:v>644</x:v>
      </x:c>
      <x:c r="E325" s="6">
        <x:v>15640</x:v>
      </x:c>
      <x:c r="F325" s="6">
        <x:v>230510</x:v>
      </x:c>
      <x:c r="G325" s="9">
        <x:v>6.7850000000000008E-2</x:v>
      </x:c>
    </x:row>
    <x:row r="326">
      <x:c r="A326" s="5">
        <x:v>2018</x:v>
      </x:c>
      <x:c r="B326" s="15" t="s">
        <x:v>746</x:v>
      </x:c>
      <x:c r="C326" s="15" t="s">
        <x:v>747</x:v>
      </x:c>
      <x:c r="D326" s="15" t="s">
        <x:v>640</x:v>
      </x:c>
      <x:c r="E326" s="6">
        <x:v>30000</x:v>
      </x:c>
      <x:c r="F326" s="6">
        <x:v>509600</x:v>
      </x:c>
      <x:c r="G326" s="9">
        <x:v>5.8880000000000002E-2</x:v>
      </x:c>
    </x:row>
    <x:row r="327">
      <x:c r="A327" s="5">
        <x:v>2018</x:v>
      </x:c>
      <x:c r="B327" s="15" t="s">
        <x:v>797</x:v>
      </x:c>
      <x:c r="C327" s="15" t="s">
        <x:v>798</x:v>
      </x:c>
      <x:c r="D327" s="15" t="s">
        <x:v>799</x:v>
      </x:c>
      <x:c r="E327" s="6">
        <x:v>27840</x:v>
      </x:c>
      <x:c r="F327" s="6">
        <x:v>587830</x:v>
      </x:c>
      <x:c r="G327" s="9">
        <x:v>4.7359999999999999E-2</x:v>
      </x:c>
    </x:row>
    <x:row r="328">
      <x:c r="A328" s="5">
        <x:v>2018</x:v>
      </x:c>
      <x:c r="B328" s="15" t="s">
        <x:v>643</x:v>
      </x:c>
      <x:c r="C328" s="15" t="s">
        <x:v>30</x:v>
      </x:c>
      <x:c r="D328" s="15" t="s">
        <x:v>644</x:v>
      </x:c>
      <x:c r="E328" s="6">
        <x:v>9140</x:v>
      </x:c>
      <x:c r="F328" s="6">
        <x:v>109040</x:v>
      </x:c>
      <x:c r="G328" s="9">
        <x:v>8.3800000000000013E-2</x:v>
      </x:c>
    </x:row>
    <x:row r="329">
      <x:c r="A329" s="5">
        <x:v>2018</x:v>
      </x:c>
      <x:c r="B329" s="15" t="s">
        <x:v>646</x:v>
      </x:c>
      <x:c r="C329" s="15" t="s">
        <x:v>674</x:v>
      </x:c>
      <x:c r="D329" s="15" t="s">
        <x:v>644</x:v>
      </x:c>
      <x:c r="E329" s="6">
        <x:v>27710</x:v>
      </x:c>
      <x:c r="F329" s="6">
        <x:v>397340</x:v>
      </x:c>
      <x:c r="G329" s="9">
        <x:v>6.9749999999999993E-2</x:v>
      </x:c>
    </x:row>
    <x:row r="330">
      <x:c r="A330" s="5">
        <x:v>2018</x:v>
      </x:c>
      <x:c r="B330" s="15" t="s">
        <x:v>766</x:v>
      </x:c>
      <x:c r="C330" s="15" t="s">
        <x:v>767</x:v>
      </x:c>
      <x:c r="D330" s="15" t="s">
        <x:v>640</x:v>
      </x:c>
      <x:c r="E330" s="6">
        <x:v>29150</x:v>
      </x:c>
      <x:c r="F330" s="6">
        <x:v>526970</x:v>
      </x:c>
      <x:c r="G330" s="9">
        <x:v>5.5320000000000001E-2</x:v>
      </x:c>
    </x:row>
    <x:row r="331">
      <x:c r="A331" s="5">
        <x:v>2018</x:v>
      </x:c>
      <x:c r="B331" s="15" t="s">
        <x:v>764</x:v>
      </x:c>
      <x:c r="C331" s="15" t="s">
        <x:v>765</x:v>
      </x:c>
      <x:c r="D331" s="15" t="s">
        <x:v>649</x:v>
      </x:c>
      <x:c r="E331" s="6">
        <x:v>30200</x:v>
      </x:c>
      <x:c r="F331" s="6">
        <x:v>511690</x:v>
      </x:c>
      <x:c r="G331" s="9">
        <x:v>5.901E-2</x:v>
      </x:c>
    </x:row>
    <x:row r="332">
      <x:c r="A332" s="5">
        <x:v>2018</x:v>
      </x:c>
      <x:c r="B332" s="15" t="s">
        <x:v>640</x:v>
      </x:c>
      <x:c r="C332" s="15" t="s">
        <x:v>724</x:v>
      </x:c>
      <x:c r="D332" s="15" t="s">
        <x:v>689</x:v>
      </x:c>
      <x:c r="E332" s="6">
        <x:v>35050</x:v>
      </x:c>
      <x:c r="F332" s="6">
        <x:v>581720</x:v>
      </x:c>
      <x:c r="G332" s="9">
        <x:v>6.0250000000000005E-2</x:v>
      </x:c>
    </x:row>
    <x:row r="333">
      <x:c r="A333" s="5">
        <x:v>2018</x:v>
      </x:c>
      <x:c r="B333" s="15" t="s">
        <x:v>689</x:v>
      </x:c>
      <x:c r="C333" s="15" t="s">
        <x:v>694</x:v>
      </x:c>
      <x:c r="D333" s="15" t="s">
        <x:v>646</x:v>
      </x:c>
      <x:c r="E333" s="6">
        <x:v>26490</x:v>
      </x:c>
      <x:c r="F333" s="6">
        <x:v>417540</x:v>
      </x:c>
      <x:c r="G333" s="9">
        <x:v>6.3439999999999996E-2</x:v>
      </x:c>
    </x:row>
    <x:row r="334">
      <x:c r="A334" s="5">
        <x:v>2018</x:v>
      </x:c>
      <x:c r="B334" s="15" t="s">
        <x:v>811</x:v>
      </x:c>
      <x:c r="C334" s="15" t="s">
        <x:v>812</x:v>
      </x:c>
      <x:c r="D334" s="15" t="s">
        <x:v>799</x:v>
      </x:c>
      <x:c r="E334" s="6">
        <x:v>39160</x:v>
      </x:c>
      <x:c r="F334" s="6">
        <x:v>893610</x:v>
      </x:c>
      <x:c r="G334" s="9">
        <x:v>4.3819999999999998E-2</x:v>
      </x:c>
    </x:row>
    <x:row r="335">
      <x:c r="A335" s="5">
        <x:v>2018</x:v>
      </x:c>
      <x:c r="B335" s="15" t="s">
        <x:v>719</x:v>
      </x:c>
      <x:c r="C335" s="15" t="s">
        <x:v>720</x:v>
      </x:c>
      <x:c r="D335" s="15" t="s">
        <x:v>705</x:v>
      </x:c>
      <x:c r="E335" s="6">
        <x:v>8550</x:v>
      </x:c>
      <x:c r="F335" s="6">
        <x:v>138030</x:v>
      </x:c>
      <x:c r="G335" s="9">
        <x:v>6.1950000000000005E-2</x:v>
      </x:c>
    </x:row>
    <x:row r="336">
      <x:c r="A336" s="5">
        <x:v>2018</x:v>
      </x:c>
      <x:c r="B336" s="15" t="s">
        <x:v>703</x:v>
      </x:c>
      <x:c r="C336" s="15" t="s">
        <x:v>704</x:v>
      </x:c>
      <x:c r="D336" s="15" t="s">
        <x:v>705</x:v>
      </x:c>
      <x:c r="E336" s="6">
        <x:v>9800</x:v>
      </x:c>
      <x:c r="F336" s="6">
        <x:v>151050</x:v>
      </x:c>
      <x:c r="G336" s="9">
        <x:v>6.4850000000000005E-2</x:v>
      </x:c>
    </x:row>
    <x:row r="337">
      <x:c r="A337" s="5">
        <x:v>2018</x:v>
      </x:c>
      <x:c r="B337" s="15" t="s">
        <x:v>725</x:v>
      </x:c>
      <x:c r="C337" s="15" t="s">
        <x:v>726</x:v>
      </x:c>
      <x:c r="D337" s="15" t="s">
        <x:v>671</x:v>
      </x:c>
      <x:c r="E337" s="6">
        <x:v>45890</x:v>
      </x:c>
      <x:c r="F337" s="6">
        <x:v>745910</x:v>
      </x:c>
      <x:c r="G337" s="9">
        <x:v>6.1519999999999998E-2</x:v>
      </x:c>
    </x:row>
    <x:row r="338">
      <x:c r="A338" s="5">
        <x:v>2018</x:v>
      </x:c>
      <x:c r="B338" s="15" t="s">
        <x:v>813</x:v>
      </x:c>
      <x:c r="C338" s="15" t="s">
        <x:v>814</x:v>
      </x:c>
      <x:c r="D338" s="15" t="s">
        <x:v>671</x:v>
      </x:c>
      <x:c r="E338" s="6">
        <x:v>59750</x:v>
      </x:c>
      <x:c r="F338" s="6">
        <x:v>1338290</x:v>
      </x:c>
      <x:c r="G338" s="9">
        <x:v>4.4640000000000006E-2</x:v>
      </x:c>
    </x:row>
    <x:row r="339">
      <x:c r="A339" s="5">
        <x:v>2018</x:v>
      </x:c>
      <x:c r="B339" s="15" t="s">
        <x:v>647</x:v>
      </x:c>
      <x:c r="C339" s="15" t="s">
        <x:v>721</x:v>
      </x:c>
      <x:c r="D339" s="15" t="s">
        <x:v>671</x:v>
      </x:c>
      <x:c r="E339" s="6">
        <x:v>11300</x:v>
      </x:c>
      <x:c r="F339" s="6">
        <x:v>185570</x:v>
      </x:c>
      <x:c r="G339" s="9">
        <x:v>6.0880000000000004E-2</x:v>
      </x:c>
    </x:row>
    <x:row r="340">
      <x:c r="A340" s="5">
        <x:v>2018</x:v>
      </x:c>
      <x:c r="B340" s="15" t="s">
        <x:v>795</x:v>
      </x:c>
      <x:c r="C340" s="15" t="s">
        <x:v>796</x:v>
      </x:c>
      <x:c r="D340" s="15" t="s">
        <x:v>644</x:v>
      </x:c>
      <x:c r="E340" s="6">
        <x:v>80250</x:v>
      </x:c>
      <x:c r="F340" s="6">
        <x:v>1592230</x:v>
      </x:c>
      <x:c r="G340" s="9">
        <x:v>5.04E-2</x:v>
      </x:c>
    </x:row>
    <x:row r="341">
      <x:c r="A341" s="5">
        <x:v>2018</x:v>
      </x:c>
      <x:c r="B341" s="15" t="s">
        <x:v>781</x:v>
      </x:c>
      <x:c r="C341" s="15" t="s">
        <x:v>782</x:v>
      </x:c>
      <x:c r="D341" s="15" t="s">
        <x:v>671</x:v>
      </x:c>
      <x:c r="E341" s="6">
        <x:v>64510</x:v>
      </x:c>
      <x:c r="F341" s="6">
        <x:v>1148440</x:v>
      </x:c>
      <x:c r="G341" s="9">
        <x:v>5.6169999999999998E-2</x:v>
      </x:c>
    </x:row>
    <x:row r="342">
      <x:c r="A342" s="5">
        <x:v>2018</x:v>
      </x:c>
      <x:c r="B342" s="15" t="s">
        <x:v>819</x:v>
      </x:c>
      <x:c r="C342" s="15" t="s">
        <x:v>820</x:v>
      </x:c>
      <x:c r="D342" s="15" t="s">
        <x:v>799</x:v>
      </x:c>
      <x:c r="E342" s="6">
        <x:v>36370</x:v>
      </x:c>
      <x:c r="F342" s="6">
        <x:v>1033370</x:v>
      </x:c>
      <x:c r="G342" s="9">
        <x:v>3.5200000000000002E-2</x:v>
      </x:c>
    </x:row>
    <x:row r="343">
      <x:c r="A343" s="5">
        <x:v>2018</x:v>
      </x:c>
      <x:c r="B343" s="15" t="s">
        <x:v>645</x:v>
      </x:c>
      <x:c r="C343" s="15" t="s">
        <x:v>34</x:v>
      </x:c>
      <x:c r="D343" s="15" t="s">
        <x:v>646</x:v>
      </x:c>
      <x:c r="E343" s="6">
        <x:v>16530</x:v>
      </x:c>
      <x:c r="F343" s="6">
        <x:v>210480</x:v>
      </x:c>
      <x:c r="G343" s="9">
        <x:v>7.8509999999999996E-2</x:v>
      </x:c>
    </x:row>
    <x:row r="344">
      <x:c r="A344" s="5">
        <x:v>2018</x:v>
      </x:c>
      <x:c r="B344" s="15" t="s">
        <x:v>778</x:v>
      </x:c>
      <x:c r="C344" s="15" t="s">
        <x:v>779</x:v>
      </x:c>
      <x:c r="D344" s="15" t="s">
        <x:v>646</x:v>
      </x:c>
      <x:c r="E344" s="6">
        <x:v>33370</x:v>
      </x:c>
      <x:c r="F344" s="6">
        <x:v>599860</x:v>
      </x:c>
      <x:c r="G344" s="9">
        <x:v>5.5640000000000002E-2</x:v>
      </x:c>
    </x:row>
    <x:row r="345">
      <x:c r="A345" s="5">
        <x:v>2018</x:v>
      </x:c>
      <x:c r="B345" s="15" t="s">
        <x:v>787</x:v>
      </x:c>
      <x:c r="C345" s="15" t="s">
        <x:v>788</x:v>
      </x:c>
      <x:c r="D345" s="15" t="s">
        <x:v>649</x:v>
      </x:c>
      <x:c r="E345" s="6">
        <x:v>66890</x:v>
      </x:c>
      <x:c r="F345" s="6">
        <x:v>1255580</x:v>
      </x:c>
      <x:c r="G345" s="9">
        <x:v>5.3269999999999998E-2</x:v>
      </x:c>
    </x:row>
    <x:row r="346">
      <x:c r="A346" s="5">
        <x:v>2018</x:v>
      </x:c>
      <x:c r="B346" s="15" t="s">
        <x:v>729</x:v>
      </x:c>
      <x:c r="C346" s="15" t="s">
        <x:v>730</x:v>
      </x:c>
      <x:c r="D346" s="15" t="s">
        <x:v>640</x:v>
      </x:c>
      <x:c r="E346" s="6">
        <x:v>14870</x:v>
      </x:c>
      <x:c r="F346" s="6">
        <x:v>252800</x:v>
      </x:c>
      <x:c r="G346" s="9">
        <x:v>5.883E-2</x:v>
      </x:c>
    </x:row>
    <x:row r="347">
      <x:c r="A347" s="5">
        <x:v>2018</x:v>
      </x:c>
      <x:c r="B347" s="15" t="s">
        <x:v>738</x:v>
      </x:c>
      <x:c r="C347" s="15" t="s">
        <x:v>739</x:v>
      </x:c>
      <x:c r="D347" s="15" t="s">
        <x:v>644</x:v>
      </x:c>
      <x:c r="E347" s="6">
        <x:v>25220</x:v>
      </x:c>
      <x:c r="F347" s="6">
        <x:v>413170</x:v>
      </x:c>
      <x:c r="G347" s="9">
        <x:v>6.1030000000000001E-2</x:v>
      </x:c>
    </x:row>
    <x:row r="348">
      <x:c r="A348" s="5">
        <x:v>2018</x:v>
      </x:c>
      <x:c r="B348" s="15" t="s">
        <x:v>666</x:v>
      </x:c>
      <x:c r="C348" s="15" t="s">
        <x:v>667</x:v>
      </x:c>
      <x:c r="D348" s="15" t="s">
        <x:v>646</x:v>
      </x:c>
      <x:c r="E348" s="6">
        <x:v>22640</x:v>
      </x:c>
      <x:c r="F348" s="6">
        <x:v>321880</x:v>
      </x:c>
      <x:c r="G348" s="9">
        <x:v>7.034E-2</x:v>
      </x:c>
    </x:row>
    <x:row r="349">
      <x:c r="A349" s="5">
        <x:v>2018</x:v>
      </x:c>
      <x:c r="B349" s="15" t="s">
        <x:v>722</x:v>
      </x:c>
      <x:c r="C349" s="15" t="s">
        <x:v>723</x:v>
      </x:c>
      <x:c r="D349" s="15" t="s">
        <x:v>649</x:v>
      </x:c>
      <x:c r="E349" s="6">
        <x:v>46940</x:v>
      </x:c>
      <x:c r="F349" s="6">
        <x:v>746700</x:v>
      </x:c>
      <x:c r="G349" s="9">
        <x:v>6.2859999999999999E-2</x:v>
      </x:c>
    </x:row>
    <x:row r="350">
      <x:c r="A350" s="5">
        <x:v>2018</x:v>
      </x:c>
      <x:c r="B350" s="15" t="s">
        <x:v>736</x:v>
      </x:c>
      <x:c r="C350" s="15" t="s">
        <x:v>737</x:v>
      </x:c>
      <x:c r="D350" s="15" t="s">
        <x:v>649</x:v>
      </x:c>
      <x:c r="E350" s="6">
        <x:v>13360</x:v>
      </x:c>
      <x:c r="F350" s="6">
        <x:v>219900</x:v>
      </x:c>
      <x:c r="G350" s="9">
        <x:v>6.0759999999999995E-2</x:v>
      </x:c>
    </x:row>
    <x:row r="351">
      <x:c r="A351" s="5">
        <x:v>2018</x:v>
      </x:c>
      <x:c r="B351" s="15" t="s">
        <x:v>651</x:v>
      </x:c>
      <x:c r="C351" s="15" t="s">
        <x:v>816</x:v>
      </x:c>
      <x:c r="D351" s="15" t="s">
        <x:v>652</x:v>
      </x:c>
      <x:c r="E351" s="6">
        <x:v>57430</x:v>
      </x:c>
      <x:c r="F351" s="6">
        <x:v>1392440</x:v>
      </x:c>
      <x:c r="G351" s="9">
        <x:v>4.1239999999999999E-2</x:v>
      </x:c>
    </x:row>
    <x:row r="352">
      <x:c r="A352" s="5">
        <x:v>2018</x:v>
      </x:c>
      <x:c r="B352" s="15" t="s">
        <x:v>697</x:v>
      </x:c>
      <x:c r="C352" s="15" t="s">
        <x:v>698</x:v>
      </x:c>
      <x:c r="D352" s="15" t="s">
        <x:v>646</x:v>
      </x:c>
      <x:c r="E352" s="6">
        <x:v>41970</x:v>
      </x:c>
      <x:c r="F352" s="6">
        <x:v>658640</x:v>
      </x:c>
      <x:c r="G352" s="9">
        <x:v>6.3719999999999999E-2</x:v>
      </x:c>
    </x:row>
    <x:row r="353">
      <x:c r="A353" s="5">
        <x:v>2018</x:v>
      </x:c>
      <x:c r="B353" s="15" t="s">
        <x:v>706</x:v>
      </x:c>
      <x:c r="C353" s="15" t="s">
        <x:v>707</x:v>
      </x:c>
      <x:c r="D353" s="15" t="s">
        <x:v>671</x:v>
      </x:c>
      <x:c r="E353" s="6">
        <x:v>10850</x:v>
      </x:c>
      <x:c r="F353" s="6">
        <x:v>166760</x:v>
      </x:c>
      <x:c r="G353" s="9">
        <x:v>6.5090000000000009E-2</x:v>
      </x:c>
    </x:row>
    <x:row r="354">
      <x:c r="A354" s="5">
        <x:v>2018</x:v>
      </x:c>
      <x:c r="B354" s="15" t="s">
        <x:v>710</x:v>
      </x:c>
      <x:c r="C354" s="15" t="s">
        <x:v>711</x:v>
      </x:c>
      <x:c r="D354" s="15" t="s">
        <x:v>644</x:v>
      </x:c>
      <x:c r="E354" s="6">
        <x:v>20500</x:v>
      </x:c>
      <x:c r="F354" s="6">
        <x:v>324090</x:v>
      </x:c>
      <x:c r="G354" s="9">
        <x:v>6.3240000000000005E-2</x:v>
      </x:c>
    </x:row>
    <x:row r="355">
      <x:c r="A355" s="5">
        <x:v>2018</x:v>
      </x:c>
      <x:c r="B355" s="15" t="s">
        <x:v>776</x:v>
      </x:c>
      <x:c r="C355" s="15" t="s">
        <x:v>777</x:v>
      </x:c>
      <x:c r="D355" s="15" t="s">
        <x:v>671</x:v>
      </x:c>
      <x:c r="E355" s="6">
        <x:v>3980</x:v>
      </x:c>
      <x:c r="F355" s="6">
        <x:v>70970</x:v>
      </x:c>
      <x:c r="G355" s="9">
        <x:v>5.6079999999999998E-2</x:v>
      </x:c>
    </x:row>
    <x:row r="356">
      <x:c r="A356" s="5">
        <x:v>2018</x:v>
      </x:c>
      <x:c r="B356" s="15" t="s">
        <x:v>793</x:v>
      </x:c>
      <x:c r="C356" s="15" t="s">
        <x:v>794</x:v>
      </x:c>
      <x:c r="D356" s="15" t="s">
        <x:v>652</x:v>
      </x:c>
      <x:c r="E356" s="6">
        <x:v>39050</x:v>
      </x:c>
      <x:c r="F356" s="6">
        <x:v>795710</x:v>
      </x:c>
      <x:c r="G356" s="9">
        <x:v>4.9070000000000003E-2</x:v>
      </x:c>
    </x:row>
    <x:row r="357">
      <x:c r="A357" s="5">
        <x:v>2018</x:v>
      </x:c>
      <x:c r="B357" s="15" t="s">
        <x:v>770</x:v>
      </x:c>
      <x:c r="C357" s="15" t="s">
        <x:v>771</x:v>
      </x:c>
      <x:c r="D357" s="15" t="s">
        <x:v>689</x:v>
      </x:c>
      <x:c r="E357" s="6">
        <x:v>26120</x:v>
      </x:c>
      <x:c r="F357" s="6">
        <x:v>482000</x:v>
      </x:c>
      <x:c r="G357" s="9">
        <x:v>5.4189999999999995E-2</x:v>
      </x:c>
    </x:row>
    <x:row r="358">
      <x:c r="A358" s="5">
        <x:v>2018</x:v>
      </x:c>
      <x:c r="B358" s="15" t="s">
        <x:v>679</x:v>
      </x:c>
      <x:c r="C358" s="15" t="s">
        <x:v>680</x:v>
      </x:c>
      <x:c r="D358" s="15" t="s">
        <x:v>651</x:v>
      </x:c>
      <x:c r="E358" s="6">
        <x:v>35850</x:v>
      </x:c>
      <x:c r="F358" s="6">
        <x:v>545820</x:v>
      </x:c>
      <x:c r="G358" s="9">
        <x:v>6.5680000000000002E-2</x:v>
      </x:c>
    </x:row>
    <x:row r="359">
      <x:c r="A359" s="5">
        <x:v>2018</x:v>
      </x:c>
      <x:c r="B359" s="15" t="s">
        <x:v>652</x:v>
      </x:c>
      <x:c r="C359" s="15" t="s">
        <x:v>182</x:v>
      </x:c>
      <x:c r="D359" s="15" t="s">
        <x:v>651</x:v>
      </x:c>
      <x:c r="E359" s="6">
        <x:v>12550</x:v>
      </x:c>
      <x:c r="F359" s="6">
        <x:v>167950</x:v>
      </x:c>
      <x:c r="G359" s="9">
        <x:v>7.4709999999999999E-2</x:v>
      </x:c>
    </x:row>
    <x:row r="360">
      <x:c r="A360" s="5">
        <x:v>2018</x:v>
      </x:c>
      <x:c r="B360" s="15" t="s">
        <x:v>799</x:v>
      </x:c>
      <x:c r="C360" s="15" t="s">
        <x:v>804</x:v>
      </x:c>
      <x:c r="D360" s="15" t="s">
        <x:v>652</x:v>
      </x:c>
      <x:c r="E360" s="6">
        <x:v>13340</x:v>
      </x:c>
      <x:c r="F360" s="6">
        <x:v>296540</x:v>
      </x:c>
      <x:c r="G360" s="9">
        <x:v>4.4969999999999996E-2</x:v>
      </x:c>
    </x:row>
    <x:row r="361">
      <x:c r="A361" s="5">
        <x:v>2018</x:v>
      </x:c>
      <x:c r="B361" s="15" t="s">
        <x:v>685</x:v>
      </x:c>
      <x:c r="C361" s="15" t="s">
        <x:v>686</x:v>
      </x:c>
      <x:c r="D361" s="15" t="s">
        <x:v>651</x:v>
      </x:c>
      <x:c r="E361" s="6">
        <x:v>44460</x:v>
      </x:c>
      <x:c r="F361" s="6">
        <x:v>662730</x:v>
      </x:c>
      <x:c r="G361" s="9">
        <x:v>6.7080000000000001E-2</x:v>
      </x:c>
    </x:row>
    <x:row r="362">
      <x:c r="A362" s="5">
        <x:v>2018</x:v>
      </x:c>
      <x:c r="B362" s="15" t="s">
        <x:v>656</x:v>
      </x:c>
      <x:c r="C362" s="15" t="s">
        <x:v>657</x:v>
      </x:c>
      <x:c r="D362" s="15" t="s">
        <x:v>651</x:v>
      </x:c>
      <x:c r="E362" s="6">
        <x:v>12260</x:v>
      </x:c>
      <x:c r="F362" s="6">
        <x:v>174210</x:v>
      </x:c>
      <x:c r="G362" s="9">
        <x:v>7.0370000000000002E-2</x:v>
      </x:c>
    </x:row>
    <x:row r="363">
      <x:c r="A363" s="5">
        <x:v>2018</x:v>
      </x:c>
      <x:c r="B363" s="15" t="s">
        <x:v>802</x:v>
      </x:c>
      <x:c r="C363" s="15" t="s">
        <x:v>803</x:v>
      </x:c>
      <x:c r="D363" s="15" t="s">
        <x:v>799</x:v>
      </x:c>
      <x:c r="E363" s="6">
        <x:v>35130</x:v>
      </x:c>
      <x:c r="F363" s="6">
        <x:v>743260</x:v>
      </x:c>
      <x:c r="G363" s="9">
        <x:v>4.7259999999999996E-2</x:v>
      </x:c>
    </x:row>
    <x:row r="364">
      <x:c r="A364" s="5">
        <x:v>2018</x:v>
      </x:c>
      <x:c r="B364" s="15" t="s">
        <x:v>650</x:v>
      </x:c>
      <x:c r="C364" s="15" t="s">
        <x:v>38</x:v>
      </x:c>
      <x:c r="D364" s="15" t="s">
        <x:v>651</x:v>
      </x:c>
      <x:c r="E364" s="6">
        <x:v>68390</x:v>
      </x:c>
      <x:c r="F364" s="6">
        <x:v>905850</x:v>
      </x:c>
      <x:c r="G364" s="9">
        <x:v>7.5499999999999998E-2</x:v>
      </x:c>
    </x:row>
    <x:row r="365">
      <x:c r="A365" s="5">
        <x:v>2018</x:v>
      </x:c>
      <x:c r="B365" s="15" t="s">
        <x:v>639</x:v>
      </x:c>
      <x:c r="C365" s="15" t="s">
        <x:v>19</x:v>
      </x:c>
      <x:c r="D365" s="15" t="s">
        <x:v>640</x:v>
      </x:c>
      <x:c r="E365" s="6">
        <x:v>17370</x:v>
      </x:c>
      <x:c r="F365" s="6">
        <x:v>196100</x:v>
      </x:c>
      <x:c r="G365" s="9">
        <x:v>8.8590000000000002E-2</x:v>
      </x:c>
    </x:row>
    <x:row r="366">
      <x:c r="A366" s="5">
        <x:v>2018</x:v>
      </x:c>
      <x:c r="B366" s="15" t="s">
        <x:v>690</x:v>
      </x:c>
      <x:c r="C366" s="15" t="s">
        <x:v>691</x:v>
      </x:c>
      <x:c r="D366" s="15" t="s">
        <x:v>647</x:v>
      </x:c>
      <x:c r="E366" s="6">
        <x:v>164100</x:v>
      </x:c>
      <x:c r="F366" s="6">
        <x:v>2508450</x:v>
      </x:c>
      <x:c r="G366" s="9">
        <x:v>6.5419999999999992E-2</x:v>
      </x:c>
    </x:row>
    <x:row r="367">
      <x:c r="A367" s="5">
        <x:v>2018</x:v>
      </x:c>
      <x:c r="B367" s="15" t="s">
        <x:v>708</x:v>
      </x:c>
      <x:c r="C367" s="15" t="s">
        <x:v>709</x:v>
      </x:c>
      <x:c r="D367" s="15" t="s">
        <x:v>647</x:v>
      </x:c>
      <x:c r="E367" s="6">
        <x:v>48920</x:v>
      </x:c>
      <x:c r="F367" s="6">
        <x:v>800370</x:v>
      </x:c>
      <x:c r="G367" s="9">
        <x:v>6.1120000000000001E-2</x:v>
      </x:c>
    </x:row>
    <x:row r="368">
      <x:c r="A368" s="5">
        <x:v>2018</x:v>
      </x:c>
      <x:c r="B368" s="15" t="s">
        <x:v>687</x:v>
      </x:c>
      <x:c r="C368" s="15" t="s">
        <x:v>688</x:v>
      </x:c>
      <x:c r="D368" s="15" t="s">
        <x:v>689</x:v>
      </x:c>
      <x:c r="E368" s="6">
        <x:v>17460</x:v>
      </x:c>
      <x:c r="F368" s="6">
        <x:v>268560</x:v>
      </x:c>
      <x:c r="G368" s="9">
        <x:v>6.5030000000000004E-2</x:v>
      </x:c>
    </x:row>
    <x:row r="369">
      <x:c r="A369" s="5">
        <x:v>2018</x:v>
      </x:c>
      <x:c r="B369" s="15" t="s">
        <x:v>658</x:v>
      </x:c>
      <x:c r="C369" s="15" t="s">
        <x:v>659</x:v>
      </x:c>
      <x:c r="D369" s="15" t="s">
        <x:v>647</x:v>
      </x:c>
      <x:c r="E369" s="6">
        <x:v>101390</x:v>
      </x:c>
      <x:c r="F369" s="6">
        <x:v>1436490</x:v>
      </x:c>
      <x:c r="G369" s="9">
        <x:v>7.0580000000000004E-2</x:v>
      </x:c>
    </x:row>
    <x:row r="370">
      <x:c r="A370" s="5">
        <x:v>2018</x:v>
      </x:c>
      <x:c r="B370" s="15" t="s">
        <x:v>760</x:v>
      </x:c>
      <x:c r="C370" s="15" t="s">
        <x:v>761</x:v>
      </x:c>
      <x:c r="D370" s="15" t="s">
        <x:v>649</x:v>
      </x:c>
      <x:c r="E370" s="6">
        <x:v>37180</x:v>
      </x:c>
      <x:c r="F370" s="6">
        <x:v>635520</x:v>
      </x:c>
      <x:c r="G370" s="9">
        <x:v>5.851E-2</x:v>
      </x:c>
    </x:row>
    <x:row r="371">
      <x:c r="A371" s="5">
        <x:v>2018</x:v>
      </x:c>
      <x:c r="B371" s="15" t="s">
        <x:v>789</x:v>
      </x:c>
      <x:c r="C371" s="15" t="s">
        <x:v>790</x:v>
      </x:c>
      <x:c r="D371" s="15" t="s">
        <x:v>644</x:v>
      </x:c>
      <x:c r="E371" s="6">
        <x:v>35460</x:v>
      </x:c>
      <x:c r="F371" s="6">
        <x:v>663000</x:v>
      </x:c>
      <x:c r="G371" s="9">
        <x:v>5.3490000000000003E-2</x:v>
      </x:c>
    </x:row>
    <x:row r="372">
      <x:c r="A372" s="5">
        <x:v>2018</x:v>
      </x:c>
      <x:c r="B372" s="15" t="s">
        <x:v>734</x:v>
      </x:c>
      <x:c r="C372" s="15" t="s">
        <x:v>735</x:v>
      </x:c>
      <x:c r="D372" s="15" t="s">
        <x:v>671</x:v>
      </x:c>
      <x:c r="E372" s="6">
        <x:v>14040</x:v>
      </x:c>
      <x:c r="F372" s="6">
        <x:v>226750</x:v>
      </x:c>
      <x:c r="G372" s="9">
        <x:v>6.1920000000000003E-2</x:v>
      </x:c>
    </x:row>
    <x:row r="373">
      <x:c r="A373" s="5">
        <x:v>2018</x:v>
      </x:c>
      <x:c r="B373" s="15" t="s">
        <x:v>695</x:v>
      </x:c>
      <x:c r="C373" s="15" t="s">
        <x:v>696</x:v>
      </x:c>
      <x:c r="D373" s="15" t="s">
        <x:v>671</x:v>
      </x:c>
      <x:c r="E373" s="6">
        <x:v>30930</x:v>
      </x:c>
      <x:c r="F373" s="6">
        <x:v>475870</x:v>
      </x:c>
      <x:c r="G373" s="9">
        <x:v>6.5009999999999998E-2</x:v>
      </x:c>
    </x:row>
    <x:row r="374">
      <x:c r="A374" s="5">
        <x:v>2018</x:v>
      </x:c>
      <x:c r="B374" s="15" t="s">
        <x:v>699</x:v>
      </x:c>
      <x:c r="C374" s="15" t="s">
        <x:v>700</x:v>
      </x:c>
      <x:c r="D374" s="15" t="s">
        <x:v>651</x:v>
      </x:c>
      <x:c r="E374" s="6">
        <x:v>72220</x:v>
      </x:c>
      <x:c r="F374" s="6">
        <x:v>1098330</x:v>
      </x:c>
      <x:c r="G374" s="9">
        <x:v>6.5759999999999999E-2</x:v>
      </x:c>
    </x:row>
    <x:row r="375">
      <x:c r="A375" s="5">
        <x:v>2018</x:v>
      </x:c>
      <x:c r="B375" s="15" t="s">
        <x:v>677</x:v>
      </x:c>
      <x:c r="C375" s="15" t="s">
        <x:v>678</x:v>
      </x:c>
      <x:c r="D375" s="15" t="s">
        <x:v>651</x:v>
      </x:c>
      <x:c r="E375" s="6">
        <x:v>48970</x:v>
      </x:c>
      <x:c r="F375" s="6">
        <x:v>727250</x:v>
      </x:c>
      <x:c r="G375" s="9">
        <x:v>6.7339999999999997E-2</x:v>
      </x:c>
    </x:row>
    <x:row r="376">
      <x:c r="A376" s="5">
        <x:v>2018</x:v>
      </x:c>
      <x:c r="B376" s="15" t="s">
        <x:v>791</x:v>
      </x:c>
      <x:c r="C376" s="15" t="s">
        <x:v>792</x:v>
      </x:c>
      <x:c r="D376" s="15" t="s">
        <x:v>649</x:v>
      </x:c>
      <x:c r="E376" s="6">
        <x:v>92750</x:v>
      </x:c>
      <x:c r="F376" s="6">
        <x:v>1833450</x:v>
      </x:c>
      <x:c r="G376" s="9">
        <x:v>5.0590000000000003E-2</x:v>
      </x:c>
    </x:row>
    <x:row r="377">
      <x:c r="A377" s="5">
        <x:v>2018</x:v>
      </x:c>
      <x:c r="B377" s="15" t="s">
        <x:v>664</x:v>
      </x:c>
      <x:c r="C377" s="15" t="s">
        <x:v>665</x:v>
      </x:c>
      <x:c r="D377" s="15" t="s">
        <x:v>640</x:v>
      </x:c>
      <x:c r="E377" s="6">
        <x:v>15380</x:v>
      </x:c>
      <x:c r="F377" s="6">
        <x:v>229610</x:v>
      </x:c>
      <x:c r="G377" s="9">
        <x:v>6.7000000000000004E-2</x:v>
      </x:c>
    </x:row>
    <x:row r="378">
      <x:c r="A378" s="5">
        <x:v>2018</x:v>
      </x:c>
      <x:c r="B378" s="15" t="s">
        <x:v>660</x:v>
      </x:c>
      <x:c r="C378" s="15" t="s">
        <x:v>661</x:v>
      </x:c>
      <x:c r="D378" s="15" t="s">
        <x:v>640</x:v>
      </x:c>
      <x:c r="E378" s="6">
        <x:v>38660</x:v>
      </x:c>
      <x:c r="F378" s="6">
        <x:v>532400</x:v>
      </x:c>
      <x:c r="G378" s="9">
        <x:v>7.261999999999999E-2</x:v>
      </x:c>
    </x:row>
    <x:row r="379">
      <x:c r="A379" s="5">
        <x:v>2018</x:v>
      </x:c>
      <x:c r="B379" s="15" t="s">
        <x:v>732</x:v>
      </x:c>
      <x:c r="C379" s="15" t="s">
        <x:v>733</x:v>
      </x:c>
      <x:c r="D379" s="15" t="s">
        <x:v>652</x:v>
      </x:c>
      <x:c r="E379" s="6">
        <x:v>32550</x:v>
      </x:c>
      <x:c r="F379" s="6">
        <x:v>550120</x:v>
      </x:c>
      <x:c r="G379" s="9">
        <x:v>5.917E-2</x:v>
      </x:c>
    </x:row>
    <x:row r="380">
      <x:c r="A380" s="5">
        <x:v>2018</x:v>
      </x:c>
      <x:c r="B380" s="15" t="s">
        <x:v>807</x:v>
      </x:c>
      <x:c r="C380" s="15" t="s">
        <x:v>808</x:v>
      </x:c>
      <x:c r="D380" s="15" t="s">
        <x:v>649</x:v>
      </x:c>
      <x:c r="E380" s="6">
        <x:v>20250</x:v>
      </x:c>
      <x:c r="F380" s="6">
        <x:v>426290</x:v>
      </x:c>
      <x:c r="G380" s="9">
        <x:v>4.7510000000000004E-2</x:v>
      </x:c>
    </x:row>
    <x:row r="381">
      <x:c r="A381" s="5">
        <x:v>2018</x:v>
      </x:c>
      <x:c r="B381" s="15" t="s">
        <x:v>817</x:v>
      </x:c>
      <x:c r="C381" s="15" t="s">
        <x:v>818</x:v>
      </x:c>
      <x:c r="D381" s="15" t="s">
        <x:v>649</x:v>
      </x:c>
      <x:c r="E381" s="6">
        <x:v>33060</x:v>
      </x:c>
      <x:c r="F381" s="6">
        <x:v>771560</x:v>
      </x:c>
      <x:c r="G381" s="9">
        <x:v>4.2849999999999999E-2</x:v>
      </x:c>
    </x:row>
    <x:row r="382">
      <x:c r="A382" s="5">
        <x:v>2018</x:v>
      </x:c>
      <x:c r="B382" s="15" t="s">
        <x:v>644</x:v>
      </x:c>
      <x:c r="C382" s="15" t="s">
        <x:v>815</x:v>
      </x:c>
      <x:c r="D382" s="15" t="s">
        <x:v>670</x:v>
      </x:c>
      <x:c r="E382" s="6">
        <x:v>92870</x:v>
      </x:c>
      <x:c r="F382" s="6">
        <x:v>2098290</x:v>
      </x:c>
      <x:c r="G382" s="9">
        <x:v>4.4260000000000001E-2</x:v>
      </x:c>
    </x:row>
    <x:row r="383">
      <x:c r="A383" s="5">
        <x:v>2018</x:v>
      </x:c>
      <x:c r="B383" s="15" t="s">
        <x:v>671</x:v>
      </x:c>
      <x:c r="C383" s="15" t="s">
        <x:v>714</x:v>
      </x:c>
      <x:c r="D383" s="15" t="s">
        <x:v>689</x:v>
      </x:c>
      <x:c r="E383" s="6">
        <x:v>75740</x:v>
      </x:c>
      <x:c r="F383" s="6">
        <x:v>1220050</x:v>
      </x:c>
      <x:c r="G383" s="9">
        <x:v>6.2080000000000003E-2</x:v>
      </x:c>
    </x:row>
    <x:row r="384">
      <x:c r="A384" s="5">
        <x:v>2018</x:v>
      </x:c>
      <x:c r="B384" s="15" t="s">
        <x:v>762</x:v>
      </x:c>
      <x:c r="C384" s="15" t="s">
        <x:v>763</x:v>
      </x:c>
      <x:c r="D384" s="15" t="s">
        <x:v>670</x:v>
      </x:c>
      <x:c r="E384" s="6">
        <x:v>76350</x:v>
      </x:c>
      <x:c r="F384" s="6">
        <x:v>1368480</x:v>
      </x:c>
      <x:c r="G384" s="9">
        <x:v>5.5789999999999999E-2</x:v>
      </x:c>
    </x:row>
    <x:row r="385">
      <x:c r="A385" s="5">
        <x:v>2018</x:v>
      </x:c>
      <x:c r="B385" s="15" t="s">
        <x:v>805</x:v>
      </x:c>
      <x:c r="C385" s="15" t="s">
        <x:v>806</x:v>
      </x:c>
      <x:c r="D385" s="15" t="s">
        <x:v>670</x:v>
      </x:c>
      <x:c r="E385" s="6">
        <x:v>67250</x:v>
      </x:c>
      <x:c r="F385" s="6">
        <x:v>1423450</x:v>
      </x:c>
      <x:c r="G385" s="9">
        <x:v>4.7240000000000004E-2</x:v>
      </x:c>
    </x:row>
    <x:row r="386">
      <x:c r="A386" s="5">
        <x:v>2018</x:v>
      </x:c>
      <x:c r="B386" s="15" t="s">
        <x:v>715</x:v>
      </x:c>
      <x:c r="C386" s="15" t="s">
        <x:v>716</x:v>
      </x:c>
      <x:c r="D386" s="15" t="s">
        <x:v>644</x:v>
      </x:c>
      <x:c r="E386" s="6">
        <x:v>21860</x:v>
      </x:c>
      <x:c r="F386" s="6">
        <x:v>363590</x:v>
      </x:c>
      <x:c r="G386" s="9">
        <x:v>6.0110000000000004E-2</x:v>
      </x:c>
    </x:row>
    <x:row r="387">
      <x:c r="A387" s="5">
        <x:v>2018</x:v>
      </x:c>
      <x:c r="B387" s="15" t="s">
        <x:v>662</x:v>
      </x:c>
      <x:c r="C387" s="15" t="s">
        <x:v>663</x:v>
      </x:c>
      <x:c r="D387" s="15" t="s">
        <x:v>647</x:v>
      </x:c>
      <x:c r="E387" s="6">
        <x:v>37970</x:v>
      </x:c>
      <x:c r="F387" s="6">
        <x:v>547840</x:v>
      </x:c>
      <x:c r="G387" s="9">
        <x:v>6.9309999999999997E-2</x:v>
      </x:c>
    </x:row>
    <x:row r="388">
      <x:c r="A388" s="5">
        <x:v>2018</x:v>
      </x:c>
      <x:c r="B388" s="15" t="s">
        <x:v>752</x:v>
      </x:c>
      <x:c r="C388" s="15" t="s">
        <x:v>753</x:v>
      </x:c>
      <x:c r="D388" s="15" t="s">
        <x:v>671</x:v>
      </x:c>
      <x:c r="E388" s="6">
        <x:v>22420</x:v>
      </x:c>
      <x:c r="F388" s="6">
        <x:v>384380</x:v>
      </x:c>
      <x:c r="G388" s="9">
        <x:v>5.8319999999999997E-2</x:v>
      </x:c>
    </x:row>
    <x:row r="389">
      <x:c r="A389" s="5">
        <x:v>2018</x:v>
      </x:c>
      <x:c r="B389" s="15" t="s">
        <x:v>756</x:v>
      </x:c>
      <x:c r="C389" s="15" t="s">
        <x:v>757</x:v>
      </x:c>
      <x:c r="D389" s="15" t="s">
        <x:v>671</x:v>
      </x:c>
      <x:c r="E389" s="6">
        <x:v>14810</x:v>
      </x:c>
      <x:c r="F389" s="6">
        <x:v>257910</x:v>
      </x:c>
      <x:c r="G389" s="9">
        <x:v>5.7409999999999996E-2</x:v>
      </x:c>
    </x:row>
    <x:row r="390">
      <x:c r="A390" s="5">
        <x:v>2018</x:v>
      </x:c>
      <x:c r="B390" s="15" t="s">
        <x:v>758</x:v>
      </x:c>
      <x:c r="C390" s="15" t="s">
        <x:v>759</x:v>
      </x:c>
      <x:c r="D390" s="15" t="s">
        <x:v>672</x:v>
      </x:c>
      <x:c r="E390" s="6">
        <x:v>65820</x:v>
      </x:c>
      <x:c r="F390" s="6">
        <x:v>1090550</x:v>
      </x:c>
      <x:c r="G390" s="9">
        <x:v>6.0350000000000001E-2</x:v>
      </x:c>
    </x:row>
    <x:row r="391">
      <x:c r="A391" s="5">
        <x:v>2018</x:v>
      </x:c>
      <x:c r="B391" s="15" t="s">
        <x:v>649</x:v>
      </x:c>
      <x:c r="C391" s="15" t="s">
        <x:v>731</x:v>
      </x:c>
      <x:c r="D391" s="15" t="s">
        <x:v>672</x:v>
      </x:c>
      <x:c r="E391" s="6">
        <x:v>35090</x:v>
      </x:c>
      <x:c r="F391" s="6">
        <x:v>569860</x:v>
      </x:c>
      <x:c r="G391" s="9">
        <x:v>6.157E-2</x:v>
      </x:c>
    </x:row>
    <x:row r="392">
      <x:c r="A392" s="5">
        <x:v>2018</x:v>
      </x:c>
      <x:c r="B392" s="15" t="s">
        <x:v>754</x:v>
      </x:c>
      <x:c r="C392" s="15" t="s">
        <x:v>755</x:v>
      </x:c>
      <x:c r="D392" s="15" t="s">
        <x:v>652</x:v>
      </x:c>
      <x:c r="E392" s="6">
        <x:v>37950</x:v>
      </x:c>
      <x:c r="F392" s="6">
        <x:v>671930</x:v>
      </x:c>
      <x:c r="G392" s="9">
        <x:v>5.6469999999999999E-2</x:v>
      </x:c>
    </x:row>
    <x:row r="393">
      <x:c r="A393" s="5">
        <x:v>2018</x:v>
      </x:c>
      <x:c r="B393" s="15" t="s">
        <x:v>750</x:v>
      </x:c>
      <x:c r="C393" s="15" t="s">
        <x:v>751</x:v>
      </x:c>
      <x:c r="D393" s="15" t="s">
        <x:v>644</x:v>
      </x:c>
      <x:c r="E393" s="6">
        <x:v>23110</x:v>
      </x:c>
      <x:c r="F393" s="6">
        <x:v>418360</x:v>
      </x:c>
      <x:c r="G393" s="9">
        <x:v>5.5239999999999997E-2</x:v>
      </x:c>
    </x:row>
    <x:row r="394">
      <x:c r="A394" s="5">
        <x:v>2018</x:v>
      </x:c>
      <x:c r="B394" s="15" t="s">
        <x:v>683</x:v>
      </x:c>
      <x:c r="C394" s="15" t="s">
        <x:v>684</x:v>
      </x:c>
      <x:c r="D394" s="15" t="s">
        <x:v>644</x:v>
      </x:c>
      <x:c r="E394" s="6">
        <x:v>23640</x:v>
      </x:c>
      <x:c r="F394" s="6">
        <x:v>352030</x:v>
      </x:c>
      <x:c r="G394" s="9">
        <x:v>6.7159999999999997E-2</x:v>
      </x:c>
    </x:row>
    <x:row r="395">
      <x:c r="A395" s="5">
        <x:v>2018</x:v>
      </x:c>
      <x:c r="B395" s="15" t="s">
        <x:v>675</x:v>
      </x:c>
      <x:c r="C395" s="15" t="s">
        <x:v>676</x:v>
      </x:c>
      <x:c r="D395" s="15" t="s">
        <x:v>651</x:v>
      </x:c>
      <x:c r="E395" s="6">
        <x:v>24120</x:v>
      </x:c>
      <x:c r="F395" s="6">
        <x:v>358580</x:v>
      </x:c>
      <x:c r="G395" s="9">
        <x:v>6.726E-2</x:v>
      </x:c>
    </x:row>
    <x:row r="396">
      <x:c r="A396" s="5">
        <x:v>2018</x:v>
      </x:c>
      <x:c r="B396" s="15" t="s">
        <x:v>655</x:v>
      </x:c>
      <x:c r="C396" s="15" t="s">
        <x:v>42</x:v>
      </x:c>
      <x:c r="D396" s="15" t="s">
        <x:v>640</x:v>
      </x:c>
      <x:c r="E396" s="6">
        <x:v>24170</x:v>
      </x:c>
      <x:c r="F396" s="6">
        <x:v>324150</x:v>
      </x:c>
      <x:c r="G396" s="9">
        <x:v>7.4560000000000001E-2</x:v>
      </x:c>
    </x:row>
    <x:row r="397">
      <x:c r="A397" s="5">
        <x:v>2018</x:v>
      </x:c>
      <x:c r="B397" s="15" t="s">
        <x:v>712</x:v>
      </x:c>
      <x:c r="C397" s="15" t="s">
        <x:v>713</x:v>
      </x:c>
      <x:c r="D397" s="15" t="s">
        <x:v>640</x:v>
      </x:c>
      <x:c r="E397" s="6">
        <x:v>8120</x:v>
      </x:c>
      <x:c r="F397" s="6">
        <x:v>136250</x:v>
      </x:c>
      <x:c r="G397" s="9">
        <x:v>5.96E-2</x:v>
      </x:c>
    </x:row>
    <x:row r="398">
      <x:c r="A398" s="5">
        <x:v>2018</x:v>
      </x:c>
      <x:c r="B398" s="15" t="s">
        <x:v>784</x:v>
      </x:c>
      <x:c r="C398" s="15" t="s">
        <x:v>785</x:v>
      </x:c>
      <x:c r="D398" s="15" t="s">
        <x:v>670</x:v>
      </x:c>
      <x:c r="E398" s="6">
        <x:v>66820</x:v>
      </x:c>
      <x:c r="F398" s="6">
        <x:v>1269660</x:v>
      </x:c>
      <x:c r="G398" s="9">
        <x:v>5.2629999999999996E-2</x:v>
      </x:c>
    </x:row>
    <x:row r="399">
      <x:c r="A399" s="5">
        <x:v>2018</x:v>
      </x:c>
      <x:c r="B399" s="15" t="s">
        <x:v>809</x:v>
      </x:c>
      <x:c r="C399" s="15" t="s">
        <x:v>810</x:v>
      </x:c>
      <x:c r="D399" s="15" t="s">
        <x:v>670</x:v>
      </x:c>
      <x:c r="E399" s="6">
        <x:v>70510</x:v>
      </x:c>
      <x:c r="F399" s="6">
        <x:v>1562000</x:v>
      </x:c>
      <x:c r="G399" s="9">
        <x:v>4.514E-2</x:v>
      </x:c>
    </x:row>
    <x:row r="400">
      <x:c r="A400" s="5">
        <x:v>2018</x:v>
      </x:c>
      <x:c r="B400" s="15" t="s">
        <x:v>672</x:v>
      </x:c>
      <x:c r="C400" s="15" t="s">
        <x:v>673</x:v>
      </x:c>
      <x:c r="D400" s="15" t="s">
        <x:v>670</x:v>
      </x:c>
      <x:c r="E400" s="6">
        <x:v>105700</x:v>
      </x:c>
      <x:c r="F400" s="6">
        <x:v>1552430</x:v>
      </x:c>
      <x:c r="G400" s="9">
        <x:v>6.8089999999999998E-2</x:v>
      </x:c>
    </x:row>
    <x:row r="401">
      <x:c r="A401" s="5">
        <x:v>2018</x:v>
      </x:c>
      <x:c r="B401" s="15" t="s">
        <x:v>705</x:v>
      </x:c>
      <x:c r="C401" s="15" t="s">
        <x:v>780</x:v>
      </x:c>
      <x:c r="D401" s="15" t="s">
        <x:v>670</x:v>
      </x:c>
      <x:c r="E401" s="6">
        <x:v>72510</x:v>
      </x:c>
      <x:c r="F401" s="6">
        <x:v>1336520</x:v>
      </x:c>
      <x:c r="G401" s="9">
        <x:v>5.425E-2</x:v>
      </x:c>
    </x:row>
    <x:row r="402">
      <x:c r="A402" s="5">
        <x:v>2018</x:v>
      </x:c>
      <x:c r="B402" s="15" t="s">
        <x:v>740</x:v>
      </x:c>
      <x:c r="C402" s="15" t="s">
        <x:v>741</x:v>
      </x:c>
      <x:c r="D402" s="15" t="s">
        <x:v>670</x:v>
      </x:c>
      <x:c r="E402" s="6">
        <x:v>71870</x:v>
      </x:c>
      <x:c r="F402" s="6">
        <x:v>1223600</x:v>
      </x:c>
      <x:c r="G402" s="9">
        <x:v>5.8730000000000004E-2</x:v>
      </x:c>
    </x:row>
    <x:row r="403">
      <x:c r="A403" s="5">
        <x:v>2018</x:v>
      </x:c>
      <x:c r="B403" s="15" t="s">
        <x:v>635</x:v>
      </x:c>
      <x:c r="C403" s="15" t="s">
        <x:v>10</x:v>
      </x:c>
      <x:c r="D403" s="15" t="s">
        <x:v>636</x:v>
      </x:c>
      <x:c r="E403" s="6">
        <x:v>40670</x:v>
      </x:c>
      <x:c r="F403" s="6">
        <x:v>379250</x:v>
      </x:c>
      <x:c r="G403" s="9">
        <x:v>0.10724</x:v>
      </x:c>
    </x:row>
    <x:row r="404">
      <x:c r="A404" s="5">
        <x:v>2018</x:v>
      </x:c>
      <x:c r="B404" s="15" t="s">
        <x:v>637</x:v>
      </x:c>
      <x:c r="C404" s="15" t="s">
        <x:v>14</x:v>
      </x:c>
      <x:c r="D404" s="15" t="s">
        <x:v>638</x:v>
      </x:c>
      <x:c r="E404" s="6">
        <x:v>35510</x:v>
      </x:c>
      <x:c r="F404" s="6">
        <x:v>356900</x:v>
      </x:c>
      <x:c r="G404" s="9">
        <x:v>9.9489999999999995E-2</x:v>
      </x:c>
    </x:row>
    <x:row r="405">
      <x:c r="A405" s="5">
        <x:v>2018</x:v>
      </x:c>
      <x:c r="B405" s="15" t="s">
        <x:v>749</x:v>
      </x:c>
      <x:c r="C405" s="15" t="s">
        <x:v>67</x:v>
      </x:c>
      <x:c r="D405" s="15" t="s">
        <x:v>648</x:v>
      </x:c>
      <x:c r="E405" s="6">
        <x:v>10700</x:v>
      </x:c>
      <x:c r="F405" s="6">
        <x:v>194550</x:v>
      </x:c>
      <x:c r="G405" s="9">
        <x:v>5.4980000000000001E-2</x:v>
      </x:c>
    </x:row>
    <x:row r="406">
      <x:c r="A406" s="5">
        <x:v>2018</x:v>
      </x:c>
      <x:c r="B406" s="15" t="s">
        <x:v>641</x:v>
      </x:c>
      <x:c r="C406" s="15" t="s">
        <x:v>20</x:v>
      </x:c>
      <x:c r="D406" s="15" t="s">
        <x:v>642</x:v>
      </x:c>
      <x:c r="E406" s="6">
        <x:v>74460</x:v>
      </x:c>
      <x:c r="F406" s="6">
        <x:v>890320</x:v>
      </x:c>
      <x:c r="G406" s="9">
        <x:v>8.3629999999999996E-2</x:v>
      </x:c>
    </x:row>
    <x:row r="407">
      <x:c r="A407" s="5">
        <x:v>2018</x:v>
      </x:c>
      <x:c r="B407" s="15" t="s">
        <x:v>783</x:v>
      </x:c>
      <x:c r="C407" s="15" t="s">
        <x:v>75</x:v>
      </x:c>
      <x:c r="D407" s="15" t="s">
        <x:v>774</x:v>
      </x:c>
      <x:c r="E407" s="6">
        <x:v>5400</x:v>
      </x:c>
      <x:c r="F407" s="6">
        <x:v>101600</x:v>
      </x:c>
      <x:c r="G407" s="9">
        <x:v>5.3099999999999994E-2</x:v>
      </x:c>
    </x:row>
    <x:row r="408">
      <x:c r="A408" s="5">
        <x:v>2019</x:v>
      </x:c>
      <x:c r="B408" s="15" t="s">
        <x:v>636</x:v>
      </x:c>
      <x:c r="C408" s="15" t="s">
        <x:v>786</x:v>
      </x:c>
      <x:c r="D408" s="15" t="s">
        <x:v>649</x:v>
      </x:c>
      <x:c r="E408" s="6">
        <x:v>32100</x:v>
      </x:c>
      <x:c r="F408" s="6">
        <x:v>606280</x:v>
      </x:c>
      <x:c r="G408" s="9">
        <x:v>5.2949999999999997E-2</x:v>
      </x:c>
    </x:row>
    <x:row r="409">
      <x:c r="A409" s="5">
        <x:v>2019</x:v>
      </x:c>
      <x:c r="B409" s="15" t="s">
        <x:v>638</x:v>
      </x:c>
      <x:c r="C409" s="15" t="s">
        <x:v>50</x:v>
      </x:c>
      <x:c r="D409" s="15" t="s">
        <x:v>647</x:v>
      </x:c>
      <x:c r="E409" s="6">
        <x:v>39270</x:v>
      </x:c>
      <x:c r="F409" s="6">
        <x:v>513290</x:v>
      </x:c>
      <x:c r="G409" s="9">
        <x:v>7.6499999999999999E-2</x:v>
      </x:c>
    </x:row>
    <x:row r="410">
      <x:c r="A410" s="5">
        <x:v>2019</x:v>
      </x:c>
      <x:c r="B410" s="15" t="s">
        <x:v>648</x:v>
      </x:c>
      <x:c r="C410" s="15" t="s">
        <x:v>46</x:v>
      </x:c>
      <x:c r="D410" s="15" t="s">
        <x:v>649</x:v>
      </x:c>
      <x:c r="E410" s="6">
        <x:v>25370</x:v>
      </x:c>
      <x:c r="F410" s="6">
        <x:v>326430</x:v>
      </x:c>
      <x:c r="G410" s="9">
        <x:v>7.7719999999999997E-2</x:v>
      </x:c>
    </x:row>
    <x:row r="411">
      <x:c r="A411" s="5">
        <x:v>2019</x:v>
      </x:c>
      <x:c r="B411" s="15" t="s">
        <x:v>642</x:v>
      </x:c>
      <x:c r="C411" s="15" t="s">
        <x:v>748</x:v>
      </x:c>
      <x:c r="D411" s="15" t="s">
        <x:v>672</x:v>
      </x:c>
      <x:c r="E411" s="6">
        <x:v>9930</x:v>
      </x:c>
      <x:c r="F411" s="6">
        <x:v>161340</x:v>
      </x:c>
      <x:c r="G411" s="9">
        <x:v>6.1550000000000001E-2</x:v>
      </x:c>
    </x:row>
    <x:row r="412">
      <x:c r="A412" s="5">
        <x:v>2019</x:v>
      </x:c>
      <x:c r="B412" s="15" t="s">
        <x:v>800</x:v>
      </x:c>
      <x:c r="C412" s="15" t="s">
        <x:v>801</x:v>
      </x:c>
      <x:c r="D412" s="15" t="s">
        <x:v>672</x:v>
      </x:c>
      <x:c r="E412" s="6">
        <x:v>6990</x:v>
      </x:c>
      <x:c r="F412" s="6">
        <x:v>138620</x:v>
      </x:c>
      <x:c r="G412" s="9">
        <x:v>5.0439999999999999E-2</x:v>
      </x:c>
    </x:row>
    <x:row r="413">
      <x:c r="A413" s="5">
        <x:v>2019</x:v>
      </x:c>
      <x:c r="B413" s="15" t="s">
        <x:v>774</x:v>
      </x:c>
      <x:c r="C413" s="15" t="s">
        <x:v>775</x:v>
      </x:c>
      <x:c r="D413" s="15" t="s">
        <x:v>672</x:v>
      </x:c>
      <x:c r="E413" s="6">
        <x:v>64300</x:v>
      </x:c>
      <x:c r="F413" s="6">
        <x:v>1104760</x:v>
      </x:c>
      <x:c r="G413" s="9">
        <x:v>5.8200000000000002E-2</x:v>
      </x:c>
    </x:row>
    <x:row r="414">
      <x:c r="A414" s="5">
        <x:v>2019</x:v>
      </x:c>
      <x:c r="B414" s="15" t="s">
        <x:v>742</x:v>
      </x:c>
      <x:c r="C414" s="15" t="s">
        <x:v>743</x:v>
      </x:c>
      <x:c r="D414" s="15" t="s">
        <x:v>649</x:v>
      </x:c>
      <x:c r="E414" s="6">
        <x:v>20080</x:v>
      </x:c>
      <x:c r="F414" s="6">
        <x:v>322170</x:v>
      </x:c>
      <x:c r="G414" s="9">
        <x:v>6.232E-2</x:v>
      </x:c>
    </x:row>
    <x:row r="415">
      <x:c r="A415" s="5">
        <x:v>2019</x:v>
      </x:c>
      <x:c r="B415" s="15" t="s">
        <x:v>653</x:v>
      </x:c>
      <x:c r="C415" s="15" t="s">
        <x:v>97</x:v>
      </x:c>
      <x:c r="D415" s="15" t="s">
        <x:v>651</x:v>
      </x:c>
      <x:c r="E415" s="6">
        <x:v>19890</x:v>
      </x:c>
      <x:c r="F415" s="6">
        <x:v>262500</x:v>
      </x:c>
      <x:c r="G415" s="9">
        <x:v>7.5749999999999998E-2</x:v>
      </x:c>
    </x:row>
    <x:row r="416">
      <x:c r="A416" s="5">
        <x:v>2019</x:v>
      </x:c>
      <x:c r="B416" s="15" t="s">
        <x:v>717</x:v>
      </x:c>
      <x:c r="C416" s="15" t="s">
        <x:v>718</x:v>
      </x:c>
      <x:c r="D416" s="15" t="s">
        <x:v>671</x:v>
      </x:c>
      <x:c r="E416" s="6">
        <x:v>9620</x:v>
      </x:c>
      <x:c r="F416" s="6">
        <x:v>149670</x:v>
      </x:c>
      <x:c r="G416" s="9">
        <x:v>6.4299999999999996E-2</x:v>
      </x:c>
    </x:row>
    <x:row r="417">
      <x:c r="A417" s="5">
        <x:v>2019</x:v>
      </x:c>
      <x:c r="B417" s="15" t="s">
        <x:v>668</x:v>
      </x:c>
      <x:c r="C417" s="15" t="s">
        <x:v>669</x:v>
      </x:c>
      <x:c r="D417" s="15" t="s">
        <x:v>651</x:v>
      </x:c>
      <x:c r="E417" s="6">
        <x:v>20610</x:v>
      </x:c>
      <x:c r="F417" s="6">
        <x:v>294880</x:v>
      </x:c>
      <x:c r="G417" s="9">
        <x:v>6.9889999999999994E-2</x:v>
      </x:c>
    </x:row>
    <x:row r="418">
      <x:c r="A418" s="5">
        <x:v>2019</x:v>
      </x:c>
      <x:c r="B418" s="15" t="s">
        <x:v>670</x:v>
      </x:c>
      <x:c r="C418" s="15" t="s">
        <x:v>89</x:v>
      </x:c>
      <x:c r="D418" s="15" t="s">
        <x:v>671</x:v>
      </x:c>
      <x:c r="E418" s="6">
        <x:v>26090</x:v>
      </x:c>
      <x:c r="F418" s="6">
        <x:v>367020</x:v>
      </x:c>
      <x:c r="G418" s="9">
        <x:v>7.109E-2</x:v>
      </x:c>
    </x:row>
    <x:row r="419">
      <x:c r="A419" s="5">
        <x:v>2019</x:v>
      </x:c>
      <x:c r="B419" s="15" t="s">
        <x:v>768</x:v>
      </x:c>
      <x:c r="C419" s="15" t="s">
        <x:v>769</x:v>
      </x:c>
      <x:c r="D419" s="15" t="s">
        <x:v>671</x:v>
      </x:c>
      <x:c r="E419" s="6">
        <x:v>15820</x:v>
      </x:c>
      <x:c r="F419" s="6">
        <x:v>269670</x:v>
      </x:c>
      <x:c r="G419" s="9">
        <x:v>5.8650000000000001E-2</x:v>
      </x:c>
    </x:row>
    <x:row r="420">
      <x:c r="A420" s="5">
        <x:v>2019</x:v>
      </x:c>
      <x:c r="B420" s="15" t="s">
        <x:v>744</x:v>
      </x:c>
      <x:c r="C420" s="15" t="s">
        <x:v>745</x:v>
      </x:c>
      <x:c r="D420" s="15" t="s">
        <x:v>672</x:v>
      </x:c>
      <x:c r="E420" s="6">
        <x:v>129070</x:v>
      </x:c>
      <x:c r="F420" s="6">
        <x:v>2092120</x:v>
      </x:c>
      <x:c r="G420" s="9">
        <x:v>6.1689999999999995E-2</x:v>
      </x:c>
    </x:row>
    <x:row r="421">
      <x:c r="A421" s="5">
        <x:v>2019</x:v>
      </x:c>
      <x:c r="B421" s="15" t="s">
        <x:v>772</x:v>
      </x:c>
      <x:c r="C421" s="15" t="s">
        <x:v>773</x:v>
      </x:c>
      <x:c r="D421" s="15" t="s">
        <x:v>689</x:v>
      </x:c>
      <x:c r="E421" s="6">
        <x:v>38150</x:v>
      </x:c>
      <x:c r="F421" s="6">
        <x:v>678310</x:v>
      </x:c>
      <x:c r="G421" s="9">
        <x:v>5.6239999999999998E-2</x:v>
      </x:c>
    </x:row>
    <x:row r="422">
      <x:c r="A422" s="5">
        <x:v>2019</x:v>
      </x:c>
      <x:c r="B422" s="15" t="s">
        <x:v>692</x:v>
      </x:c>
      <x:c r="C422" s="15" t="s">
        <x:v>693</x:v>
      </x:c>
      <x:c r="D422" s="15" t="s">
        <x:v>649</x:v>
      </x:c>
      <x:c r="E422" s="6">
        <x:v>9140</x:v>
      </x:c>
      <x:c r="F422" s="6">
        <x:v>138270</x:v>
      </x:c>
      <x:c r="G422" s="9">
        <x:v>6.608E-2</x:v>
      </x:c>
    </x:row>
    <x:row r="423">
      <x:c r="A423" s="5">
        <x:v>2019</x:v>
      </x:c>
      <x:c r="B423" s="15" t="s">
        <x:v>701</x:v>
      </x:c>
      <x:c r="C423" s="15" t="s">
        <x:v>702</x:v>
      </x:c>
      <x:c r="D423" s="15" t="s">
        <x:v>644</x:v>
      </x:c>
      <x:c r="E423" s="6">
        <x:v>22070</x:v>
      </x:c>
      <x:c r="F423" s="6">
        <x:v>339270</x:v>
      </x:c>
      <x:c r="G423" s="9">
        <x:v>6.5060000000000007E-2</x:v>
      </x:c>
    </x:row>
    <x:row r="424">
      <x:c r="A424" s="5">
        <x:v>2019</x:v>
      </x:c>
      <x:c r="B424" s="15" t="s">
        <x:v>727</x:v>
      </x:c>
      <x:c r="C424" s="15" t="s">
        <x:v>728</x:v>
      </x:c>
      <x:c r="D424" s="15" t="s">
        <x:v>644</x:v>
      </x:c>
      <x:c r="E424" s="6">
        <x:v>40630</x:v>
      </x:c>
      <x:c r="F424" s="6">
        <x:v>656330</x:v>
      </x:c>
      <x:c r="G424" s="9">
        <x:v>6.1900000000000004E-2</x:v>
      </x:c>
    </x:row>
    <x:row r="425">
      <x:c r="A425" s="5">
        <x:v>2019</x:v>
      </x:c>
      <x:c r="B425" s="15" t="s">
        <x:v>654</x:v>
      </x:c>
      <x:c r="C425" s="15" t="s">
        <x:v>86</x:v>
      </x:c>
      <x:c r="D425" s="15" t="s">
        <x:v>646</x:v>
      </x:c>
      <x:c r="E425" s="6">
        <x:v>22170</x:v>
      </x:c>
      <x:c r="F425" s="6">
        <x:v>293230</x:v>
      </x:c>
      <x:c r="G425" s="9">
        <x:v>7.5600000000000001E-2</x:v>
      </x:c>
    </x:row>
    <x:row r="426">
      <x:c r="A426" s="5">
        <x:v>2019</x:v>
      </x:c>
      <x:c r="B426" s="15" t="s">
        <x:v>681</x:v>
      </x:c>
      <x:c r="C426" s="15" t="s">
        <x:v>682</x:v>
      </x:c>
      <x:c r="D426" s="15" t="s">
        <x:v>644</x:v>
      </x:c>
      <x:c r="E426" s="6">
        <x:v>16000</x:v>
      </x:c>
      <x:c r="F426" s="6">
        <x:v>231000</x:v>
      </x:c>
      <x:c r="G426" s="9">
        <x:v>6.9279999999999994E-2</x:v>
      </x:c>
    </x:row>
    <x:row r="427">
      <x:c r="A427" s="5">
        <x:v>2019</x:v>
      </x:c>
      <x:c r="B427" s="15" t="s">
        <x:v>746</x:v>
      </x:c>
      <x:c r="C427" s="15" t="s">
        <x:v>747</x:v>
      </x:c>
      <x:c r="D427" s="15" t="s">
        <x:v>640</x:v>
      </x:c>
      <x:c r="E427" s="6">
        <x:v>30630</x:v>
      </x:c>
      <x:c r="F427" s="6">
        <x:v>511920</x:v>
      </x:c>
      <x:c r="G427" s="9">
        <x:v>5.9829999999999994E-2</x:v>
      </x:c>
    </x:row>
    <x:row r="428">
      <x:c r="A428" s="5">
        <x:v>2019</x:v>
      </x:c>
      <x:c r="B428" s="15" t="s">
        <x:v>797</x:v>
      </x:c>
      <x:c r="C428" s="15" t="s">
        <x:v>798</x:v>
      </x:c>
      <x:c r="D428" s="15" t="s">
        <x:v>799</x:v>
      </x:c>
      <x:c r="E428" s="6">
        <x:v>28670</x:v>
      </x:c>
      <x:c r="F428" s="6">
        <x:v>593630</x:v>
      </x:c>
      <x:c r="G428" s="9">
        <x:v>4.829E-2</x:v>
      </x:c>
    </x:row>
    <x:row r="429">
      <x:c r="A429" s="5">
        <x:v>2019</x:v>
      </x:c>
      <x:c r="B429" s="15" t="s">
        <x:v>643</x:v>
      </x:c>
      <x:c r="C429" s="15" t="s">
        <x:v>30</x:v>
      </x:c>
      <x:c r="D429" s="15" t="s">
        <x:v>644</x:v>
      </x:c>
      <x:c r="E429" s="6">
        <x:v>9300</x:v>
      </x:c>
      <x:c r="F429" s="6">
        <x:v>108900</x:v>
      </x:c>
      <x:c r="G429" s="9">
        <x:v>8.5389999999999994E-2</x:v>
      </x:c>
    </x:row>
    <x:row r="430">
      <x:c r="A430" s="5">
        <x:v>2019</x:v>
      </x:c>
      <x:c r="B430" s="15" t="s">
        <x:v>646</x:v>
      </x:c>
      <x:c r="C430" s="15" t="s">
        <x:v>674</x:v>
      </x:c>
      <x:c r="D430" s="15" t="s">
        <x:v>644</x:v>
      </x:c>
      <x:c r="E430" s="6">
        <x:v>28250</x:v>
      </x:c>
      <x:c r="F430" s="6">
        <x:v>399450</x:v>
      </x:c>
      <x:c r="G430" s="9">
        <x:v>7.0730000000000001E-2</x:v>
      </x:c>
    </x:row>
    <x:row r="431">
      <x:c r="A431" s="5">
        <x:v>2019</x:v>
      </x:c>
      <x:c r="B431" s="15" t="s">
        <x:v>766</x:v>
      </x:c>
      <x:c r="C431" s="15" t="s">
        <x:v>767</x:v>
      </x:c>
      <x:c r="D431" s="15" t="s">
        <x:v>640</x:v>
      </x:c>
      <x:c r="E431" s="6">
        <x:v>30100</x:v>
      </x:c>
      <x:c r="F431" s="6">
        <x:v>529480</x:v>
      </x:c>
      <x:c r="G431" s="9">
        <x:v>5.6840000000000002E-2</x:v>
      </x:c>
    </x:row>
    <x:row r="432">
      <x:c r="A432" s="5">
        <x:v>2019</x:v>
      </x:c>
      <x:c r="B432" s="15" t="s">
        <x:v>764</x:v>
      </x:c>
      <x:c r="C432" s="15" t="s">
        <x:v>765</x:v>
      </x:c>
      <x:c r="D432" s="15" t="s">
        <x:v>649</x:v>
      </x:c>
      <x:c r="E432" s="6">
        <x:v>30990</x:v>
      </x:c>
      <x:c r="F432" s="6">
        <x:v>516470</x:v>
      </x:c>
      <x:c r="G432" s="9">
        <x:v>0.06</x:v>
      </x:c>
    </x:row>
    <x:row r="433">
      <x:c r="A433" s="5">
        <x:v>2019</x:v>
      </x:c>
      <x:c r="B433" s="15" t="s">
        <x:v>640</x:v>
      </x:c>
      <x:c r="C433" s="15" t="s">
        <x:v>724</x:v>
      </x:c>
      <x:c r="D433" s="15" t="s">
        <x:v>689</x:v>
      </x:c>
      <x:c r="E433" s="6">
        <x:v>36000</x:v>
      </x:c>
      <x:c r="F433" s="6">
        <x:v>584590</x:v>
      </x:c>
      <x:c r="G433" s="9">
        <x:v>6.1589999999999999E-2</x:v>
      </x:c>
    </x:row>
    <x:row r="434">
      <x:c r="A434" s="5">
        <x:v>2019</x:v>
      </x:c>
      <x:c r="B434" s="15" t="s">
        <x:v>689</x:v>
      </x:c>
      <x:c r="C434" s="15" t="s">
        <x:v>694</x:v>
      </x:c>
      <x:c r="D434" s="15" t="s">
        <x:v>646</x:v>
      </x:c>
      <x:c r="E434" s="6">
        <x:v>27230</x:v>
      </x:c>
      <x:c r="F434" s="6">
        <x:v>419600</x:v>
      </x:c>
      <x:c r="G434" s="9">
        <x:v>6.4890000000000003E-2</x:v>
      </x:c>
    </x:row>
    <x:row r="435">
      <x:c r="A435" s="5">
        <x:v>2019</x:v>
      </x:c>
      <x:c r="B435" s="15" t="s">
        <x:v>811</x:v>
      </x:c>
      <x:c r="C435" s="15" t="s">
        <x:v>812</x:v>
      </x:c>
      <x:c r="D435" s="15" t="s">
        <x:v>799</x:v>
      </x:c>
      <x:c r="E435" s="6">
        <x:v>40480</x:v>
      </x:c>
      <x:c r="F435" s="6">
        <x:v>900560</x:v>
      </x:c>
      <x:c r="G435" s="9">
        <x:v>4.4950000000000004E-2</x:v>
      </x:c>
    </x:row>
    <x:row r="436">
      <x:c r="A436" s="5">
        <x:v>2019</x:v>
      </x:c>
      <x:c r="B436" s="15" t="s">
        <x:v>719</x:v>
      </x:c>
      <x:c r="C436" s="15" t="s">
        <x:v>720</x:v>
      </x:c>
      <x:c r="D436" s="15" t="s">
        <x:v>705</x:v>
      </x:c>
      <x:c r="E436" s="6">
        <x:v>8820</x:v>
      </x:c>
      <x:c r="F436" s="6">
        <x:v>139610</x:v>
      </x:c>
      <x:c r="G436" s="9">
        <x:v>6.318E-2</x:v>
      </x:c>
    </x:row>
    <x:row r="437">
      <x:c r="A437" s="5">
        <x:v>2019</x:v>
      </x:c>
      <x:c r="B437" s="15" t="s">
        <x:v>703</x:v>
      </x:c>
      <x:c r="C437" s="15" t="s">
        <x:v>704</x:v>
      </x:c>
      <x:c r="D437" s="15" t="s">
        <x:v>705</x:v>
      </x:c>
      <x:c r="E437" s="6">
        <x:v>10070</x:v>
      </x:c>
      <x:c r="F437" s="6">
        <x:v>153120</x:v>
      </x:c>
      <x:c r="G437" s="9">
        <x:v>6.5730000000000011E-2</x:v>
      </x:c>
    </x:row>
    <x:row r="438">
      <x:c r="A438" s="5">
        <x:v>2019</x:v>
      </x:c>
      <x:c r="B438" s="15" t="s">
        <x:v>725</x:v>
      </x:c>
      <x:c r="C438" s="15" t="s">
        <x:v>726</x:v>
      </x:c>
      <x:c r="D438" s="15" t="s">
        <x:v>671</x:v>
      </x:c>
      <x:c r="E438" s="6">
        <x:v>47140</x:v>
      </x:c>
      <x:c r="F438" s="6">
        <x:v>753740</x:v>
      </x:c>
      <x:c r="G438" s="9">
        <x:v>6.2549999999999994E-2</x:v>
      </x:c>
    </x:row>
    <x:row r="439">
      <x:c r="A439" s="5">
        <x:v>2019</x:v>
      </x:c>
      <x:c r="B439" s="15" t="s">
        <x:v>813</x:v>
      </x:c>
      <x:c r="C439" s="15" t="s">
        <x:v>814</x:v>
      </x:c>
      <x:c r="D439" s="15" t="s">
        <x:v>671</x:v>
      </x:c>
      <x:c r="E439" s="6">
        <x:v>61420</x:v>
      </x:c>
      <x:c r="F439" s="6">
        <x:v>1361350</x:v>
      </x:c>
      <x:c r="G439" s="9">
        <x:v>4.5110000000000004E-2</x:v>
      </x:c>
    </x:row>
    <x:row r="440">
      <x:c r="A440" s="5">
        <x:v>2019</x:v>
      </x:c>
      <x:c r="B440" s="15" t="s">
        <x:v>647</x:v>
      </x:c>
      <x:c r="C440" s="15" t="s">
        <x:v>721</x:v>
      </x:c>
      <x:c r="D440" s="15" t="s">
        <x:v>671</x:v>
      </x:c>
      <x:c r="E440" s="6">
        <x:v>11540</x:v>
      </x:c>
      <x:c r="F440" s="6">
        <x:v>186160</x:v>
      </x:c>
      <x:c r="G440" s="9">
        <x:v>6.1969999999999997E-2</x:v>
      </x:c>
    </x:row>
    <x:row r="441">
      <x:c r="A441" s="5">
        <x:v>2019</x:v>
      </x:c>
      <x:c r="B441" s="15" t="s">
        <x:v>795</x:v>
      </x:c>
      <x:c r="C441" s="15" t="s">
        <x:v>796</x:v>
      </x:c>
      <x:c r="D441" s="15" t="s">
        <x:v>644</x:v>
      </x:c>
      <x:c r="E441" s="6">
        <x:v>82460</x:v>
      </x:c>
      <x:c r="F441" s="6">
        <x:v>1622340</x:v>
      </x:c>
      <x:c r="G441" s="9">
        <x:v>5.083E-2</x:v>
      </x:c>
    </x:row>
    <x:row r="442">
      <x:c r="A442" s="5">
        <x:v>2019</x:v>
      </x:c>
      <x:c r="B442" s="15" t="s">
        <x:v>781</x:v>
      </x:c>
      <x:c r="C442" s="15" t="s">
        <x:v>782</x:v>
      </x:c>
      <x:c r="D442" s="15" t="s">
        <x:v>671</x:v>
      </x:c>
      <x:c r="E442" s="6">
        <x:v>66640</x:v>
      </x:c>
      <x:c r="F442" s="6">
        <x:v>1172530</x:v>
      </x:c>
      <x:c r="G442" s="9">
        <x:v>5.6829999999999999E-2</x:v>
      </x:c>
    </x:row>
    <x:row r="443">
      <x:c r="A443" s="5">
        <x:v>2019</x:v>
      </x:c>
      <x:c r="B443" s="15" t="s">
        <x:v>819</x:v>
      </x:c>
      <x:c r="C443" s="15" t="s">
        <x:v>820</x:v>
      </x:c>
      <x:c r="D443" s="15" t="s">
        <x:v>799</x:v>
      </x:c>
      <x:c r="E443" s="6">
        <x:v>37790</x:v>
      </x:c>
      <x:c r="F443" s="6">
        <x:v>1049820</x:v>
      </x:c>
      <x:c r="G443" s="9">
        <x:v>3.5990000000000001E-2</x:v>
      </x:c>
    </x:row>
    <x:row r="444">
      <x:c r="A444" s="5">
        <x:v>2019</x:v>
      </x:c>
      <x:c r="B444" s="15" t="s">
        <x:v>645</x:v>
      </x:c>
      <x:c r="C444" s="15" t="s">
        <x:v>34</x:v>
      </x:c>
      <x:c r="D444" s="15" t="s">
        <x:v>646</x:v>
      </x:c>
      <x:c r="E444" s="6">
        <x:v>16830</x:v>
      </x:c>
      <x:c r="F444" s="6">
        <x:v>210340</x:v>
      </x:c>
      <x:c r="G444" s="9">
        <x:v>8.0009999999999998E-2</x:v>
      </x:c>
    </x:row>
    <x:row r="445">
      <x:c r="A445" s="5">
        <x:v>2019</x:v>
      </x:c>
      <x:c r="B445" s="15" t="s">
        <x:v>778</x:v>
      </x:c>
      <x:c r="C445" s="15" t="s">
        <x:v>779</x:v>
      </x:c>
      <x:c r="D445" s="15" t="s">
        <x:v>646</x:v>
      </x:c>
      <x:c r="E445" s="6">
        <x:v>34240</x:v>
      </x:c>
      <x:c r="F445" s="6">
        <x:v>603830</x:v>
      </x:c>
      <x:c r="G445" s="9">
        <x:v>5.67E-2</x:v>
      </x:c>
    </x:row>
    <x:row r="446">
      <x:c r="A446" s="5">
        <x:v>2019</x:v>
      </x:c>
      <x:c r="B446" s="15" t="s">
        <x:v>787</x:v>
      </x:c>
      <x:c r="C446" s="15" t="s">
        <x:v>788</x:v>
      </x:c>
      <x:c r="D446" s="15" t="s">
        <x:v>649</x:v>
      </x:c>
      <x:c r="E446" s="6">
        <x:v>68360</x:v>
      </x:c>
      <x:c r="F446" s="6">
        <x:v>1266410</x:v>
      </x:c>
      <x:c r="G446" s="9">
        <x:v>5.398E-2</x:v>
      </x:c>
    </x:row>
    <x:row r="447">
      <x:c r="A447" s="5">
        <x:v>2019</x:v>
      </x:c>
      <x:c r="B447" s="15" t="s">
        <x:v>729</x:v>
      </x:c>
      <x:c r="C447" s="15" t="s">
        <x:v>730</x:v>
      </x:c>
      <x:c r="D447" s="15" t="s">
        <x:v>640</x:v>
      </x:c>
      <x:c r="E447" s="6">
        <x:v>15250</x:v>
      </x:c>
      <x:c r="F447" s="6">
        <x:v>253410</x:v>
      </x:c>
      <x:c r="G447" s="9">
        <x:v>6.019E-2</x:v>
      </x:c>
    </x:row>
    <x:row r="448">
      <x:c r="A448" s="5">
        <x:v>2019</x:v>
      </x:c>
      <x:c r="B448" s="15" t="s">
        <x:v>738</x:v>
      </x:c>
      <x:c r="C448" s="15" t="s">
        <x:v>739</x:v>
      </x:c>
      <x:c r="D448" s="15" t="s">
        <x:v>644</x:v>
      </x:c>
      <x:c r="E448" s="6">
        <x:v>25990</x:v>
      </x:c>
      <x:c r="F448" s="6">
        <x:v>420290</x:v>
      </x:c>
      <x:c r="G448" s="9">
        <x:v>6.1849999999999995E-2</x:v>
      </x:c>
    </x:row>
    <x:row r="449">
      <x:c r="A449" s="5">
        <x:v>2019</x:v>
      </x:c>
      <x:c r="B449" s="15" t="s">
        <x:v>666</x:v>
      </x:c>
      <x:c r="C449" s="15" t="s">
        <x:v>667</x:v>
      </x:c>
      <x:c r="D449" s="15" t="s">
        <x:v>646</x:v>
      </x:c>
      <x:c r="E449" s="6">
        <x:v>23160</x:v>
      </x:c>
      <x:c r="F449" s="6">
        <x:v>322880</x:v>
      </x:c>
      <x:c r="G449" s="9">
        <x:v>7.1739999999999998E-2</x:v>
      </x:c>
    </x:row>
    <x:row r="450">
      <x:c r="A450" s="5">
        <x:v>2019</x:v>
      </x:c>
      <x:c r="B450" s="15" t="s">
        <x:v>722</x:v>
      </x:c>
      <x:c r="C450" s="15" t="s">
        <x:v>723</x:v>
      </x:c>
      <x:c r="D450" s="15" t="s">
        <x:v>649</x:v>
      </x:c>
      <x:c r="E450" s="6">
        <x:v>48030</x:v>
      </x:c>
      <x:c r="F450" s="6">
        <x:v>752650</x:v>
      </x:c>
      <x:c r="G450" s="9">
        <x:v>6.3820000000000002E-2</x:v>
      </x:c>
    </x:row>
    <x:row r="451">
      <x:c r="A451" s="5">
        <x:v>2019</x:v>
      </x:c>
      <x:c r="B451" s="15" t="s">
        <x:v>736</x:v>
      </x:c>
      <x:c r="C451" s="15" t="s">
        <x:v>737</x:v>
      </x:c>
      <x:c r="D451" s="15" t="s">
        <x:v>649</x:v>
      </x:c>
      <x:c r="E451" s="6">
        <x:v>13570</x:v>
      </x:c>
      <x:c r="F451" s="6">
        <x:v>221320</x:v>
      </x:c>
      <x:c r="G451" s="9">
        <x:v>6.13E-2</x:v>
      </x:c>
    </x:row>
    <x:row r="452">
      <x:c r="A452" s="5">
        <x:v>2019</x:v>
      </x:c>
      <x:c r="B452" s="15" t="s">
        <x:v>651</x:v>
      </x:c>
      <x:c r="C452" s="15" t="s">
        <x:v>816</x:v>
      </x:c>
      <x:c r="D452" s="15" t="s">
        <x:v>652</x:v>
      </x:c>
      <x:c r="E452" s="6">
        <x:v>59720</x:v>
      </x:c>
      <x:c r="F452" s="6">
        <x:v>1420660</x:v>
      </x:c>
      <x:c r="G452" s="9">
        <x:v>4.2039999999999994E-2</x:v>
      </x:c>
    </x:row>
    <x:row r="453">
      <x:c r="A453" s="5">
        <x:v>2019</x:v>
      </x:c>
      <x:c r="B453" s="15" t="s">
        <x:v>697</x:v>
      </x:c>
      <x:c r="C453" s="15" t="s">
        <x:v>698</x:v>
      </x:c>
      <x:c r="D453" s="15" t="s">
        <x:v>646</x:v>
      </x:c>
      <x:c r="E453" s="6">
        <x:v>43040</x:v>
      </x:c>
      <x:c r="F453" s="6">
        <x:v>662260</x:v>
      </x:c>
      <x:c r="G453" s="9">
        <x:v>6.4979999999999996E-2</x:v>
      </x:c>
    </x:row>
    <x:row r="454">
      <x:c r="A454" s="5">
        <x:v>2019</x:v>
      </x:c>
      <x:c r="B454" s="15" t="s">
        <x:v>706</x:v>
      </x:c>
      <x:c r="C454" s="15" t="s">
        <x:v>707</x:v>
      </x:c>
      <x:c r="D454" s="15" t="s">
        <x:v>671</x:v>
      </x:c>
      <x:c r="E454" s="6">
        <x:v>11100</x:v>
      </x:c>
      <x:c r="F454" s="6">
        <x:v>168060</x:v>
      </x:c>
      <x:c r="G454" s="9">
        <x:v>6.6049999999999998E-2</x:v>
      </x:c>
    </x:row>
    <x:row r="455">
      <x:c r="A455" s="5">
        <x:v>2019</x:v>
      </x:c>
      <x:c r="B455" s="15" t="s">
        <x:v>710</x:v>
      </x:c>
      <x:c r="C455" s="15" t="s">
        <x:v>711</x:v>
      </x:c>
      <x:c r="D455" s="15" t="s">
        <x:v>644</x:v>
      </x:c>
      <x:c r="E455" s="6">
        <x:v>21040</x:v>
      </x:c>
      <x:c r="F455" s="6">
        <x:v>326300</x:v>
      </x:c>
      <x:c r="G455" s="9">
        <x:v>6.448000000000001E-2</x:v>
      </x:c>
    </x:row>
    <x:row r="456">
      <x:c r="A456" s="5">
        <x:v>2019</x:v>
      </x:c>
      <x:c r="B456" s="15" t="s">
        <x:v>776</x:v>
      </x:c>
      <x:c r="C456" s="15" t="s">
        <x:v>777</x:v>
      </x:c>
      <x:c r="D456" s="15" t="s">
        <x:v>671</x:v>
      </x:c>
      <x:c r="E456" s="6">
        <x:v>4060</x:v>
      </x:c>
      <x:c r="F456" s="6">
        <x:v>71200</x:v>
      </x:c>
      <x:c r="G456" s="9">
        <x:v>5.7079999999999999E-2</x:v>
      </x:c>
    </x:row>
    <x:row r="457">
      <x:c r="A457" s="5">
        <x:v>2019</x:v>
      </x:c>
      <x:c r="B457" s="15" t="s">
        <x:v>793</x:v>
      </x:c>
      <x:c r="C457" s="15" t="s">
        <x:v>794</x:v>
      </x:c>
      <x:c r="D457" s="15" t="s">
        <x:v>652</x:v>
      </x:c>
      <x:c r="E457" s="6">
        <x:v>40060</x:v>
      </x:c>
      <x:c r="F457" s="6">
        <x:v>802220</x:v>
      </x:c>
      <x:c r="G457" s="9">
        <x:v>4.9930000000000002E-2</x:v>
      </x:c>
    </x:row>
    <x:row r="458">
      <x:c r="A458" s="5">
        <x:v>2019</x:v>
      </x:c>
      <x:c r="B458" s="15" t="s">
        <x:v>770</x:v>
      </x:c>
      <x:c r="C458" s="15" t="s">
        <x:v>771</x:v>
      </x:c>
      <x:c r="D458" s="15" t="s">
        <x:v>689</x:v>
      </x:c>
      <x:c r="E458" s="6">
        <x:v>27170</x:v>
      </x:c>
      <x:c r="F458" s="6">
        <x:v>484670</x:v>
      </x:c>
      <x:c r="G458" s="9">
        <x:v>5.6050000000000003E-2</x:v>
      </x:c>
    </x:row>
    <x:row r="459">
      <x:c r="A459" s="5">
        <x:v>2019</x:v>
      </x:c>
      <x:c r="B459" s="15" t="s">
        <x:v>679</x:v>
      </x:c>
      <x:c r="C459" s="15" t="s">
        <x:v>680</x:v>
      </x:c>
      <x:c r="D459" s="15" t="s">
        <x:v>651</x:v>
      </x:c>
      <x:c r="E459" s="6">
        <x:v>36700</x:v>
      </x:c>
      <x:c r="F459" s="6">
        <x:v>547820</x:v>
      </x:c>
      <x:c r="G459" s="9">
        <x:v>6.7000000000000004E-2</x:v>
      </x:c>
    </x:row>
    <x:row r="460">
      <x:c r="A460" s="5">
        <x:v>2019</x:v>
      </x:c>
      <x:c r="B460" s="15" t="s">
        <x:v>652</x:v>
      </x:c>
      <x:c r="C460" s="15" t="s">
        <x:v>182</x:v>
      </x:c>
      <x:c r="D460" s="15" t="s">
        <x:v>651</x:v>
      </x:c>
      <x:c r="E460" s="6">
        <x:v>12760</x:v>
      </x:c>
      <x:c r="F460" s="6">
        <x:v>166900</x:v>
      </x:c>
      <x:c r="G460" s="9">
        <x:v>7.6429999999999998E-2</x:v>
      </x:c>
    </x:row>
    <x:row r="461">
      <x:c r="A461" s="5">
        <x:v>2019</x:v>
      </x:c>
      <x:c r="B461" s="15" t="s">
        <x:v>799</x:v>
      </x:c>
      <x:c r="C461" s="15" t="s">
        <x:v>804</x:v>
      </x:c>
      <x:c r="D461" s="15" t="s">
        <x:v>652</x:v>
      </x:c>
      <x:c r="E461" s="6">
        <x:v>13680</x:v>
      </x:c>
      <x:c r="F461" s="6">
        <x:v>298230</x:v>
      </x:c>
      <x:c r="G461" s="9">
        <x:v>4.5880000000000004E-2</x:v>
      </x:c>
    </x:row>
    <x:row r="462">
      <x:c r="A462" s="5">
        <x:v>2019</x:v>
      </x:c>
      <x:c r="B462" s="15" t="s">
        <x:v>685</x:v>
      </x:c>
      <x:c r="C462" s="15" t="s">
        <x:v>686</x:v>
      </x:c>
      <x:c r="D462" s="15" t="s">
        <x:v>651</x:v>
      </x:c>
      <x:c r="E462" s="6">
        <x:v>45440</x:v>
      </x:c>
      <x:c r="F462" s="6">
        <x:v>661730</x:v>
      </x:c>
      <x:c r="G462" s="9">
        <x:v>6.8669999999999995E-2</x:v>
      </x:c>
    </x:row>
    <x:row r="463">
      <x:c r="A463" s="5">
        <x:v>2019</x:v>
      </x:c>
      <x:c r="B463" s="15" t="s">
        <x:v>656</x:v>
      </x:c>
      <x:c r="C463" s="15" t="s">
        <x:v>657</x:v>
      </x:c>
      <x:c r="D463" s="15" t="s">
        <x:v>651</x:v>
      </x:c>
      <x:c r="E463" s="6">
        <x:v>12590</x:v>
      </x:c>
      <x:c r="F463" s="6">
        <x:v>173520</x:v>
      </x:c>
      <x:c r="G463" s="9">
        <x:v>7.2529999999999997E-2</x:v>
      </x:c>
    </x:row>
    <x:row r="464">
      <x:c r="A464" s="5">
        <x:v>2019</x:v>
      </x:c>
      <x:c r="B464" s="15" t="s">
        <x:v>802</x:v>
      </x:c>
      <x:c r="C464" s="15" t="s">
        <x:v>803</x:v>
      </x:c>
      <x:c r="D464" s="15" t="s">
        <x:v>799</x:v>
      </x:c>
      <x:c r="E464" s="6">
        <x:v>36290</x:v>
      </x:c>
      <x:c r="F464" s="6">
        <x:v>755150</x:v>
      </x:c>
      <x:c r="G464" s="9">
        <x:v>4.8059999999999999E-2</x:v>
      </x:c>
    </x:row>
    <x:row r="465">
      <x:c r="A465" s="5">
        <x:v>2019</x:v>
      </x:c>
      <x:c r="B465" s="15" t="s">
        <x:v>650</x:v>
      </x:c>
      <x:c r="C465" s="15" t="s">
        <x:v>38</x:v>
      </x:c>
      <x:c r="D465" s="15" t="s">
        <x:v>651</x:v>
      </x:c>
      <x:c r="E465" s="6">
        <x:v>69730</x:v>
      </x:c>
      <x:c r="F465" s="6">
        <x:v>902590</x:v>
      </x:c>
      <x:c r="G465" s="9">
        <x:v>7.7259999999999995E-2</x:v>
      </x:c>
    </x:row>
    <x:row r="466">
      <x:c r="A466" s="5">
        <x:v>2019</x:v>
      </x:c>
      <x:c r="B466" s="15" t="s">
        <x:v>639</x:v>
      </x:c>
      <x:c r="C466" s="15" t="s">
        <x:v>19</x:v>
      </x:c>
      <x:c r="D466" s="15" t="s">
        <x:v>640</x:v>
      </x:c>
      <x:c r="E466" s="6">
        <x:v>17670</x:v>
      </x:c>
      <x:c r="F466" s="6">
        <x:v>195660</x:v>
      </x:c>
      <x:c r="G466" s="9">
        <x:v>9.0329999999999994E-2</x:v>
      </x:c>
    </x:row>
    <x:row r="467">
      <x:c r="A467" s="5">
        <x:v>2019</x:v>
      </x:c>
      <x:c r="B467" s="15" t="s">
        <x:v>690</x:v>
      </x:c>
      <x:c r="C467" s="15" t="s">
        <x:v>691</x:v>
      </x:c>
      <x:c r="D467" s="15" t="s">
        <x:v>647</x:v>
      </x:c>
      <x:c r="E467" s="6">
        <x:v>167840</x:v>
      </x:c>
      <x:c r="F467" s="6">
        <x:v>2518160</x:v>
      </x:c>
      <x:c r="G467" s="9">
        <x:v>6.6650000000000001E-2</x:v>
      </x:c>
    </x:row>
    <x:row r="468">
      <x:c r="A468" s="5">
        <x:v>2019</x:v>
      </x:c>
      <x:c r="B468" s="15" t="s">
        <x:v>708</x:v>
      </x:c>
      <x:c r="C468" s="15" t="s">
        <x:v>709</x:v>
      </x:c>
      <x:c r="D468" s="15" t="s">
        <x:v>647</x:v>
      </x:c>
      <x:c r="E468" s="6">
        <x:v>50440</x:v>
      </x:c>
      <x:c r="F468" s="6">
        <x:v>804680</x:v>
      </x:c>
      <x:c r="G468" s="9">
        <x:v>6.268E-2</x:v>
      </x:c>
    </x:row>
    <x:row r="469">
      <x:c r="A469" s="5">
        <x:v>2019</x:v>
      </x:c>
      <x:c r="B469" s="15" t="s">
        <x:v>687</x:v>
      </x:c>
      <x:c r="C469" s="15" t="s">
        <x:v>688</x:v>
      </x:c>
      <x:c r="D469" s="15" t="s">
        <x:v>689</x:v>
      </x:c>
      <x:c r="E469" s="6">
        <x:v>17880</x:v>
      </x:c>
      <x:c r="F469" s="6">
        <x:v>267340</x:v>
      </x:c>
      <x:c r="G469" s="9">
        <x:v>6.6900000000000001E-2</x:v>
      </x:c>
    </x:row>
    <x:row r="470">
      <x:c r="A470" s="5">
        <x:v>2019</x:v>
      </x:c>
      <x:c r="B470" s="15" t="s">
        <x:v>658</x:v>
      </x:c>
      <x:c r="C470" s="15" t="s">
        <x:v>659</x:v>
      </x:c>
      <x:c r="D470" s="15" t="s">
        <x:v>647</x:v>
      </x:c>
      <x:c r="E470" s="6">
        <x:v>103940</x:v>
      </x:c>
      <x:c r="F470" s="6">
        <x:v>1438100</x:v>
      </x:c>
      <x:c r="G470" s="9">
        <x:v>7.2270000000000001E-2</x:v>
      </x:c>
    </x:row>
    <x:row r="471">
      <x:c r="A471" s="5">
        <x:v>2019</x:v>
      </x:c>
      <x:c r="B471" s="15" t="s">
        <x:v>760</x:v>
      </x:c>
      <x:c r="C471" s="15" t="s">
        <x:v>761</x:v>
      </x:c>
      <x:c r="D471" s="15" t="s">
        <x:v>649</x:v>
      </x:c>
      <x:c r="E471" s="6">
        <x:v>38020</x:v>
      </x:c>
      <x:c r="F471" s="6">
        <x:v>639680</x:v>
      </x:c>
      <x:c r="G471" s="9">
        <x:v>5.944E-2</x:v>
      </x:c>
    </x:row>
    <x:row r="472">
      <x:c r="A472" s="5">
        <x:v>2019</x:v>
      </x:c>
      <x:c r="B472" s="15" t="s">
        <x:v>789</x:v>
      </x:c>
      <x:c r="C472" s="15" t="s">
        <x:v>790</x:v>
      </x:c>
      <x:c r="D472" s="15" t="s">
        <x:v>644</x:v>
      </x:c>
      <x:c r="E472" s="6">
        <x:v>36340</x:v>
      </x:c>
      <x:c r="F472" s="6">
        <x:v>671310</x:v>
      </x:c>
      <x:c r="G472" s="9">
        <x:v>5.4130000000000005E-2</x:v>
      </x:c>
    </x:row>
    <x:row r="473">
      <x:c r="A473" s="5">
        <x:v>2019</x:v>
      </x:c>
      <x:c r="B473" s="15" t="s">
        <x:v>734</x:v>
      </x:c>
      <x:c r="C473" s="15" t="s">
        <x:v>735</x:v>
      </x:c>
      <x:c r="D473" s="15" t="s">
        <x:v>671</x:v>
      </x:c>
      <x:c r="E473" s="6">
        <x:v>14130</x:v>
      </x:c>
      <x:c r="F473" s="6">
        <x:v>227190</x:v>
      </x:c>
      <x:c r="G473" s="9">
        <x:v>6.2210000000000001E-2</x:v>
      </x:c>
    </x:row>
    <x:row r="474">
      <x:c r="A474" s="5">
        <x:v>2019</x:v>
      </x:c>
      <x:c r="B474" s="15" t="s">
        <x:v>695</x:v>
      </x:c>
      <x:c r="C474" s="15" t="s">
        <x:v>696</x:v>
      </x:c>
      <x:c r="D474" s="15" t="s">
        <x:v>671</x:v>
      </x:c>
      <x:c r="E474" s="6">
        <x:v>31690</x:v>
      </x:c>
      <x:c r="F474" s="6">
        <x:v>483670</x:v>
      </x:c>
      <x:c r="G474" s="9">
        <x:v>6.5519999999999995E-2</x:v>
      </x:c>
    </x:row>
    <x:row r="475">
      <x:c r="A475" s="5">
        <x:v>2019</x:v>
      </x:c>
      <x:c r="B475" s="15" t="s">
        <x:v>699</x:v>
      </x:c>
      <x:c r="C475" s="15" t="s">
        <x:v>700</x:v>
      </x:c>
      <x:c r="D475" s="15" t="s">
        <x:v>651</x:v>
      </x:c>
      <x:c r="E475" s="6">
        <x:v>73610</x:v>
      </x:c>
      <x:c r="F475" s="6">
        <x:v>1106740</x:v>
      </x:c>
      <x:c r="G475" s="9">
        <x:v>6.651E-2</x:v>
      </x:c>
    </x:row>
    <x:row r="476">
      <x:c r="A476" s="5">
        <x:v>2019</x:v>
      </x:c>
      <x:c r="B476" s="15" t="s">
        <x:v>677</x:v>
      </x:c>
      <x:c r="C476" s="15" t="s">
        <x:v>678</x:v>
      </x:c>
      <x:c r="D476" s="15" t="s">
        <x:v>651</x:v>
      </x:c>
      <x:c r="E476" s="6">
        <x:v>50010</x:v>
      </x:c>
      <x:c r="F476" s="6">
        <x:v>729940</x:v>
      </x:c>
      <x:c r="G476" s="9">
        <x:v>6.8510000000000001E-2</x:v>
      </x:c>
    </x:row>
    <x:row r="477">
      <x:c r="A477" s="5">
        <x:v>2019</x:v>
      </x:c>
      <x:c r="B477" s="15" t="s">
        <x:v>791</x:v>
      </x:c>
      <x:c r="C477" s="15" t="s">
        <x:v>792</x:v>
      </x:c>
      <x:c r="D477" s="15" t="s">
        <x:v>649</x:v>
      </x:c>
      <x:c r="E477" s="6">
        <x:v>95420</x:v>
      </x:c>
      <x:c r="F477" s="6">
        <x:v>1857860</x:v>
      </x:c>
      <x:c r="G477" s="9">
        <x:v>5.1360000000000003E-2</x:v>
      </x:c>
    </x:row>
    <x:row r="478">
      <x:c r="A478" s="5">
        <x:v>2019</x:v>
      </x:c>
      <x:c r="B478" s="15" t="s">
        <x:v>664</x:v>
      </x:c>
      <x:c r="C478" s="15" t="s">
        <x:v>665</x:v>
      </x:c>
      <x:c r="D478" s="15" t="s">
        <x:v>640</x:v>
      </x:c>
      <x:c r="E478" s="6">
        <x:v>15770</x:v>
      </x:c>
      <x:c r="F478" s="6">
        <x:v>229200</x:v>
      </x:c>
      <x:c r="G478" s="9">
        <x:v>6.88E-2</x:v>
      </x:c>
    </x:row>
    <x:row r="479">
      <x:c r="A479" s="5">
        <x:v>2019</x:v>
      </x:c>
      <x:c r="B479" s="15" t="s">
        <x:v>660</x:v>
      </x:c>
      <x:c r="C479" s="15" t="s">
        <x:v>661</x:v>
      </x:c>
      <x:c r="D479" s="15" t="s">
        <x:v>640</x:v>
      </x:c>
      <x:c r="E479" s="6">
        <x:v>39590</x:v>
      </x:c>
      <x:c r="F479" s="6">
        <x:v>535620</x:v>
      </x:c>
      <x:c r="G479" s="9">
        <x:v>7.392E-2</x:v>
      </x:c>
    </x:row>
    <x:row r="480">
      <x:c r="A480" s="5">
        <x:v>2019</x:v>
      </x:c>
      <x:c r="B480" s="15" t="s">
        <x:v>732</x:v>
      </x:c>
      <x:c r="C480" s="15" t="s">
        <x:v>733</x:v>
      </x:c>
      <x:c r="D480" s="15" t="s">
        <x:v>652</x:v>
      </x:c>
      <x:c r="E480" s="6">
        <x:v>33030</x:v>
      </x:c>
      <x:c r="F480" s="6">
        <x:v>551950</x:v>
      </x:c>
      <x:c r="G480" s="9">
        <x:v>5.9839999999999997E-2</x:v>
      </x:c>
    </x:row>
    <x:row r="481">
      <x:c r="A481" s="5">
        <x:v>2019</x:v>
      </x:c>
      <x:c r="B481" s="15" t="s">
        <x:v>807</x:v>
      </x:c>
      <x:c r="C481" s="15" t="s">
        <x:v>808</x:v>
      </x:c>
      <x:c r="D481" s="15" t="s">
        <x:v>649</x:v>
      </x:c>
      <x:c r="E481" s="6">
        <x:v>20850</x:v>
      </x:c>
      <x:c r="F481" s="6">
        <x:v>431620</x:v>
      </x:c>
      <x:c r="G481" s="9">
        <x:v>4.8310000000000006E-2</x:v>
      </x:c>
    </x:row>
    <x:row r="482">
      <x:c r="A482" s="5">
        <x:v>2019</x:v>
      </x:c>
      <x:c r="B482" s="15" t="s">
        <x:v>817</x:v>
      </x:c>
      <x:c r="C482" s="15" t="s">
        <x:v>818</x:v>
      </x:c>
      <x:c r="D482" s="15" t="s">
        <x:v>649</x:v>
      </x:c>
      <x:c r="E482" s="6">
        <x:v>34220</x:v>
      </x:c>
      <x:c r="F482" s="6">
        <x:v>784080</x:v>
      </x:c>
      <x:c r="G482" s="9">
        <x:v>4.3650000000000001E-2</x:v>
      </x:c>
    </x:row>
    <x:row r="483">
      <x:c r="A483" s="5">
        <x:v>2019</x:v>
      </x:c>
      <x:c r="B483" s="15" t="s">
        <x:v>644</x:v>
      </x:c>
      <x:c r="C483" s="15" t="s">
        <x:v>815</x:v>
      </x:c>
      <x:c r="D483" s="15" t="s">
        <x:v>670</x:v>
      </x:c>
      <x:c r="E483" s="6">
        <x:v>94510</x:v>
      </x:c>
      <x:c r="F483" s="6">
        <x:v>2115290</x:v>
      </x:c>
      <x:c r="G483" s="9">
        <x:v>4.4679999999999997E-2</x:v>
      </x:c>
    </x:row>
    <x:row r="484">
      <x:c r="A484" s="5">
        <x:v>2019</x:v>
      </x:c>
      <x:c r="B484" s="15" t="s">
        <x:v>671</x:v>
      </x:c>
      <x:c r="C484" s="15" t="s">
        <x:v>714</x:v>
      </x:c>
      <x:c r="D484" s="15" t="s">
        <x:v>689</x:v>
      </x:c>
      <x:c r="E484" s="6">
        <x:v>77480</x:v>
      </x:c>
      <x:c r="F484" s="6">
        <x:v>1225550</x:v>
      </x:c>
      <x:c r="G484" s="9">
        <x:v>6.3219999999999998E-2</x:v>
      </x:c>
    </x:row>
    <x:row r="485">
      <x:c r="A485" s="5">
        <x:v>2019</x:v>
      </x:c>
      <x:c r="B485" s="15" t="s">
        <x:v>762</x:v>
      </x:c>
      <x:c r="C485" s="15" t="s">
        <x:v>763</x:v>
      </x:c>
      <x:c r="D485" s="15" t="s">
        <x:v>670</x:v>
      </x:c>
      <x:c r="E485" s="6">
        <x:v>78430</x:v>
      </x:c>
      <x:c r="F485" s="6">
        <x:v>1385120</x:v>
      </x:c>
      <x:c r="G485" s="9">
        <x:v>5.6619999999999997E-2</x:v>
      </x:c>
    </x:row>
    <x:row r="486">
      <x:c r="A486" s="5">
        <x:v>2019</x:v>
      </x:c>
      <x:c r="B486" s="15" t="s">
        <x:v>805</x:v>
      </x:c>
      <x:c r="C486" s="15" t="s">
        <x:v>806</x:v>
      </x:c>
      <x:c r="D486" s="15" t="s">
        <x:v>670</x:v>
      </x:c>
      <x:c r="E486" s="6">
        <x:v>68790</x:v>
      </x:c>
      <x:c r="F486" s="6">
        <x:v>1441220</x:v>
      </x:c>
      <x:c r="G486" s="9">
        <x:v>4.7729999999999995E-2</x:v>
      </x:c>
    </x:row>
    <x:row r="487">
      <x:c r="A487" s="5">
        <x:v>2019</x:v>
      </x:c>
      <x:c r="B487" s="15" t="s">
        <x:v>715</x:v>
      </x:c>
      <x:c r="C487" s="15" t="s">
        <x:v>716</x:v>
      </x:c>
      <x:c r="D487" s="15" t="s">
        <x:v>644</x:v>
      </x:c>
      <x:c r="E487" s="6">
        <x:v>22300</x:v>
      </x:c>
      <x:c r="F487" s="6">
        <x:v>365620</x:v>
      </x:c>
      <x:c r="G487" s="9">
        <x:v>6.0979999999999999E-2</x:v>
      </x:c>
    </x:row>
    <x:row r="488">
      <x:c r="A488" s="5">
        <x:v>2019</x:v>
      </x:c>
      <x:c r="B488" s="15" t="s">
        <x:v>662</x:v>
      </x:c>
      <x:c r="C488" s="15" t="s">
        <x:v>663</x:v>
      </x:c>
      <x:c r="D488" s="15" t="s">
        <x:v>647</x:v>
      </x:c>
      <x:c r="E488" s="6">
        <x:v>38890</x:v>
      </x:c>
      <x:c r="F488" s="6">
        <x:v>548640</x:v>
      </x:c>
      <x:c r="G488" s="9">
        <x:v>7.0879999999999999E-2</x:v>
      </x:c>
    </x:row>
    <x:row r="489">
      <x:c r="A489" s="5">
        <x:v>2019</x:v>
      </x:c>
      <x:c r="B489" s="15" t="s">
        <x:v>752</x:v>
      </x:c>
      <x:c r="C489" s="15" t="s">
        <x:v>753</x:v>
      </x:c>
      <x:c r="D489" s="15" t="s">
        <x:v>671</x:v>
      </x:c>
      <x:c r="E489" s="6">
        <x:v>22880</x:v>
      </x:c>
      <x:c r="F489" s="6">
        <x:v>386800</x:v>
      </x:c>
      <x:c r="G489" s="9">
        <x:v>5.9160000000000004E-2</x:v>
      </x:c>
    </x:row>
    <x:row r="490">
      <x:c r="A490" s="5">
        <x:v>2019</x:v>
      </x:c>
      <x:c r="B490" s="15" t="s">
        <x:v>756</x:v>
      </x:c>
      <x:c r="C490" s="15" t="s">
        <x:v>757</x:v>
      </x:c>
      <x:c r="D490" s="15" t="s">
        <x:v>671</x:v>
      </x:c>
      <x:c r="E490" s="6">
        <x:v>15190</x:v>
      </x:c>
      <x:c r="F490" s="6">
        <x:v>259970</x:v>
      </x:c>
      <x:c r="G490" s="9">
        <x:v>5.842E-2</x:v>
      </x:c>
    </x:row>
    <x:row r="491">
      <x:c r="A491" s="5">
        <x:v>2019</x:v>
      </x:c>
      <x:c r="B491" s="15" t="s">
        <x:v>758</x:v>
      </x:c>
      <x:c r="C491" s="15" t="s">
        <x:v>759</x:v>
      </x:c>
      <x:c r="D491" s="15" t="s">
        <x:v>672</x:v>
      </x:c>
      <x:c r="E491" s="6">
        <x:v>67150</x:v>
      </x:c>
      <x:c r="F491" s="6">
        <x:v>1105260</x:v>
      </x:c>
      <x:c r="G491" s="9">
        <x:v>6.0759999999999995E-2</x:v>
      </x:c>
    </x:row>
    <x:row r="492">
      <x:c r="A492" s="5">
        <x:v>2019</x:v>
      </x:c>
      <x:c r="B492" s="15" t="s">
        <x:v>649</x:v>
      </x:c>
      <x:c r="C492" s="15" t="s">
        <x:v>731</x:v>
      </x:c>
      <x:c r="D492" s="15" t="s">
        <x:v>672</x:v>
      </x:c>
      <x:c r="E492" s="6">
        <x:v>35990</x:v>
      </x:c>
      <x:c r="F492" s="6">
        <x:v>575170</x:v>
      </x:c>
      <x:c r="G492" s="9">
        <x:v>6.2570000000000001E-2</x:v>
      </x:c>
    </x:row>
    <x:row r="493">
      <x:c r="A493" s="5">
        <x:v>2019</x:v>
      </x:c>
      <x:c r="B493" s="15" t="s">
        <x:v>754</x:v>
      </x:c>
      <x:c r="C493" s="15" t="s">
        <x:v>755</x:v>
      </x:c>
      <x:c r="D493" s="15" t="s">
        <x:v>652</x:v>
      </x:c>
      <x:c r="E493" s="6">
        <x:v>39590</x:v>
      </x:c>
      <x:c r="F493" s="6">
        <x:v>683530</x:v>
      </x:c>
      <x:c r="G493" s="9">
        <x:v>5.7919999999999999E-2</x:v>
      </x:c>
    </x:row>
    <x:row r="494">
      <x:c r="A494" s="5">
        <x:v>2019</x:v>
      </x:c>
      <x:c r="B494" s="15" t="s">
        <x:v>750</x:v>
      </x:c>
      <x:c r="C494" s="15" t="s">
        <x:v>751</x:v>
      </x:c>
      <x:c r="D494" s="15" t="s">
        <x:v>644</x:v>
      </x:c>
      <x:c r="E494" s="6">
        <x:v>23760</x:v>
      </x:c>
      <x:c r="F494" s="6">
        <x:v>419130</x:v>
      </x:c>
      <x:c r="G494" s="9">
        <x:v>5.6680000000000001E-2</x:v>
      </x:c>
    </x:row>
    <x:row r="495">
      <x:c r="A495" s="5">
        <x:v>2019</x:v>
      </x:c>
      <x:c r="B495" s="15" t="s">
        <x:v>683</x:v>
      </x:c>
      <x:c r="C495" s="15" t="s">
        <x:v>684</x:v>
      </x:c>
      <x:c r="D495" s="15" t="s">
        <x:v>644</x:v>
      </x:c>
      <x:c r="E495" s="6">
        <x:v>24260</x:v>
      </x:c>
      <x:c r="F495" s="6">
        <x:v>354120</x:v>
      </x:c>
      <x:c r="G495" s="9">
        <x:v>6.8499999999999991E-2</x:v>
      </x:c>
    </x:row>
    <x:row r="496">
      <x:c r="A496" s="5">
        <x:v>2019</x:v>
      </x:c>
      <x:c r="B496" s="15" t="s">
        <x:v>675</x:v>
      </x:c>
      <x:c r="C496" s="15" t="s">
        <x:v>676</x:v>
      </x:c>
      <x:c r="D496" s="15" t="s">
        <x:v>651</x:v>
      </x:c>
      <x:c r="E496" s="6">
        <x:v>24640</x:v>
      </x:c>
      <x:c r="F496" s="6">
        <x:v>358300</x:v>
      </x:c>
      <x:c r="G496" s="9">
        <x:v>6.8780000000000008E-2</x:v>
      </x:c>
    </x:row>
    <x:row r="497">
      <x:c r="A497" s="5">
        <x:v>2019</x:v>
      </x:c>
      <x:c r="B497" s="15" t="s">
        <x:v>655</x:v>
      </x:c>
      <x:c r="C497" s="15" t="s">
        <x:v>42</x:v>
      </x:c>
      <x:c r="D497" s="15" t="s">
        <x:v>640</x:v>
      </x:c>
      <x:c r="E497" s="6">
        <x:v>24540</x:v>
      </x:c>
      <x:c r="F497" s="6">
        <x:v>324970</x:v>
      </x:c>
      <x:c r="G497" s="9">
        <x:v>7.5499999999999998E-2</x:v>
      </x:c>
    </x:row>
    <x:row r="498">
      <x:c r="A498" s="5">
        <x:v>2019</x:v>
      </x:c>
      <x:c r="B498" s="15" t="s">
        <x:v>712</x:v>
      </x:c>
      <x:c r="C498" s="15" t="s">
        <x:v>713</x:v>
      </x:c>
      <x:c r="D498" s="15" t="s">
        <x:v>640</x:v>
      </x:c>
      <x:c r="E498" s="6">
        <x:v>8410</x:v>
      </x:c>
      <x:c r="F498" s="6">
        <x:v>136590</x:v>
      </x:c>
      <x:c r="G498" s="9">
        <x:v>6.1589999999999999E-2</x:v>
      </x:c>
    </x:row>
    <x:row r="499">
      <x:c r="A499" s="5">
        <x:v>2019</x:v>
      </x:c>
      <x:c r="B499" s="15" t="s">
        <x:v>784</x:v>
      </x:c>
      <x:c r="C499" s="15" t="s">
        <x:v>785</x:v>
      </x:c>
      <x:c r="D499" s="15" t="s">
        <x:v>670</x:v>
      </x:c>
      <x:c r="E499" s="6">
        <x:v>68650</x:v>
      </x:c>
      <x:c r="F499" s="6">
        <x:v>1284510</x:v>
      </x:c>
      <x:c r="G499" s="9">
        <x:v>5.3440000000000001E-2</x:v>
      </x:c>
    </x:row>
    <x:row r="500">
      <x:c r="A500" s="5">
        <x:v>2019</x:v>
      </x:c>
      <x:c r="B500" s="15" t="s">
        <x:v>809</x:v>
      </x:c>
      <x:c r="C500" s="15" t="s">
        <x:v>810</x:v>
      </x:c>
      <x:c r="D500" s="15" t="s">
        <x:v>670</x:v>
      </x:c>
      <x:c r="E500" s="6">
        <x:v>72080</x:v>
      </x:c>
      <x:c r="F500" s="6">
        <x:v>1579600</x:v>
      </x:c>
      <x:c r="G500" s="9">
        <x:v>4.5629999999999997E-2</x:v>
      </x:c>
    </x:row>
    <x:row r="501">
      <x:c r="A501" s="5">
        <x:v>2019</x:v>
      </x:c>
      <x:c r="B501" s="15" t="s">
        <x:v>672</x:v>
      </x:c>
      <x:c r="C501" s="15" t="s">
        <x:v>673</x:v>
      </x:c>
      <x:c r="D501" s="15" t="s">
        <x:v>670</x:v>
      </x:c>
      <x:c r="E501" s="6">
        <x:v>108680</x:v>
      </x:c>
      <x:c r="F501" s="6">
        <x:v>1576000</x:v>
      </x:c>
      <x:c r="G501" s="9">
        <x:v>6.8959999999999994E-2</x:v>
      </x:c>
    </x:row>
    <x:row r="502">
      <x:c r="A502" s="5">
        <x:v>2019</x:v>
      </x:c>
      <x:c r="B502" s="15" t="s">
        <x:v>705</x:v>
      </x:c>
      <x:c r="C502" s="15" t="s">
        <x:v>780</x:v>
      </x:c>
      <x:c r="D502" s="15" t="s">
        <x:v>670</x:v>
      </x:c>
      <x:c r="E502" s="6">
        <x:v>74410</x:v>
      </x:c>
      <x:c r="F502" s="6">
        <x:v>1350270</x:v>
      </x:c>
      <x:c r="G502" s="9">
        <x:v>5.5099999999999996E-2</x:v>
      </x:c>
    </x:row>
    <x:row r="503">
      <x:c r="A503" s="5">
        <x:v>2019</x:v>
      </x:c>
      <x:c r="B503" s="15" t="s">
        <x:v>740</x:v>
      </x:c>
      <x:c r="C503" s="15" t="s">
        <x:v>741</x:v>
      </x:c>
      <x:c r="D503" s="15" t="s">
        <x:v>670</x:v>
      </x:c>
      <x:c r="E503" s="6">
        <x:v>73850</x:v>
      </x:c>
      <x:c r="F503" s="6">
        <x:v>1240550</x:v>
      </x:c>
      <x:c r="G503" s="9">
        <x:v>5.953E-2</x:v>
      </x:c>
    </x:row>
    <x:row r="504">
      <x:c r="A504" s="5">
        <x:v>2019</x:v>
      </x:c>
      <x:c r="B504" s="15" t="s">
        <x:v>635</x:v>
      </x:c>
      <x:c r="C504" s="15" t="s">
        <x:v>10</x:v>
      </x:c>
      <x:c r="D504" s="15" t="s">
        <x:v>636</x:v>
      </x:c>
      <x:c r="E504" s="6">
        <x:v>41750</x:v>
      </x:c>
      <x:c r="F504" s="6">
        <x:v>380570</x:v>
      </x:c>
      <x:c r="G504" s="9">
        <x:v>0.10970000000000001</x:v>
      </x:c>
    </x:row>
    <x:row r="505">
      <x:c r="A505" s="5">
        <x:v>2019</x:v>
      </x:c>
      <x:c r="B505" s="15" t="s">
        <x:v>637</x:v>
      </x:c>
      <x:c r="C505" s="15" t="s">
        <x:v>14</x:v>
      </x:c>
      <x:c r="D505" s="15" t="s">
        <x:v>638</x:v>
      </x:c>
      <x:c r="E505" s="6">
        <x:v>36390</x:v>
      </x:c>
      <x:c r="F505" s="6">
        <x:v>357350</x:v>
      </x:c>
      <x:c r="G505" s="9">
        <x:v>0.10182000000000001</x:v>
      </x:c>
    </x:row>
    <x:row r="506">
      <x:c r="A506" s="5">
        <x:v>2019</x:v>
      </x:c>
      <x:c r="B506" s="15" t="s">
        <x:v>749</x:v>
      </x:c>
      <x:c r="C506" s="15" t="s">
        <x:v>67</x:v>
      </x:c>
      <x:c r="D506" s="15" t="s">
        <x:v>648</x:v>
      </x:c>
      <x:c r="E506" s="6">
        <x:v>11230</x:v>
      </x:c>
      <x:c r="F506" s="6">
        <x:v>196920</x:v>
      </x:c>
      <x:c r="G506" s="9">
        <x:v>5.7050000000000003E-2</x:v>
      </x:c>
    </x:row>
    <x:row r="507">
      <x:c r="A507" s="5">
        <x:v>2019</x:v>
      </x:c>
      <x:c r="B507" s="15" t="s">
        <x:v>641</x:v>
      </x:c>
      <x:c r="C507" s="15" t="s">
        <x:v>20</x:v>
      </x:c>
      <x:c r="D507" s="15" t="s">
        <x:v>642</x:v>
      </x:c>
      <x:c r="E507" s="6">
        <x:v>76850</x:v>
      </x:c>
      <x:c r="F507" s="6">
        <x:v>901060</x:v>
      </x:c>
      <x:c r="G507" s="9">
        <x:v>8.5290000000000005E-2</x:v>
      </x:c>
    </x:row>
    <x:row r="508">
      <x:c r="A508" s="5">
        <x:v>2019</x:v>
      </x:c>
      <x:c r="B508" s="15" t="s">
        <x:v>783</x:v>
      </x:c>
      <x:c r="C508" s="15" t="s">
        <x:v>75</x:v>
      </x:c>
      <x:c r="D508" s="15" t="s">
        <x:v>774</x:v>
      </x:c>
      <x:c r="E508" s="6">
        <x:v>5680</x:v>
      </x:c>
      <x:c r="F508" s="6">
        <x:v>112540</x:v>
      </x:c>
      <x:c r="G508" s="9">
        <x:v>5.0479999999999997E-2</x:v>
      </x:c>
    </x:row>
    <x:row r="509">
      <x:c r="A509" s="5">
        <x:v>2020</x:v>
      </x:c>
      <x:c r="B509" s="15" t="s">
        <x:v>636</x:v>
      </x:c>
      <x:c r="C509" s="15" t="s">
        <x:v>786</x:v>
      </x:c>
      <x:c r="D509" s="15" t="s">
        <x:v>649</x:v>
      </x:c>
      <x:c r="E509" s="6">
        <x:v>33320</x:v>
      </x:c>
      <x:c r="F509" s="6">
        <x:v>612450</x:v>
      </x:c>
      <x:c r="G509" s="9">
        <x:v>5.4400000000000004E-2</x:v>
      </x:c>
    </x:row>
    <x:row r="510">
      <x:c r="A510" s="5">
        <x:v>2020</x:v>
      </x:c>
      <x:c r="B510" s="15" t="s">
        <x:v>638</x:v>
      </x:c>
      <x:c r="C510" s="15" t="s">
        <x:v>50</x:v>
      </x:c>
      <x:c r="D510" s="15" t="s">
        <x:v>647</x:v>
      </x:c>
      <x:c r="E510" s="6">
        <x:v>40340</x:v>
      </x:c>
      <x:c r="F510" s="6">
        <x:v>509070</x:v>
      </x:c>
      <x:c r="G510" s="9">
        <x:v>7.9250000000000001E-2</x:v>
      </x:c>
    </x:row>
    <x:row r="511">
      <x:c r="A511" s="5">
        <x:v>2020</x:v>
      </x:c>
      <x:c r="B511" s="15" t="s">
        <x:v>648</x:v>
      </x:c>
      <x:c r="C511" s="15" t="s">
        <x:v>46</x:v>
      </x:c>
      <x:c r="D511" s="15" t="s">
        <x:v>649</x:v>
      </x:c>
      <x:c r="E511" s="6">
        <x:v>25830</x:v>
      </x:c>
      <x:c r="F511" s="6">
        <x:v>324720</x:v>
      </x:c>
      <x:c r="G511" s="9">
        <x:v>7.9560000000000006E-2</x:v>
      </x:c>
    </x:row>
    <x:row r="512">
      <x:c r="A512" s="5">
        <x:v>2020</x:v>
      </x:c>
      <x:c r="B512" s="15" t="s">
        <x:v>642</x:v>
      </x:c>
      <x:c r="C512" s="15" t="s">
        <x:v>748</x:v>
      </x:c>
      <x:c r="D512" s="15" t="s">
        <x:v>672</x:v>
      </x:c>
      <x:c r="E512" s="6">
        <x:v>10110</x:v>
      </x:c>
      <x:c r="F512" s="6">
        <x:v>161860</x:v>
      </x:c>
      <x:c r="G512" s="9">
        <x:v>6.2439999999999996E-2</x:v>
      </x:c>
    </x:row>
    <x:row r="513">
      <x:c r="A513" s="5">
        <x:v>2020</x:v>
      </x:c>
      <x:c r="B513" s="15" t="s">
        <x:v>800</x:v>
      </x:c>
      <x:c r="C513" s="15" t="s">
        <x:v>801</x:v>
      </x:c>
      <x:c r="D513" s="15" t="s">
        <x:v>672</x:v>
      </x:c>
      <x:c r="E513" s="6">
        <x:v>7190</x:v>
      </x:c>
      <x:c r="F513" s="6">
        <x:v>139270</x:v>
      </x:c>
      <x:c r="G513" s="9">
        <x:v>5.16E-2</x:v>
      </x:c>
    </x:row>
    <x:row r="514">
      <x:c r="A514" s="5">
        <x:v>2020</x:v>
      </x:c>
      <x:c r="B514" s="15" t="s">
        <x:v>774</x:v>
      </x:c>
      <x:c r="C514" s="15" t="s">
        <x:v>775</x:v>
      </x:c>
      <x:c r="D514" s="15" t="s">
        <x:v>672</x:v>
      </x:c>
      <x:c r="E514" s="6">
        <x:v>65350</x:v>
      </x:c>
      <x:c r="F514" s="6">
        <x:v>1116890</x:v>
      </x:c>
      <x:c r="G514" s="9">
        <x:v>5.851E-2</x:v>
      </x:c>
    </x:row>
    <x:row r="515">
      <x:c r="A515" s="5">
        <x:v>2020</x:v>
      </x:c>
      <x:c r="B515" s="15" t="s">
        <x:v>742</x:v>
      </x:c>
      <x:c r="C515" s="15" t="s">
        <x:v>743</x:v>
      </x:c>
      <x:c r="D515" s="15" t="s">
        <x:v>649</x:v>
      </x:c>
      <x:c r="E515" s="6">
        <x:v>20430</x:v>
      </x:c>
      <x:c r="F515" s="6">
        <x:v>322780</x:v>
      </x:c>
      <x:c r="G515" s="9">
        <x:v>6.3280000000000003E-2</x:v>
      </x:c>
    </x:row>
    <x:row r="516">
      <x:c r="A516" s="5">
        <x:v>2020</x:v>
      </x:c>
      <x:c r="B516" s="15" t="s">
        <x:v>653</x:v>
      </x:c>
      <x:c r="C516" s="15" t="s">
        <x:v>97</x:v>
      </x:c>
      <x:c r="D516" s="15" t="s">
        <x:v>651</x:v>
      </x:c>
      <x:c r="E516" s="6">
        <x:v>20180</x:v>
      </x:c>
      <x:c r="F516" s="6">
        <x:v>260330</x:v>
      </x:c>
      <x:c r="G516" s="9">
        <x:v>7.7499999999999999E-2</x:v>
      </x:c>
    </x:row>
    <x:row r="517">
      <x:c r="A517" s="5">
        <x:v>2020</x:v>
      </x:c>
      <x:c r="B517" s="15" t="s">
        <x:v>717</x:v>
      </x:c>
      <x:c r="C517" s="15" t="s">
        <x:v>718</x:v>
      </x:c>
      <x:c r="D517" s="15" t="s">
        <x:v>671</x:v>
      </x:c>
      <x:c r="E517" s="6">
        <x:v>9790</x:v>
      </x:c>
      <x:c r="F517" s="6">
        <x:v>149800</x:v>
      </x:c>
      <x:c r="G517" s="9">
        <x:v>6.5380000000000008E-2</x:v>
      </x:c>
    </x:row>
    <x:row r="518">
      <x:c r="A518" s="5">
        <x:v>2020</x:v>
      </x:c>
      <x:c r="B518" s="15" t="s">
        <x:v>668</x:v>
      </x:c>
      <x:c r="C518" s="15" t="s">
        <x:v>669</x:v>
      </x:c>
      <x:c r="D518" s="15" t="s">
        <x:v>651</x:v>
      </x:c>
      <x:c r="E518" s="6">
        <x:v>20970</x:v>
      </x:c>
      <x:c r="F518" s="6">
        <x:v>292820</x:v>
      </x:c>
      <x:c r="G518" s="9">
        <x:v>7.1620000000000003E-2</x:v>
      </x:c>
    </x:row>
    <x:row r="519">
      <x:c r="A519" s="5">
        <x:v>2020</x:v>
      </x:c>
      <x:c r="B519" s="15" t="s">
        <x:v>670</x:v>
      </x:c>
      <x:c r="C519" s="15" t="s">
        <x:v>89</x:v>
      </x:c>
      <x:c r="D519" s="15" t="s">
        <x:v>671</x:v>
      </x:c>
      <x:c r="E519" s="6">
        <x:v>26720</x:v>
      </x:c>
      <x:c r="F519" s="6">
        <x:v>367360</x:v>
      </x:c>
      <x:c r="G519" s="9">
        <x:v>7.2720000000000007E-2</x:v>
      </x:c>
    </x:row>
    <x:row r="520">
      <x:c r="A520" s="5">
        <x:v>2020</x:v>
      </x:c>
      <x:c r="B520" s="15" t="s">
        <x:v>768</x:v>
      </x:c>
      <x:c r="C520" s="15" t="s">
        <x:v>769</x:v>
      </x:c>
      <x:c r="D520" s="15" t="s">
        <x:v>671</x:v>
      </x:c>
      <x:c r="E520" s="6">
        <x:v>16090</x:v>
      </x:c>
      <x:c r="F520" s="6">
        <x:v>269360</x:v>
      </x:c>
      <x:c r="G520" s="9">
        <x:v>5.9729999999999998E-2</x:v>
      </x:c>
    </x:row>
    <x:row r="521">
      <x:c r="A521" s="5">
        <x:v>2020</x:v>
      </x:c>
      <x:c r="B521" s="15" t="s">
        <x:v>744</x:v>
      </x:c>
      <x:c r="C521" s="15" t="s">
        <x:v>745</x:v>
      </x:c>
      <x:c r="D521" s="15" t="s">
        <x:v>672</x:v>
      </x:c>
      <x:c r="E521" s="6">
        <x:v>131680</x:v>
      </x:c>
      <x:c r="F521" s="6">
        <x:v>2102370</x:v>
      </x:c>
      <x:c r="G521" s="9">
        <x:v>6.2630000000000005E-2</x:v>
      </x:c>
    </x:row>
    <x:row r="522">
      <x:c r="A522" s="5">
        <x:v>2020</x:v>
      </x:c>
      <x:c r="B522" s="15" t="s">
        <x:v>772</x:v>
      </x:c>
      <x:c r="C522" s="15" t="s">
        <x:v>773</x:v>
      </x:c>
      <x:c r="D522" s="15" t="s">
        <x:v>689</x:v>
      </x:c>
      <x:c r="E522" s="6">
        <x:v>39140</x:v>
      </x:c>
      <x:c r="F522" s="6">
        <x:v>678800</x:v>
      </x:c>
      <x:c r="G522" s="9">
        <x:v>5.765E-2</x:v>
      </x:c>
    </x:row>
    <x:row r="523">
      <x:c r="A523" s="5">
        <x:v>2020</x:v>
      </x:c>
      <x:c r="B523" s="15" t="s">
        <x:v>692</x:v>
      </x:c>
      <x:c r="C523" s="15" t="s">
        <x:v>693</x:v>
      </x:c>
      <x:c r="D523" s="15" t="s">
        <x:v>649</x:v>
      </x:c>
      <x:c r="E523" s="6">
        <x:v>9410</x:v>
      </x:c>
      <x:c r="F523" s="6">
        <x:v>137690</x:v>
      </x:c>
      <x:c r="G523" s="9">
        <x:v>6.8319999999999992E-2</x:v>
      </x:c>
    </x:row>
    <x:row r="524">
      <x:c r="A524" s="5">
        <x:v>2020</x:v>
      </x:c>
      <x:c r="B524" s="15" t="s">
        <x:v>701</x:v>
      </x:c>
      <x:c r="C524" s="15" t="s">
        <x:v>702</x:v>
      </x:c>
      <x:c r="D524" s="15" t="s">
        <x:v>644</x:v>
      </x:c>
      <x:c r="E524" s="6">
        <x:v>22500</x:v>
      </x:c>
      <x:c r="F524" s="6">
        <x:v>337300</x:v>
      </x:c>
      <x:c r="G524" s="9">
        <x:v>6.6710000000000005E-2</x:v>
      </x:c>
    </x:row>
    <x:row r="525">
      <x:c r="A525" s="5">
        <x:v>2020</x:v>
      </x:c>
      <x:c r="B525" s="15" t="s">
        <x:v>727</x:v>
      </x:c>
      <x:c r="C525" s="15" t="s">
        <x:v>728</x:v>
      </x:c>
      <x:c r="D525" s="15" t="s">
        <x:v>644</x:v>
      </x:c>
      <x:c r="E525" s="6">
        <x:v>41870</x:v>
      </x:c>
      <x:c r="F525" s="6">
        <x:v>660150</x:v>
      </x:c>
      <x:c r="G525" s="9">
        <x:v>6.343E-2</x:v>
      </x:c>
    </x:row>
    <x:row r="526">
      <x:c r="A526" s="5">
        <x:v>2020</x:v>
      </x:c>
      <x:c r="B526" s="15" t="s">
        <x:v>654</x:v>
      </x:c>
      <x:c r="C526" s="15" t="s">
        <x:v>86</x:v>
      </x:c>
      <x:c r="D526" s="15" t="s">
        <x:v>646</x:v>
      </x:c>
      <x:c r="E526" s="6">
        <x:v>22500</x:v>
      </x:c>
      <x:c r="F526" s="6">
        <x:v>290650</x:v>
      </x:c>
      <x:c r="G526" s="9">
        <x:v>7.7429999999999999E-2</x:v>
      </x:c>
    </x:row>
    <x:row r="527">
      <x:c r="A527" s="5">
        <x:v>2020</x:v>
      </x:c>
      <x:c r="B527" s="15" t="s">
        <x:v>681</x:v>
      </x:c>
      <x:c r="C527" s="15" t="s">
        <x:v>682</x:v>
      </x:c>
      <x:c r="D527" s="15" t="s">
        <x:v>644</x:v>
      </x:c>
      <x:c r="E527" s="6">
        <x:v>16220</x:v>
      </x:c>
      <x:c r="F527" s="6">
        <x:v>229440</x:v>
      </x:c>
      <x:c r="G527" s="9">
        <x:v>7.0679999999999993E-2</x:v>
      </x:c>
    </x:row>
    <x:row r="528">
      <x:c r="A528" s="5">
        <x:v>2020</x:v>
      </x:c>
      <x:c r="B528" s="15" t="s">
        <x:v>746</x:v>
      </x:c>
      <x:c r="C528" s="15" t="s">
        <x:v>747</x:v>
      </x:c>
      <x:c r="D528" s="15" t="s">
        <x:v>640</x:v>
      </x:c>
      <x:c r="E528" s="6">
        <x:v>31200</x:v>
      </x:c>
      <x:c r="F528" s="6">
        <x:v>510440</x:v>
      </x:c>
      <x:c r="G528" s="9">
        <x:v>6.1120000000000001E-2</x:v>
      </x:c>
    </x:row>
    <x:row r="529">
      <x:c r="A529" s="5">
        <x:v>2020</x:v>
      </x:c>
      <x:c r="B529" s="15" t="s">
        <x:v>797</x:v>
      </x:c>
      <x:c r="C529" s="15" t="s">
        <x:v>798</x:v>
      </x:c>
      <x:c r="D529" s="15" t="s">
        <x:v>799</x:v>
      </x:c>
      <x:c r="E529" s="6">
        <x:v>29540</x:v>
      </x:c>
      <x:c r="F529" s="6">
        <x:v>593550</x:v>
      </x:c>
      <x:c r="G529" s="9">
        <x:v>4.9779999999999998E-2</x:v>
      </x:c>
    </x:row>
    <x:row r="530">
      <x:c r="A530" s="5">
        <x:v>2020</x:v>
      </x:c>
      <x:c r="B530" s="15" t="s">
        <x:v>643</x:v>
      </x:c>
      <x:c r="C530" s="15" t="s">
        <x:v>30</x:v>
      </x:c>
      <x:c r="D530" s="15" t="s">
        <x:v>644</x:v>
      </x:c>
      <x:c r="E530" s="6">
        <x:v>9400</x:v>
      </x:c>
      <x:c r="F530" s="6">
        <x:v>107500</x:v>
      </x:c>
      <x:c r="G530" s="9">
        <x:v>8.7420000000000012E-2</x:v>
      </x:c>
    </x:row>
    <x:row r="531">
      <x:c r="A531" s="5">
        <x:v>2020</x:v>
      </x:c>
      <x:c r="B531" s="15" t="s">
        <x:v>646</x:v>
      </x:c>
      <x:c r="C531" s="15" t="s">
        <x:v>674</x:v>
      </x:c>
      <x:c r="D531" s="15" t="s">
        <x:v>644</x:v>
      </x:c>
      <x:c r="E531" s="6">
        <x:v>28830</x:v>
      </x:c>
      <x:c r="F531" s="6">
        <x:v>398160</x:v>
      </x:c>
      <x:c r="G531" s="9">
        <x:v>7.2400000000000006E-2</x:v>
      </x:c>
    </x:row>
    <x:row r="532">
      <x:c r="A532" s="5">
        <x:v>2020</x:v>
      </x:c>
      <x:c r="B532" s="15" t="s">
        <x:v>766</x:v>
      </x:c>
      <x:c r="C532" s="15" t="s">
        <x:v>767</x:v>
      </x:c>
      <x:c r="D532" s="15" t="s">
        <x:v>640</x:v>
      </x:c>
      <x:c r="E532" s="6">
        <x:v>30860</x:v>
      </x:c>
      <x:c r="F532" s="6">
        <x:v>528680</x:v>
      </x:c>
      <x:c r="G532" s="9">
        <x:v>5.8369999999999998E-2</x:v>
      </x:c>
    </x:row>
    <x:row r="533">
      <x:c r="A533" s="5">
        <x:v>2020</x:v>
      </x:c>
      <x:c r="B533" s="15" t="s">
        <x:v>764</x:v>
      </x:c>
      <x:c r="C533" s="15" t="s">
        <x:v>765</x:v>
      </x:c>
      <x:c r="D533" s="15" t="s">
        <x:v>649</x:v>
      </x:c>
      <x:c r="E533" s="6">
        <x:v>31570</x:v>
      </x:c>
      <x:c r="F533" s="6">
        <x:v>517740</x:v>
      </x:c>
      <x:c r="G533" s="9">
        <x:v>6.0979999999999999E-2</x:v>
      </x:c>
    </x:row>
    <x:row r="534">
      <x:c r="A534" s="5">
        <x:v>2020</x:v>
      </x:c>
      <x:c r="B534" s="15" t="s">
        <x:v>640</x:v>
      </x:c>
      <x:c r="C534" s="15" t="s">
        <x:v>724</x:v>
      </x:c>
      <x:c r="D534" s="15" t="s">
        <x:v>689</x:v>
      </x:c>
      <x:c r="E534" s="6">
        <x:v>36960</x:v>
      </x:c>
      <x:c r="F534" s="6">
        <x:v>582110</x:v>
      </x:c>
      <x:c r="G534" s="9">
        <x:v>6.3500000000000001E-2</x:v>
      </x:c>
    </x:row>
    <x:row r="535">
      <x:c r="A535" s="5">
        <x:v>2020</x:v>
      </x:c>
      <x:c r="B535" s="15" t="s">
        <x:v>689</x:v>
      </x:c>
      <x:c r="C535" s="15" t="s">
        <x:v>694</x:v>
      </x:c>
      <x:c r="D535" s="15" t="s">
        <x:v>646</x:v>
      </x:c>
      <x:c r="E535" s="6">
        <x:v>27850</x:v>
      </x:c>
      <x:c r="F535" s="6">
        <x:v>416590</x:v>
      </x:c>
      <x:c r="G535" s="9">
        <x:v>6.6839999999999997E-2</x:v>
      </x:c>
    </x:row>
    <x:row r="536">
      <x:c r="A536" s="5">
        <x:v>2020</x:v>
      </x:c>
      <x:c r="B536" s="15" t="s">
        <x:v>811</x:v>
      </x:c>
      <x:c r="C536" s="15" t="s">
        <x:v>812</x:v>
      </x:c>
      <x:c r="D536" s="15" t="s">
        <x:v>799</x:v>
      </x:c>
      <x:c r="E536" s="6">
        <x:v>41820</x:v>
      </x:c>
      <x:c r="F536" s="6">
        <x:v>901290</x:v>
      </x:c>
      <x:c r="G536" s="9">
        <x:v>4.6399999999999997E-2</x:v>
      </x:c>
    </x:row>
    <x:row r="537">
      <x:c r="A537" s="5">
        <x:v>2020</x:v>
      </x:c>
      <x:c r="B537" s="15" t="s">
        <x:v>719</x:v>
      </x:c>
      <x:c r="C537" s="15" t="s">
        <x:v>720</x:v>
      </x:c>
      <x:c r="D537" s="15" t="s">
        <x:v>705</x:v>
      </x:c>
      <x:c r="E537" s="6">
        <x:v>9120</x:v>
      </x:c>
      <x:c r="F537" s="6">
        <x:v>145000</x:v>
      </x:c>
      <x:c r="G537" s="9">
        <x:v>6.2899999999999998E-2</x:v>
      </x:c>
    </x:row>
    <x:row r="538">
      <x:c r="A538" s="5">
        <x:v>2020</x:v>
      </x:c>
      <x:c r="B538" s="15" t="s">
        <x:v>703</x:v>
      </x:c>
      <x:c r="C538" s="15" t="s">
        <x:v>704</x:v>
      </x:c>
      <x:c r="D538" s="15" t="s">
        <x:v>705</x:v>
      </x:c>
      <x:c r="E538" s="6">
        <x:v>10540</x:v>
      </x:c>
      <x:c r="F538" s="6">
        <x:v>159020</x:v>
      </x:c>
      <x:c r="G538" s="9">
        <x:v>6.6280000000000006E-2</x:v>
      </x:c>
    </x:row>
    <x:row r="539">
      <x:c r="A539" s="5">
        <x:v>2020</x:v>
      </x:c>
      <x:c r="B539" s="15" t="s">
        <x:v>725</x:v>
      </x:c>
      <x:c r="C539" s="15" t="s">
        <x:v>726</x:v>
      </x:c>
      <x:c r="D539" s="15" t="s">
        <x:v>671</x:v>
      </x:c>
      <x:c r="E539" s="6">
        <x:v>48410</x:v>
      </x:c>
      <x:c r="F539" s="6">
        <x:v>756000</x:v>
      </x:c>
      <x:c r="G539" s="9">
        <x:v>6.402999999999999E-2</x:v>
      </x:c>
    </x:row>
    <x:row r="540">
      <x:c r="A540" s="5">
        <x:v>2020</x:v>
      </x:c>
      <x:c r="B540" s="15" t="s">
        <x:v>813</x:v>
      </x:c>
      <x:c r="C540" s="15" t="s">
        <x:v>814</x:v>
      </x:c>
      <x:c r="D540" s="15" t="s">
        <x:v>671</x:v>
      </x:c>
      <x:c r="E540" s="6">
        <x:v>63440</x:v>
      </x:c>
      <x:c r="F540" s="6">
        <x:v>1377010</x:v>
      </x:c>
      <x:c r="G540" s="9">
        <x:v>4.607E-2</x:v>
      </x:c>
    </x:row>
    <x:row r="541">
      <x:c r="A541" s="5">
        <x:v>2020</x:v>
      </x:c>
      <x:c r="B541" s="15" t="s">
        <x:v>647</x:v>
      </x:c>
      <x:c r="C541" s="15" t="s">
        <x:v>721</x:v>
      </x:c>
      <x:c r="D541" s="15" t="s">
        <x:v>671</x:v>
      </x:c>
      <x:c r="E541" s="6">
        <x:v>11890</x:v>
      </x:c>
      <x:c r="F541" s="6">
        <x:v>185820</x:v>
      </x:c>
      <x:c r="G541" s="9">
        <x:v>6.4000000000000001E-2</x:v>
      </x:c>
    </x:row>
    <x:row r="542">
      <x:c r="A542" s="5">
        <x:v>2020</x:v>
      </x:c>
      <x:c r="B542" s="15" t="s">
        <x:v>795</x:v>
      </x:c>
      <x:c r="C542" s="15" t="s">
        <x:v>796</x:v>
      </x:c>
      <x:c r="D542" s="15" t="s">
        <x:v>644</x:v>
      </x:c>
      <x:c r="E542" s="6">
        <x:v>84780</x:v>
      </x:c>
      <x:c r="F542" s="6">
        <x:v>1633840</x:v>
      </x:c>
      <x:c r="G542" s="9">
        <x:v>5.1889999999999999E-2</x:v>
      </x:c>
    </x:row>
    <x:row r="543">
      <x:c r="A543" s="5">
        <x:v>2020</x:v>
      </x:c>
      <x:c r="B543" s="15" t="s">
        <x:v>781</x:v>
      </x:c>
      <x:c r="C543" s="15" t="s">
        <x:v>782</x:v>
      </x:c>
      <x:c r="D543" s="15" t="s">
        <x:v>671</x:v>
      </x:c>
      <x:c r="E543" s="6">
        <x:v>68620</x:v>
      </x:c>
      <x:c r="F543" s="6">
        <x:v>1182020</x:v>
      </x:c>
      <x:c r="G543" s="9">
        <x:v>5.8049999999999997E-2</x:v>
      </x:c>
    </x:row>
    <x:row r="544">
      <x:c r="A544" s="5">
        <x:v>2020</x:v>
      </x:c>
      <x:c r="B544" s="15" t="s">
        <x:v>819</x:v>
      </x:c>
      <x:c r="C544" s="15" t="s">
        <x:v>820</x:v>
      </x:c>
      <x:c r="D544" s="15" t="s">
        <x:v>799</x:v>
      </x:c>
      <x:c r="E544" s="6">
        <x:v>39430</x:v>
      </x:c>
      <x:c r="F544" s="6">
        <x:v>1055990</x:v>
      </x:c>
      <x:c r="G544" s="9">
        <x:v>3.7339999999999998E-2</x:v>
      </x:c>
    </x:row>
    <x:row r="545">
      <x:c r="A545" s="5">
        <x:v>2020</x:v>
      </x:c>
      <x:c r="B545" s="15" t="s">
        <x:v>645</x:v>
      </x:c>
      <x:c r="C545" s="15" t="s">
        <x:v>34</x:v>
      </x:c>
      <x:c r="D545" s="15" t="s">
        <x:v>646</x:v>
      </x:c>
      <x:c r="E545" s="6">
        <x:v>17130</x:v>
      </x:c>
      <x:c r="F545" s="6">
        <x:v>208450</x:v>
      </x:c>
      <x:c r="G545" s="9">
        <x:v>8.2180000000000003E-2</x:v>
      </x:c>
    </x:row>
    <x:row r="546">
      <x:c r="A546" s="5">
        <x:v>2020</x:v>
      </x:c>
      <x:c r="B546" s="15" t="s">
        <x:v>778</x:v>
      </x:c>
      <x:c r="C546" s="15" t="s">
        <x:v>779</x:v>
      </x:c>
      <x:c r="D546" s="15" t="s">
        <x:v>646</x:v>
      </x:c>
      <x:c r="E546" s="6">
        <x:v>34630</x:v>
      </x:c>
      <x:c r="F546" s="6">
        <x:v>600080</x:v>
      </x:c>
      <x:c r="G546" s="9">
        <x:v>5.7699999999999994E-2</x:v>
      </x:c>
    </x:row>
    <x:row r="547">
      <x:c r="A547" s="5">
        <x:v>2020</x:v>
      </x:c>
      <x:c r="B547" s="15" t="s">
        <x:v>787</x:v>
      </x:c>
      <x:c r="C547" s="15" t="s">
        <x:v>788</x:v>
      </x:c>
      <x:c r="D547" s="15" t="s">
        <x:v>649</x:v>
      </x:c>
      <x:c r="E547" s="6">
        <x:v>69990</x:v>
      </x:c>
      <x:c r="F547" s="6">
        <x:v>1271070</x:v>
      </x:c>
      <x:c r="G547" s="9">
        <x:v>5.5069999999999994E-2</x:v>
      </x:c>
    </x:row>
    <x:row r="548">
      <x:c r="A548" s="5">
        <x:v>2020</x:v>
      </x:c>
      <x:c r="B548" s="15" t="s">
        <x:v>729</x:v>
      </x:c>
      <x:c r="C548" s="15" t="s">
        <x:v>730</x:v>
      </x:c>
      <x:c r="D548" s="15" t="s">
        <x:v>640</x:v>
      </x:c>
      <x:c r="E548" s="6">
        <x:v>15680</x:v>
      </x:c>
      <x:c r="F548" s="6">
        <x:v>252610</x:v>
      </x:c>
      <x:c r="G548" s="9">
        <x:v>6.207E-2</x:v>
      </x:c>
    </x:row>
    <x:row r="549">
      <x:c r="A549" s="5">
        <x:v>2020</x:v>
      </x:c>
      <x:c r="B549" s="15" t="s">
        <x:v>738</x:v>
      </x:c>
      <x:c r="C549" s="15" t="s">
        <x:v>739</x:v>
      </x:c>
      <x:c r="D549" s="15" t="s">
        <x:v>644</x:v>
      </x:c>
      <x:c r="E549" s="6">
        <x:v>26780</x:v>
      </x:c>
      <x:c r="F549" s="6">
        <x:v>424490</x:v>
      </x:c>
      <x:c r="G549" s="9">
        <x:v>6.3079999999999997E-2</x:v>
      </x:c>
    </x:row>
    <x:row r="550">
      <x:c r="A550" s="5">
        <x:v>2020</x:v>
      </x:c>
      <x:c r="B550" s="15" t="s">
        <x:v>666</x:v>
      </x:c>
      <x:c r="C550" s="15" t="s">
        <x:v>667</x:v>
      </x:c>
      <x:c r="D550" s="15" t="s">
        <x:v>646</x:v>
      </x:c>
      <x:c r="E550" s="6">
        <x:v>23650</x:v>
      </x:c>
      <x:c r="F550" s="6">
        <x:v>320880</x:v>
      </x:c>
      <x:c r="G550" s="9">
        <x:v>7.3709999999999998E-2</x:v>
      </x:c>
    </x:row>
    <x:row r="551">
      <x:c r="A551" s="5">
        <x:v>2020</x:v>
      </x:c>
      <x:c r="B551" s="15" t="s">
        <x:v>722</x:v>
      </x:c>
      <x:c r="C551" s="15" t="s">
        <x:v>723</x:v>
      </x:c>
      <x:c r="D551" s="15" t="s">
        <x:v>649</x:v>
      </x:c>
      <x:c r="E551" s="6">
        <x:v>48900</x:v>
      </x:c>
      <x:c r="F551" s="6">
        <x:v>754260</x:v>
      </x:c>
      <x:c r="G551" s="9">
        <x:v>6.4829999999999999E-2</x:v>
      </x:c>
    </x:row>
    <x:row r="552">
      <x:c r="A552" s="5">
        <x:v>2020</x:v>
      </x:c>
      <x:c r="B552" s="15" t="s">
        <x:v>736</x:v>
      </x:c>
      <x:c r="C552" s="15" t="s">
        <x:v>737</x:v>
      </x:c>
      <x:c r="D552" s="15" t="s">
        <x:v>649</x:v>
      </x:c>
      <x:c r="E552" s="6">
        <x:v>13870</x:v>
      </x:c>
      <x:c r="F552" s="6">
        <x:v>222120</x:v>
      </x:c>
      <x:c r="G552" s="9">
        <x:v>6.2460000000000002E-2</x:v>
      </x:c>
    </x:row>
    <x:row r="553">
      <x:c r="A553" s="5">
        <x:v>2020</x:v>
      </x:c>
      <x:c r="B553" s="15" t="s">
        <x:v>651</x:v>
      </x:c>
      <x:c r="C553" s="15" t="s">
        <x:v>816</x:v>
      </x:c>
      <x:c r="D553" s="15" t="s">
        <x:v>652</x:v>
      </x:c>
      <x:c r="E553" s="6">
        <x:v>61930</x:v>
      </x:c>
      <x:c r="F553" s="6">
        <x:v>1432330</x:v>
      </x:c>
      <x:c r="G553" s="9">
        <x:v>4.3230000000000005E-2</x:v>
      </x:c>
    </x:row>
    <x:row r="554">
      <x:c r="A554" s="5">
        <x:v>2020</x:v>
      </x:c>
      <x:c r="B554" s="15" t="s">
        <x:v>697</x:v>
      </x:c>
      <x:c r="C554" s="15" t="s">
        <x:v>698</x:v>
      </x:c>
      <x:c r="D554" s="15" t="s">
        <x:v>646</x:v>
      </x:c>
      <x:c r="E554" s="6">
        <x:v>44160</x:v>
      </x:c>
      <x:c r="F554" s="6">
        <x:v>660350</x:v>
      </x:c>
      <x:c r="G554" s="9">
        <x:v>6.6869999999999999E-2</x:v>
      </x:c>
    </x:row>
    <x:row r="555">
      <x:c r="A555" s="5">
        <x:v>2020</x:v>
      </x:c>
      <x:c r="B555" s="15" t="s">
        <x:v>706</x:v>
      </x:c>
      <x:c r="C555" s="15" t="s">
        <x:v>707</x:v>
      </x:c>
      <x:c r="D555" s="15" t="s">
        <x:v>671</x:v>
      </x:c>
      <x:c r="E555" s="6">
        <x:v>11300</x:v>
      </x:c>
      <x:c r="F555" s="6">
        <x:v>167220</x:v>
      </x:c>
      <x:c r="G555" s="9">
        <x:v>6.7580000000000001E-2</x:v>
      </x:c>
    </x:row>
    <x:row r="556">
      <x:c r="A556" s="5">
        <x:v>2020</x:v>
      </x:c>
      <x:c r="B556" s="15" t="s">
        <x:v>710</x:v>
      </x:c>
      <x:c r="C556" s="15" t="s">
        <x:v>711</x:v>
      </x:c>
      <x:c r="D556" s="15" t="s">
        <x:v>644</x:v>
      </x:c>
      <x:c r="E556" s="6">
        <x:v>21510</x:v>
      </x:c>
      <x:c r="F556" s="6">
        <x:v>324650</x:v>
      </x:c>
      <x:c r="G556" s="9">
        <x:v>6.6259999999999999E-2</x:v>
      </x:c>
    </x:row>
    <x:row r="557">
      <x:c r="A557" s="5">
        <x:v>2020</x:v>
      </x:c>
      <x:c r="B557" s="15" t="s">
        <x:v>776</x:v>
      </x:c>
      <x:c r="C557" s="15" t="s">
        <x:v>777</x:v>
      </x:c>
      <x:c r="D557" s="15" t="s">
        <x:v>671</x:v>
      </x:c>
      <x:c r="E557" s="6">
        <x:v>4180</x:v>
      </x:c>
      <x:c r="F557" s="6">
        <x:v>71070</x:v>
      </x:c>
      <x:c r="G557" s="9">
        <x:v>5.8869999999999999E-2</x:v>
      </x:c>
    </x:row>
    <x:row r="558">
      <x:c r="A558" s="5">
        <x:v>2020</x:v>
      </x:c>
      <x:c r="B558" s="15" t="s">
        <x:v>793</x:v>
      </x:c>
      <x:c r="C558" s="15" t="s">
        <x:v>794</x:v>
      </x:c>
      <x:c r="D558" s="15" t="s">
        <x:v>652</x:v>
      </x:c>
      <x:c r="E558" s="6">
        <x:v>41290</x:v>
      </x:c>
      <x:c r="F558" s="6">
        <x:v>803590</x:v>
      </x:c>
      <x:c r="G558" s="9">
        <x:v>5.1380000000000002E-2</x:v>
      </x:c>
    </x:row>
    <x:row r="559">
      <x:c r="A559" s="5">
        <x:v>2020</x:v>
      </x:c>
      <x:c r="B559" s="15" t="s">
        <x:v>770</x:v>
      </x:c>
      <x:c r="C559" s="15" t="s">
        <x:v>771</x:v>
      </x:c>
      <x:c r="D559" s="15" t="s">
        <x:v>689</x:v>
      </x:c>
      <x:c r="E559" s="6">
        <x:v>27930</x:v>
      </x:c>
      <x:c r="F559" s="6">
        <x:v>482440</x:v>
      </x:c>
      <x:c r="G559" s="9">
        <x:v>5.79E-2</x:v>
      </x:c>
    </x:row>
    <x:row r="560">
      <x:c r="A560" s="5">
        <x:v>2020</x:v>
      </x:c>
      <x:c r="B560" s="15" t="s">
        <x:v>679</x:v>
      </x:c>
      <x:c r="C560" s="15" t="s">
        <x:v>680</x:v>
      </x:c>
      <x:c r="D560" s="15" t="s">
        <x:v>651</x:v>
      </x:c>
      <x:c r="E560" s="6">
        <x:v>37680</x:v>
      </x:c>
      <x:c r="F560" s="6">
        <x:v>545280</x:v>
      </x:c>
      <x:c r="G560" s="9">
        <x:v>6.9099999999999995E-2</x:v>
      </x:c>
    </x:row>
    <x:row r="561">
      <x:c r="A561" s="5">
        <x:v>2020</x:v>
      </x:c>
      <x:c r="B561" s="15" t="s">
        <x:v>652</x:v>
      </x:c>
      <x:c r="C561" s="15" t="s">
        <x:v>182</x:v>
      </x:c>
      <x:c r="D561" s="15" t="s">
        <x:v>651</x:v>
      </x:c>
      <x:c r="E561" s="6">
        <x:v>12920</x:v>
      </x:c>
      <x:c r="F561" s="6">
        <x:v>165020</x:v>
      </x:c>
      <x:c r="G561" s="9">
        <x:v>7.8320000000000001E-2</x:v>
      </x:c>
    </x:row>
    <x:row r="562">
      <x:c r="A562" s="5">
        <x:v>2020</x:v>
      </x:c>
      <x:c r="B562" s="15" t="s">
        <x:v>799</x:v>
      </x:c>
      <x:c r="C562" s="15" t="s">
        <x:v>804</x:v>
      </x:c>
      <x:c r="D562" s="15" t="s">
        <x:v>652</x:v>
      </x:c>
      <x:c r="E562" s="6">
        <x:v>14060</x:v>
      </x:c>
      <x:c r="F562" s="6">
        <x:v>294840</x:v>
      </x:c>
      <x:c r="G562" s="9">
        <x:v>4.7690000000000003E-2</x:v>
      </x:c>
    </x:row>
    <x:row r="563">
      <x:c r="A563" s="5">
        <x:v>2020</x:v>
      </x:c>
      <x:c r="B563" s="15" t="s">
        <x:v>685</x:v>
      </x:c>
      <x:c r="C563" s="15" t="s">
        <x:v>686</x:v>
      </x:c>
      <x:c r="D563" s="15" t="s">
        <x:v>651</x:v>
      </x:c>
      <x:c r="E563" s="6">
        <x:v>46170</x:v>
      </x:c>
      <x:c r="F563" s="6">
        <x:v>661440</x:v>
      </x:c>
      <x:c r="G563" s="9">
        <x:v>6.9800000000000001E-2</x:v>
      </x:c>
    </x:row>
    <x:row r="564">
      <x:c r="A564" s="5">
        <x:v>2020</x:v>
      </x:c>
      <x:c r="B564" s="15" t="s">
        <x:v>656</x:v>
      </x:c>
      <x:c r="C564" s="15" t="s">
        <x:v>657</x:v>
      </x:c>
      <x:c r="D564" s="15" t="s">
        <x:v>651</x:v>
      </x:c>
      <x:c r="E564" s="6">
        <x:v>12750</x:v>
      </x:c>
      <x:c r="F564" s="6">
        <x:v>171910</x:v>
      </x:c>
      <x:c r="G564" s="9">
        <x:v>7.4179999999999996E-2</x:v>
      </x:c>
    </x:row>
    <x:row r="565">
      <x:c r="A565" s="5">
        <x:v>2020</x:v>
      </x:c>
      <x:c r="B565" s="15" t="s">
        <x:v>802</x:v>
      </x:c>
      <x:c r="C565" s="15" t="s">
        <x:v>803</x:v>
      </x:c>
      <x:c r="D565" s="15" t="s">
        <x:v>799</x:v>
      </x:c>
      <x:c r="E565" s="6">
        <x:v>37430</x:v>
      </x:c>
      <x:c r="F565" s="6">
        <x:v>758220</x:v>
      </x:c>
      <x:c r="G565" s="9">
        <x:v>4.9370000000000004E-2</x:v>
      </x:c>
    </x:row>
    <x:row r="566">
      <x:c r="A566" s="5">
        <x:v>2020</x:v>
      </x:c>
      <x:c r="B566" s="15" t="s">
        <x:v>650</x:v>
      </x:c>
      <x:c r="C566" s="15" t="s">
        <x:v>38</x:v>
      </x:c>
      <x:c r="D566" s="15" t="s">
        <x:v>651</x:v>
      </x:c>
      <x:c r="E566" s="6">
        <x:v>71060</x:v>
      </x:c>
      <x:c r="F566" s="6">
        <x:v>900120</x:v>
      </x:c>
      <x:c r="G566" s="9">
        <x:v>7.8949999999999992E-2</x:v>
      </x:c>
    </x:row>
    <x:row r="567">
      <x:c r="A567" s="5">
        <x:v>2020</x:v>
      </x:c>
      <x:c r="B567" s="15" t="s">
        <x:v>639</x:v>
      </x:c>
      <x:c r="C567" s="15" t="s">
        <x:v>19</x:v>
      </x:c>
      <x:c r="D567" s="15" t="s">
        <x:v>640</x:v>
      </x:c>
      <x:c r="E567" s="6">
        <x:v>17900</x:v>
      </x:c>
      <x:c r="F567" s="6">
        <x:v>194040</x:v>
      </x:c>
      <x:c r="G567" s="9">
        <x:v>9.2240000000000003E-2</x:v>
      </x:c>
    </x:row>
    <x:row r="568">
      <x:c r="A568" s="5">
        <x:v>2020</x:v>
      </x:c>
      <x:c r="B568" s="15" t="s">
        <x:v>690</x:v>
      </x:c>
      <x:c r="C568" s="15" t="s">
        <x:v>691</x:v>
      </x:c>
      <x:c r="D568" s="15" t="s">
        <x:v>647</x:v>
      </x:c>
      <x:c r="E568" s="6">
        <x:v>171500</x:v>
      </x:c>
      <x:c r="F568" s="6">
        <x:v>2521950</x:v>
      </x:c>
      <x:c r="G568" s="9">
        <x:v>6.8000000000000005E-2</x:v>
      </x:c>
    </x:row>
    <x:row r="569">
      <x:c r="A569" s="5">
        <x:v>2020</x:v>
      </x:c>
      <x:c r="B569" s="15" t="s">
        <x:v>708</x:v>
      </x:c>
      <x:c r="C569" s="15" t="s">
        <x:v>709</x:v>
      </x:c>
      <x:c r="D569" s="15" t="s">
        <x:v>647</x:v>
      </x:c>
      <x:c r="E569" s="6">
        <x:v>51850</x:v>
      </x:c>
      <x:c r="F569" s="6">
        <x:v>803440</x:v>
      </x:c>
      <x:c r="G569" s="9">
        <x:v>6.4530000000000004E-2</x:v>
      </x:c>
    </x:row>
    <x:row r="570">
      <x:c r="A570" s="5">
        <x:v>2020</x:v>
      </x:c>
      <x:c r="B570" s="15" t="s">
        <x:v>687</x:v>
      </x:c>
      <x:c r="C570" s="15" t="s">
        <x:v>688</x:v>
      </x:c>
      <x:c r="D570" s="15" t="s">
        <x:v>689</x:v>
      </x:c>
      <x:c r="E570" s="6">
        <x:v>18300</x:v>
      </x:c>
      <x:c r="F570" s="6">
        <x:v>264930</x:v>
      </x:c>
      <x:c r="G570" s="9">
        <x:v>6.9059999999999996E-2</x:v>
      </x:c>
    </x:row>
    <x:row r="571">
      <x:c r="A571" s="5">
        <x:v>2020</x:v>
      </x:c>
      <x:c r="B571" s="15" t="s">
        <x:v>658</x:v>
      </x:c>
      <x:c r="C571" s="15" t="s">
        <x:v>659</x:v>
      </x:c>
      <x:c r="D571" s="15" t="s">
        <x:v>647</x:v>
      </x:c>
      <x:c r="E571" s="6">
        <x:v>106550</x:v>
      </x:c>
      <x:c r="F571" s="6">
        <x:v>1435610</x:v>
      </x:c>
      <x:c r="G571" s="9">
        <x:v>7.4219999999999994E-2</x:v>
      </x:c>
    </x:row>
    <x:row r="572">
      <x:c r="A572" s="5">
        <x:v>2020</x:v>
      </x:c>
      <x:c r="B572" s="15" t="s">
        <x:v>760</x:v>
      </x:c>
      <x:c r="C572" s="15" t="s">
        <x:v>761</x:v>
      </x:c>
      <x:c r="D572" s="15" t="s">
        <x:v>649</x:v>
      </x:c>
      <x:c r="E572" s="6">
        <x:v>38890</x:v>
      </x:c>
      <x:c r="F572" s="6">
        <x:v>640120</x:v>
      </x:c>
      <x:c r="G572" s="9">
        <x:v>6.0759999999999995E-2</x:v>
      </x:c>
    </x:row>
    <x:row r="573">
      <x:c r="A573" s="5">
        <x:v>2020</x:v>
      </x:c>
      <x:c r="B573" s="15" t="s">
        <x:v>789</x:v>
      </x:c>
      <x:c r="C573" s="15" t="s">
        <x:v>790</x:v>
      </x:c>
      <x:c r="D573" s="15" t="s">
        <x:v>644</x:v>
      </x:c>
      <x:c r="E573" s="6">
        <x:v>37060</x:v>
      </x:c>
      <x:c r="F573" s="6">
        <x:v>677670</x:v>
      </x:c>
      <x:c r="G573" s="9">
        <x:v>5.4690000000000003E-2</x:v>
      </x:c>
    </x:row>
    <x:row r="574">
      <x:c r="A574" s="5">
        <x:v>2020</x:v>
      </x:c>
      <x:c r="B574" s="15" t="s">
        <x:v>734</x:v>
      </x:c>
      <x:c r="C574" s="15" t="s">
        <x:v>735</x:v>
      </x:c>
      <x:c r="D574" s="15" t="s">
        <x:v>671</x:v>
      </x:c>
      <x:c r="E574" s="6">
        <x:v>14410</x:v>
      </x:c>
      <x:c r="F574" s="6">
        <x:v>226730</x:v>
      </x:c>
      <x:c r="G574" s="9">
        <x:v>6.3570000000000002E-2</x:v>
      </x:c>
    </x:row>
    <x:row r="575">
      <x:c r="A575" s="5">
        <x:v>2020</x:v>
      </x:c>
      <x:c r="B575" s="15" t="s">
        <x:v>695</x:v>
      </x:c>
      <x:c r="C575" s="15" t="s">
        <x:v>696</x:v>
      </x:c>
      <x:c r="D575" s="15" t="s">
        <x:v>671</x:v>
      </x:c>
      <x:c r="E575" s="6">
        <x:v>32670</x:v>
      </x:c>
      <x:c r="F575" s="6">
        <x:v>486340</x:v>
      </x:c>
      <x:c r="G575" s="9">
        <x:v>6.7180000000000004E-2</x:v>
      </x:c>
    </x:row>
    <x:row r="576">
      <x:c r="A576" s="5">
        <x:v>2020</x:v>
      </x:c>
      <x:c r="B576" s="15" t="s">
        <x:v>699</x:v>
      </x:c>
      <x:c r="C576" s="15" t="s">
        <x:v>700</x:v>
      </x:c>
      <x:c r="D576" s="15" t="s">
        <x:v>651</x:v>
      </x:c>
      <x:c r="E576" s="6">
        <x:v>75210</x:v>
      </x:c>
      <x:c r="F576" s="6">
        <x:v>1110770</x:v>
      </x:c>
      <x:c r="G576" s="9">
        <x:v>6.7709999999999992E-2</x:v>
      </x:c>
    </x:row>
    <x:row r="577">
      <x:c r="A577" s="5">
        <x:v>2020</x:v>
      </x:c>
      <x:c r="B577" s="15" t="s">
        <x:v>677</x:v>
      </x:c>
      <x:c r="C577" s="15" t="s">
        <x:v>678</x:v>
      </x:c>
      <x:c r="D577" s="15" t="s">
        <x:v>651</x:v>
      </x:c>
      <x:c r="E577" s="6">
        <x:v>51210</x:v>
      </x:c>
      <x:c r="F577" s="6">
        <x:v>728850</x:v>
      </x:c>
      <x:c r="G577" s="9">
        <x:v>7.0260000000000003E-2</x:v>
      </x:c>
    </x:row>
    <x:row r="578">
      <x:c r="A578" s="5">
        <x:v>2020</x:v>
      </x:c>
      <x:c r="B578" s="15" t="s">
        <x:v>791</x:v>
      </x:c>
      <x:c r="C578" s="15" t="s">
        <x:v>792</x:v>
      </x:c>
      <x:c r="D578" s="15" t="s">
        <x:v>649</x:v>
      </x:c>
      <x:c r="E578" s="6">
        <x:v>97740</x:v>
      </x:c>
      <x:c r="F578" s="6">
        <x:v>1871240</x:v>
      </x:c>
      <x:c r="G578" s="9">
        <x:v>5.2229999999999999E-2</x:v>
      </x:c>
    </x:row>
    <x:row r="579">
      <x:c r="A579" s="5">
        <x:v>2020</x:v>
      </x:c>
      <x:c r="B579" s="15" t="s">
        <x:v>664</x:v>
      </x:c>
      <x:c r="C579" s="15" t="s">
        <x:v>665</x:v>
      </x:c>
      <x:c r="D579" s="15" t="s">
        <x:v>640</x:v>
      </x:c>
      <x:c r="E579" s="6">
        <x:v>16180</x:v>
      </x:c>
      <x:c r="F579" s="6">
        <x:v>227600</x:v>
      </x:c>
      <x:c r="G579" s="9">
        <x:v>7.109E-2</x:v>
      </x:c>
    </x:row>
    <x:row r="580">
      <x:c r="A580" s="5">
        <x:v>2020</x:v>
      </x:c>
      <x:c r="B580" s="15" t="s">
        <x:v>660</x:v>
      </x:c>
      <x:c r="C580" s="15" t="s">
        <x:v>661</x:v>
      </x:c>
      <x:c r="D580" s="15" t="s">
        <x:v>640</x:v>
      </x:c>
      <x:c r="E580" s="6">
        <x:v>40350</x:v>
      </x:c>
      <x:c r="F580" s="6">
        <x:v>534630</x:v>
      </x:c>
      <x:c r="G580" s="9">
        <x:v>7.5469999999999995E-2</x:v>
      </x:c>
    </x:row>
    <x:row r="581">
      <x:c r="A581" s="5">
        <x:v>2020</x:v>
      </x:c>
      <x:c r="B581" s="15" t="s">
        <x:v>732</x:v>
      </x:c>
      <x:c r="C581" s="15" t="s">
        <x:v>733</x:v>
      </x:c>
      <x:c r="D581" s="15" t="s">
        <x:v>652</x:v>
      </x:c>
      <x:c r="E581" s="6">
        <x:v>33620</x:v>
      </x:c>
      <x:c r="F581" s="6">
        <x:v>550000</x:v>
      </x:c>
      <x:c r="G581" s="9">
        <x:v>6.1130000000000004E-2</x:v>
      </x:c>
    </x:row>
    <x:row r="582">
      <x:c r="A582" s="5">
        <x:v>2020</x:v>
      </x:c>
      <x:c r="B582" s="15" t="s">
        <x:v>807</x:v>
      </x:c>
      <x:c r="C582" s="15" t="s">
        <x:v>808</x:v>
      </x:c>
      <x:c r="D582" s="15" t="s">
        <x:v>649</x:v>
      </x:c>
      <x:c r="E582" s="6">
        <x:v>21440</x:v>
      </x:c>
      <x:c r="F582" s="6">
        <x:v>433010</x:v>
      </x:c>
      <x:c r="G582" s="9">
        <x:v>4.9509999999999998E-2</x:v>
      </x:c>
    </x:row>
    <x:row r="583">
      <x:c r="A583" s="5">
        <x:v>2020</x:v>
      </x:c>
      <x:c r="B583" s="15" t="s">
        <x:v>817</x:v>
      </x:c>
      <x:c r="C583" s="15" t="s">
        <x:v>818</x:v>
      </x:c>
      <x:c r="D583" s="15" t="s">
        <x:v>649</x:v>
      </x:c>
      <x:c r="E583" s="6">
        <x:v>34970</x:v>
      </x:c>
      <x:c r="F583" s="6">
        <x:v>791900</x:v>
      </x:c>
      <x:c r="G583" s="9">
        <x:v>4.4150000000000002E-2</x:v>
      </x:c>
    </x:row>
    <x:row r="584">
      <x:c r="A584" s="5">
        <x:v>2020</x:v>
      </x:c>
      <x:c r="B584" s="15" t="s">
        <x:v>644</x:v>
      </x:c>
      <x:c r="C584" s="15" t="s">
        <x:v>815</x:v>
      </x:c>
      <x:c r="D584" s="15" t="s">
        <x:v>670</x:v>
      </x:c>
      <x:c r="E584" s="6">
        <x:v>95290</x:v>
      </x:c>
      <x:c r="F584" s="6">
        <x:v>2118710</x:v>
      </x:c>
      <x:c r="G584" s="9">
        <x:v>4.4979999999999999E-2</x:v>
      </x:c>
    </x:row>
    <x:row r="585">
      <x:c r="A585" s="5">
        <x:v>2020</x:v>
      </x:c>
      <x:c r="B585" s="15" t="s">
        <x:v>671</x:v>
      </x:c>
      <x:c r="C585" s="15" t="s">
        <x:v>714</x:v>
      </x:c>
      <x:c r="D585" s="15" t="s">
        <x:v>689</x:v>
      </x:c>
      <x:c r="E585" s="6">
        <x:v>79140</x:v>
      </x:c>
      <x:c r="F585" s="6">
        <x:v>1220560</x:v>
      </x:c>
      <x:c r="G585" s="9">
        <x:v>6.4839999999999995E-2</x:v>
      </x:c>
    </x:row>
    <x:row r="586">
      <x:c r="A586" s="5">
        <x:v>2020</x:v>
      </x:c>
      <x:c r="B586" s="15" t="s">
        <x:v>762</x:v>
      </x:c>
      <x:c r="C586" s="15" t="s">
        <x:v>763</x:v>
      </x:c>
      <x:c r="D586" s="15" t="s">
        <x:v>670</x:v>
      </x:c>
      <x:c r="E586" s="6">
        <x:v>80880</x:v>
      </x:c>
      <x:c r="F586" s="6">
        <x:v>1390890</x:v>
      </x:c>
      <x:c r="G586" s="9">
        <x:v>5.8150000000000007E-2</x:v>
      </x:c>
    </x:row>
    <x:row r="587">
      <x:c r="A587" s="5">
        <x:v>2020</x:v>
      </x:c>
      <x:c r="B587" s="15" t="s">
        <x:v>805</x:v>
      </x:c>
      <x:c r="C587" s="15" t="s">
        <x:v>806</x:v>
      </x:c>
      <x:c r="D587" s="15" t="s">
        <x:v>670</x:v>
      </x:c>
      <x:c r="E587" s="6">
        <x:v>70460</x:v>
      </x:c>
      <x:c r="F587" s="6">
        <x:v>1449340</x:v>
      </x:c>
      <x:c r="G587" s="9">
        <x:v>4.861E-2</x:v>
      </x:c>
    </x:row>
    <x:row r="588">
      <x:c r="A588" s="5">
        <x:v>2020</x:v>
      </x:c>
      <x:c r="B588" s="15" t="s">
        <x:v>715</x:v>
      </x:c>
      <x:c r="C588" s="15" t="s">
        <x:v>716</x:v>
      </x:c>
      <x:c r="D588" s="15" t="s">
        <x:v>644</x:v>
      </x:c>
      <x:c r="E588" s="6">
        <x:v>22840</x:v>
      </x:c>
      <x:c r="F588" s="6">
        <x:v>364510</x:v>
      </x:c>
      <x:c r="G588" s="9">
        <x:v>6.2659999999999993E-2</x:v>
      </x:c>
    </x:row>
    <x:row r="589">
      <x:c r="A589" s="5">
        <x:v>2020</x:v>
      </x:c>
      <x:c r="B589" s="15" t="s">
        <x:v>662</x:v>
      </x:c>
      <x:c r="C589" s="15" t="s">
        <x:v>663</x:v>
      </x:c>
      <x:c r="D589" s="15" t="s">
        <x:v>647</x:v>
      </x:c>
      <x:c r="E589" s="6">
        <x:v>40030</x:v>
      </x:c>
      <x:c r="F589" s="6">
        <x:v>546270</x:v>
      </x:c>
      <x:c r="G589" s="9">
        <x:v>7.3270000000000002E-2</x:v>
      </x:c>
    </x:row>
    <x:row r="590">
      <x:c r="A590" s="5">
        <x:v>2020</x:v>
      </x:c>
      <x:c r="B590" s="15" t="s">
        <x:v>752</x:v>
      </x:c>
      <x:c r="C590" s="15" t="s">
        <x:v>753</x:v>
      </x:c>
      <x:c r="D590" s="15" t="s">
        <x:v>671</x:v>
      </x:c>
      <x:c r="E590" s="6">
        <x:v>23500</x:v>
      </x:c>
      <x:c r="F590" s="6">
        <x:v>386570</x:v>
      </x:c>
      <x:c r="G590" s="9">
        <x:v>6.0780000000000001E-2</x:v>
      </x:c>
    </x:row>
    <x:row r="591">
      <x:c r="A591" s="5">
        <x:v>2020</x:v>
      </x:c>
      <x:c r="B591" s="15" t="s">
        <x:v>756</x:v>
      </x:c>
      <x:c r="C591" s="15" t="s">
        <x:v>757</x:v>
      </x:c>
      <x:c r="D591" s="15" t="s">
        <x:v>671</x:v>
      </x:c>
      <x:c r="E591" s="6">
        <x:v>15500</x:v>
      </x:c>
      <x:c r="F591" s="6">
        <x:v>260020</x:v>
      </x:c>
      <x:c r="G591" s="9">
        <x:v>5.9619999999999999E-2</x:v>
      </x:c>
    </x:row>
    <x:row r="592">
      <x:c r="A592" s="5">
        <x:v>2020</x:v>
      </x:c>
      <x:c r="B592" s="15" t="s">
        <x:v>758</x:v>
      </x:c>
      <x:c r="C592" s="15" t="s">
        <x:v>759</x:v>
      </x:c>
      <x:c r="D592" s="15" t="s">
        <x:v>672</x:v>
      </x:c>
      <x:c r="E592" s="6">
        <x:v>68740</x:v>
      </x:c>
      <x:c r="F592" s="6">
        <x:v>1115550</x:v>
      </x:c>
      <x:c r="G592" s="9">
        <x:v>6.1620000000000001E-2</x:v>
      </x:c>
    </x:row>
    <x:row r="593">
      <x:c r="A593" s="5">
        <x:v>2020</x:v>
      </x:c>
      <x:c r="B593" s="15" t="s">
        <x:v>649</x:v>
      </x:c>
      <x:c r="C593" s="15" t="s">
        <x:v>731</x:v>
      </x:c>
      <x:c r="D593" s="15" t="s">
        <x:v>672</x:v>
      </x:c>
      <x:c r="E593" s="6">
        <x:v>36690</x:v>
      </x:c>
      <x:c r="F593" s="6">
        <x:v>576940</x:v>
      </x:c>
      <x:c r="G593" s="9">
        <x:v>6.3600000000000004E-2</x:v>
      </x:c>
    </x:row>
    <x:row r="594">
      <x:c r="A594" s="5">
        <x:v>2020</x:v>
      </x:c>
      <x:c r="B594" s="15" t="s">
        <x:v>754</x:v>
      </x:c>
      <x:c r="C594" s="15" t="s">
        <x:v>755</x:v>
      </x:c>
      <x:c r="D594" s="15" t="s">
        <x:v>652</x:v>
      </x:c>
      <x:c r="E594" s="6">
        <x:v>41080</x:v>
      </x:c>
      <x:c r="F594" s="6">
        <x:v>688450</x:v>
      </x:c>
      <x:c r="G594" s="9">
        <x:v>5.9669999999999994E-2</x:v>
      </x:c>
    </x:row>
    <x:row r="595">
      <x:c r="A595" s="5">
        <x:v>2020</x:v>
      </x:c>
      <x:c r="B595" s="15" t="s">
        <x:v>750</x:v>
      </x:c>
      <x:c r="C595" s="15" t="s">
        <x:v>751</x:v>
      </x:c>
      <x:c r="D595" s="15" t="s">
        <x:v>644</x:v>
      </x:c>
      <x:c r="E595" s="6">
        <x:v>24550</x:v>
      </x:c>
      <x:c r="F595" s="6">
        <x:v>416060</x:v>
      </x:c>
      <x:c r="G595" s="9">
        <x:v>5.9000000000000004E-2</x:v>
      </x:c>
    </x:row>
    <x:row r="596">
      <x:c r="A596" s="5">
        <x:v>2020</x:v>
      </x:c>
      <x:c r="B596" s="15" t="s">
        <x:v>683</x:v>
      </x:c>
      <x:c r="C596" s="15" t="s">
        <x:v>684</x:v>
      </x:c>
      <x:c r="D596" s="15" t="s">
        <x:v>644</x:v>
      </x:c>
      <x:c r="E596" s="6">
        <x:v>24750</x:v>
      </x:c>
      <x:c r="F596" s="6">
        <x:v>352450</x:v>
      </x:c>
      <x:c r="G596" s="9">
        <x:v>7.0230000000000001E-2</x:v>
      </x:c>
    </x:row>
    <x:row r="597">
      <x:c r="A597" s="5">
        <x:v>2020</x:v>
      </x:c>
      <x:c r="B597" s="15" t="s">
        <x:v>675</x:v>
      </x:c>
      <x:c r="C597" s="15" t="s">
        <x:v>676</x:v>
      </x:c>
      <x:c r="D597" s="15" t="s">
        <x:v>651</x:v>
      </x:c>
      <x:c r="E597" s="6">
        <x:v>25300</x:v>
      </x:c>
      <x:c r="F597" s="6">
        <x:v>356010</x:v>
      </x:c>
      <x:c r="G597" s="9">
        <x:v>7.107999999999999E-2</x:v>
      </x:c>
    </x:row>
    <x:row r="598">
      <x:c r="A598" s="5">
        <x:v>2020</x:v>
      </x:c>
      <x:c r="B598" s="15" t="s">
        <x:v>655</x:v>
      </x:c>
      <x:c r="C598" s="15" t="s">
        <x:v>42</x:v>
      </x:c>
      <x:c r="D598" s="15" t="s">
        <x:v>640</x:v>
      </x:c>
      <x:c r="E598" s="6">
        <x:v>24850</x:v>
      </x:c>
      <x:c r="F598" s="6">
        <x:v>322780</x:v>
      </x:c>
      <x:c r="G598" s="9">
        <x:v>7.6980000000000007E-2</x:v>
      </x:c>
    </x:row>
    <x:row r="599">
      <x:c r="A599" s="5">
        <x:v>2020</x:v>
      </x:c>
      <x:c r="B599" s="15" t="s">
        <x:v>712</x:v>
      </x:c>
      <x:c r="C599" s="15" t="s">
        <x:v>713</x:v>
      </x:c>
      <x:c r="D599" s="15" t="s">
        <x:v>640</x:v>
      </x:c>
      <x:c r="E599" s="6">
        <x:v>8620</x:v>
      </x:c>
      <x:c r="F599" s="6">
        <x:v>135440</x:v>
      </x:c>
      <x:c r="G599" s="9">
        <x:v>6.3619999999999996E-2</x:v>
      </x:c>
    </x:row>
    <x:row r="600">
      <x:c r="A600" s="5">
        <x:v>2020</x:v>
      </x:c>
      <x:c r="B600" s="15" t="s">
        <x:v>784</x:v>
      </x:c>
      <x:c r="C600" s="15" t="s">
        <x:v>785</x:v>
      </x:c>
      <x:c r="D600" s="15" t="s">
        <x:v>670</x:v>
      </x:c>
      <x:c r="E600" s="6">
        <x:v>70590</x:v>
      </x:c>
      <x:c r="F600" s="6">
        <x:v>1289600</x:v>
      </x:c>
      <x:c r="G600" s="9">
        <x:v>5.4740000000000004E-2</x:v>
      </x:c>
    </x:row>
    <x:row r="601">
      <x:c r="A601" s="5">
        <x:v>2020</x:v>
      </x:c>
      <x:c r="B601" s="15" t="s">
        <x:v>809</x:v>
      </x:c>
      <x:c r="C601" s="15" t="s">
        <x:v>810</x:v>
      </x:c>
      <x:c r="D601" s="15" t="s">
        <x:v>670</x:v>
      </x:c>
      <x:c r="E601" s="6">
        <x:v>73870</x:v>
      </x:c>
      <x:c r="F601" s="6">
        <x:v>1595250</x:v>
      </x:c>
      <x:c r="G601" s="9">
        <x:v>4.6310000000000004E-2</x:v>
      </x:c>
    </x:row>
    <x:row r="602">
      <x:c r="A602" s="5">
        <x:v>2020</x:v>
      </x:c>
      <x:c r="B602" s="15" t="s">
        <x:v>672</x:v>
      </x:c>
      <x:c r="C602" s="15" t="s">
        <x:v>673</x:v>
      </x:c>
      <x:c r="D602" s="15" t="s">
        <x:v>670</x:v>
      </x:c>
      <x:c r="E602" s="6">
        <x:v>112180</x:v>
      </x:c>
      <x:c r="F602" s="6">
        <x:v>1587570</x:v>
      </x:c>
      <x:c r="G602" s="9">
        <x:v>7.0660000000000001E-2</x:v>
      </x:c>
    </x:row>
    <x:row r="603">
      <x:c r="A603" s="5">
        <x:v>2020</x:v>
      </x:c>
      <x:c r="B603" s="15" t="s">
        <x:v>705</x:v>
      </x:c>
      <x:c r="C603" s="15" t="s">
        <x:v>780</x:v>
      </x:c>
      <x:c r="D603" s="15" t="s">
        <x:v>670</x:v>
      </x:c>
      <x:c r="E603" s="6">
        <x:v>76330</x:v>
      </x:c>
      <x:c r="F603" s="6">
        <x:v>1357120</x:v>
      </x:c>
      <x:c r="G603" s="9">
        <x:v>5.6239999999999998E-2</x:v>
      </x:c>
    </x:row>
    <x:row r="604">
      <x:c r="A604" s="5">
        <x:v>2020</x:v>
      </x:c>
      <x:c r="B604" s="15" t="s">
        <x:v>740</x:v>
      </x:c>
      <x:c r="C604" s="15" t="s">
        <x:v>741</x:v>
      </x:c>
      <x:c r="D604" s="15" t="s">
        <x:v>670</x:v>
      </x:c>
      <x:c r="E604" s="6">
        <x:v>76220</x:v>
      </x:c>
      <x:c r="F604" s="6">
        <x:v>1250340</x:v>
      </x:c>
      <x:c r="G604" s="9">
        <x:v>6.096E-2</x:v>
      </x:c>
    </x:row>
    <x:row r="605">
      <x:c r="A605" s="5">
        <x:v>2020</x:v>
      </x:c>
      <x:c r="B605" s="15" t="s">
        <x:v>635</x:v>
      </x:c>
      <x:c r="C605" s="15" t="s">
        <x:v>10</x:v>
      </x:c>
      <x:c r="D605" s="15" t="s">
        <x:v>636</x:v>
      </x:c>
      <x:c r="E605" s="6">
        <x:v>42890</x:v>
      </x:c>
      <x:c r="F605" s="6">
        <x:v>377810</x:v>
      </x:c>
      <x:c r="G605" s="9">
        <x:v>0.11352999999999999</x:v>
      </x:c>
    </x:row>
    <x:row r="606">
      <x:c r="A606" s="5">
        <x:v>2020</x:v>
      </x:c>
      <x:c r="B606" s="15" t="s">
        <x:v>637</x:v>
      </x:c>
      <x:c r="C606" s="15" t="s">
        <x:v>14</x:v>
      </x:c>
      <x:c r="D606" s="15" t="s">
        <x:v>638</x:v>
      </x:c>
      <x:c r="E606" s="6">
        <x:v>37140</x:v>
      </x:c>
      <x:c r="F606" s="6">
        <x:v>354950</x:v>
      </x:c>
      <x:c r="G606" s="9">
        <x:v>0.10464999999999999</x:v>
      </x:c>
    </x:row>
    <x:row r="607">
      <x:c r="A607" s="5">
        <x:v>2020</x:v>
      </x:c>
      <x:c r="B607" s="15" t="s">
        <x:v>749</x:v>
      </x:c>
      <x:c r="C607" s="15" t="s">
        <x:v>67</x:v>
      </x:c>
      <x:c r="D607" s="15" t="s">
        <x:v>648</x:v>
      </x:c>
      <x:c r="E607" s="6">
        <x:v>11710</x:v>
      </x:c>
      <x:c r="F607" s="6">
        <x:v>194980</x:v>
      </x:c>
      <x:c r="G607" s="9">
        <x:v>6.0039999999999996E-2</x:v>
      </x:c>
    </x:row>
    <x:row r="608">
      <x:c r="A608" s="5">
        <x:v>2020</x:v>
      </x:c>
      <x:c r="B608" s="15" t="s">
        <x:v>641</x:v>
      </x:c>
      <x:c r="C608" s="15" t="s">
        <x:v>20</x:v>
      </x:c>
      <x:c r="D608" s="15" t="s">
        <x:v>642</x:v>
      </x:c>
      <x:c r="E608" s="6">
        <x:v>79600</x:v>
      </x:c>
      <x:c r="F608" s="6">
        <x:v>898870</x:v>
      </x:c>
      <x:c r="G608" s="9">
        <x:v>8.8550000000000004E-2</x:v>
      </x:c>
    </x:row>
    <x:row r="609">
      <x:c r="A609" s="5">
        <x:v>2020</x:v>
      </x:c>
      <x:c r="B609" s="15" t="s">
        <x:v>783</x:v>
      </x:c>
      <x:c r="C609" s="15" t="s">
        <x:v>75</x:v>
      </x:c>
      <x:c r="D609" s="15" t="s">
        <x:v>774</x:v>
      </x:c>
      <x:c r="E609" s="6">
        <x:v>6120</x:v>
      </x:c>
      <x:c r="F609" s="6">
        <x:v>109510</x:v>
      </x:c>
      <x:c r="G609" s="9">
        <x:v>5.5899999999999998E-2</x:v>
      </x:c>
    </x:row>
    <x:row r="610">
      <x:c r="A610" s="5">
        <x:v>2021</x:v>
      </x:c>
      <x:c r="B610" s="15" t="s">
        <x:v>636</x:v>
      </x:c>
      <x:c r="C610" s="15" t="s">
        <x:v>786</x:v>
      </x:c>
      <x:c r="D610" s="15" t="s">
        <x:v>649</x:v>
      </x:c>
      <x:c r="E610" s="6">
        <x:v>34580</x:v>
      </x:c>
      <x:c r="F610" s="6">
        <x:v>640570</x:v>
      </x:c>
      <x:c r="G610" s="9">
        <x:v>5.3990000000000003E-2</x:v>
      </x:c>
    </x:row>
    <x:row r="611">
      <x:c r="A611" s="5">
        <x:v>2021</x:v>
      </x:c>
      <x:c r="B611" s="15" t="s">
        <x:v>638</x:v>
      </x:c>
      <x:c r="C611" s="15" t="s">
        <x:v>50</x:v>
      </x:c>
      <x:c r="D611" s="15" t="s">
        <x:v>647</x:v>
      </x:c>
      <x:c r="E611" s="6">
        <x:v>41390</x:v>
      </x:c>
      <x:c r="F611" s="6">
        <x:v>525790</x:v>
      </x:c>
      <x:c r="G611" s="9">
        <x:v>7.8710000000000002E-2</x:v>
      </x:c>
    </x:row>
    <x:row r="612">
      <x:c r="A612" s="5">
        <x:v>2021</x:v>
      </x:c>
      <x:c r="B612" s="15" t="s">
        <x:v>648</x:v>
      </x:c>
      <x:c r="C612" s="15" t="s">
        <x:v>46</x:v>
      </x:c>
      <x:c r="D612" s="15" t="s">
        <x:v>649</x:v>
      </x:c>
      <x:c r="E612" s="6">
        <x:v>26480</x:v>
      </x:c>
      <x:c r="F612" s="6">
        <x:v>333820</x:v>
      </x:c>
      <x:c r="G612" s="9">
        <x:v>7.9329999999999998E-2</x:v>
      </x:c>
    </x:row>
    <x:row r="613">
      <x:c r="A613" s="5">
        <x:v>2021</x:v>
      </x:c>
      <x:c r="B613" s="15" t="s">
        <x:v>642</x:v>
      </x:c>
      <x:c r="C613" s="15" t="s">
        <x:v>748</x:v>
      </x:c>
      <x:c r="D613" s="15" t="s">
        <x:v>672</x:v>
      </x:c>
      <x:c r="E613" s="6">
        <x:v>10450</x:v>
      </x:c>
      <x:c r="F613" s="6">
        <x:v>169250</x:v>
      </x:c>
      <x:c r="G613" s="9">
        <x:v>6.173E-2</x:v>
      </x:c>
    </x:row>
    <x:row r="614">
      <x:c r="A614" s="5">
        <x:v>2021</x:v>
      </x:c>
      <x:c r="B614" s="15" t="s">
        <x:v>800</x:v>
      </x:c>
      <x:c r="C614" s="15" t="s">
        <x:v>801</x:v>
      </x:c>
      <x:c r="D614" s="15" t="s">
        <x:v>672</x:v>
      </x:c>
      <x:c r="E614" s="6">
        <x:v>7470</x:v>
      </x:c>
      <x:c r="F614" s="6">
        <x:v>145180</x:v>
      </x:c>
      <x:c r="G614" s="9">
        <x:v>5.1429999999999997E-2</x:v>
      </x:c>
    </x:row>
    <x:row r="615">
      <x:c r="A615" s="5">
        <x:v>2021</x:v>
      </x:c>
      <x:c r="B615" s="15" t="s">
        <x:v>774</x:v>
      </x:c>
      <x:c r="C615" s="15" t="s">
        <x:v>775</x:v>
      </x:c>
      <x:c r="D615" s="15" t="s">
        <x:v>672</x:v>
      </x:c>
      <x:c r="E615" s="6">
        <x:v>67490</x:v>
      </x:c>
      <x:c r="F615" s="6">
        <x:v>1170100</x:v>
      </x:c>
      <x:c r="G615" s="9">
        <x:v>5.7679999999999995E-2</x:v>
      </x:c>
    </x:row>
    <x:row r="616">
      <x:c r="A616" s="5">
        <x:v>2021</x:v>
      </x:c>
      <x:c r="B616" s="15" t="s">
        <x:v>742</x:v>
      </x:c>
      <x:c r="C616" s="15" t="s">
        <x:v>743</x:v>
      </x:c>
      <x:c r="D616" s="15" t="s">
        <x:v>649</x:v>
      </x:c>
      <x:c r="E616" s="6">
        <x:v>20800</x:v>
      </x:c>
      <x:c r="F616" s="6">
        <x:v>336430</x:v>
      </x:c>
      <x:c r="G616" s="9">
        <x:v>6.1810000000000004E-2</x:v>
      </x:c>
    </x:row>
    <x:row r="617">
      <x:c r="A617" s="5">
        <x:v>2021</x:v>
      </x:c>
      <x:c r="B617" s="15" t="s">
        <x:v>653</x:v>
      </x:c>
      <x:c r="C617" s="15" t="s">
        <x:v>97</x:v>
      </x:c>
      <x:c r="D617" s="15" t="s">
        <x:v>651</x:v>
      </x:c>
      <x:c r="E617" s="6">
        <x:v>20750</x:v>
      </x:c>
      <x:c r="F617" s="6">
        <x:v>265250</x:v>
      </x:c>
      <x:c r="G617" s="9">
        <x:v>7.8230000000000008E-2</x:v>
      </x:c>
    </x:row>
    <x:row r="618">
      <x:c r="A618" s="5">
        <x:v>2021</x:v>
      </x:c>
      <x:c r="B618" s="15" t="s">
        <x:v>717</x:v>
      </x:c>
      <x:c r="C618" s="15" t="s">
        <x:v>718</x:v>
      </x:c>
      <x:c r="D618" s="15" t="s">
        <x:v>671</x:v>
      </x:c>
      <x:c r="E618" s="6">
        <x:v>10050</x:v>
      </x:c>
      <x:c r="F618" s="6">
        <x:v>155300</x:v>
      </x:c>
      <x:c r="G618" s="9">
        <x:v>6.4689999999999998E-2</x:v>
      </x:c>
    </x:row>
    <x:row r="619">
      <x:c r="A619" s="5">
        <x:v>2021</x:v>
      </x:c>
      <x:c r="B619" s="15" t="s">
        <x:v>668</x:v>
      </x:c>
      <x:c r="C619" s="15" t="s">
        <x:v>669</x:v>
      </x:c>
      <x:c r="D619" s="15" t="s">
        <x:v>651</x:v>
      </x:c>
      <x:c r="E619" s="6">
        <x:v>21650</x:v>
      </x:c>
      <x:c r="F619" s="6">
        <x:v>303390</x:v>
      </x:c>
      <x:c r="G619" s="9">
        <x:v>7.1349999999999997E-2</x:v>
      </x:c>
    </x:row>
    <x:row r="620">
      <x:c r="A620" s="5">
        <x:v>2021</x:v>
      </x:c>
      <x:c r="B620" s="15" t="s">
        <x:v>670</x:v>
      </x:c>
      <x:c r="C620" s="15" t="s">
        <x:v>89</x:v>
      </x:c>
      <x:c r="D620" s="15" t="s">
        <x:v>671</x:v>
      </x:c>
      <x:c r="E620" s="6">
        <x:v>27650</x:v>
      </x:c>
      <x:c r="F620" s="6">
        <x:v>383740</x:v>
      </x:c>
      <x:c r="G620" s="9">
        <x:v>7.2050000000000003E-2</x:v>
      </x:c>
    </x:row>
    <x:row r="621">
      <x:c r="A621" s="5">
        <x:v>2021</x:v>
      </x:c>
      <x:c r="B621" s="15" t="s">
        <x:v>768</x:v>
      </x:c>
      <x:c r="C621" s="15" t="s">
        <x:v>769</x:v>
      </x:c>
      <x:c r="D621" s="15" t="s">
        <x:v>671</x:v>
      </x:c>
      <x:c r="E621" s="6">
        <x:v>16630</x:v>
      </x:c>
      <x:c r="F621" s="6">
        <x:v>279060</x:v>
      </x:c>
      <x:c r="G621" s="9">
        <x:v>5.9569999999999998E-2</x:v>
      </x:c>
    </x:row>
    <x:row r="622">
      <x:c r="A622" s="5">
        <x:v>2021</x:v>
      </x:c>
      <x:c r="B622" s="15" t="s">
        <x:v>744</x:v>
      </x:c>
      <x:c r="C622" s="15" t="s">
        <x:v>745</x:v>
      </x:c>
      <x:c r="D622" s="15" t="s">
        <x:v>672</x:v>
      </x:c>
      <x:c r="E622" s="6">
        <x:v>135170</x:v>
      </x:c>
      <x:c r="F622" s="6">
        <x:v>2179910</x:v>
      </x:c>
      <x:c r="G622" s="9">
        <x:v>6.2E-2</x:v>
      </x:c>
    </x:row>
    <x:row r="623">
      <x:c r="A623" s="5">
        <x:v>2021</x:v>
      </x:c>
      <x:c r="B623" s="15" t="s">
        <x:v>772</x:v>
      </x:c>
      <x:c r="C623" s="15" t="s">
        <x:v>773</x:v>
      </x:c>
      <x:c r="D623" s="15" t="s">
        <x:v>689</x:v>
      </x:c>
      <x:c r="E623" s="6">
        <x:v>40630</x:v>
      </x:c>
      <x:c r="F623" s="6">
        <x:v>704770</x:v>
      </x:c>
      <x:c r="G623" s="9">
        <x:v>5.7640000000000004E-2</x:v>
      </x:c>
    </x:row>
    <x:row r="624">
      <x:c r="A624" s="5">
        <x:v>2021</x:v>
      </x:c>
      <x:c r="B624" s="15" t="s">
        <x:v>692</x:v>
      </x:c>
      <x:c r="C624" s="15" t="s">
        <x:v>693</x:v>
      </x:c>
      <x:c r="D624" s="15" t="s">
        <x:v>649</x:v>
      </x:c>
      <x:c r="E624" s="6">
        <x:v>9680</x:v>
      </x:c>
      <x:c r="F624" s="6">
        <x:v>141870</x:v>
      </x:c>
      <x:c r="G624" s="9">
        <x:v>6.8220000000000003E-2</x:v>
      </x:c>
    </x:row>
    <x:row r="625">
      <x:c r="A625" s="5">
        <x:v>2021</x:v>
      </x:c>
      <x:c r="B625" s="15" t="s">
        <x:v>701</x:v>
      </x:c>
      <x:c r="C625" s="15" t="s">
        <x:v>702</x:v>
      </x:c>
      <x:c r="D625" s="15" t="s">
        <x:v>644</x:v>
      </x:c>
      <x:c r="E625" s="6">
        <x:v>23210</x:v>
      </x:c>
      <x:c r="F625" s="6">
        <x:v>350280</x:v>
      </x:c>
      <x:c r="G625" s="9">
        <x:v>6.6250000000000003E-2</x:v>
      </x:c>
    </x:row>
    <x:row r="626">
      <x:c r="A626" s="5">
        <x:v>2021</x:v>
      </x:c>
      <x:c r="B626" s="15" t="s">
        <x:v>727</x:v>
      </x:c>
      <x:c r="C626" s="15" t="s">
        <x:v>728</x:v>
      </x:c>
      <x:c r="D626" s="15" t="s">
        <x:v>644</x:v>
      </x:c>
      <x:c r="E626" s="6">
        <x:v>43710</x:v>
      </x:c>
      <x:c r="F626" s="6">
        <x:v>689800</x:v>
      </x:c>
      <x:c r="G626" s="9">
        <x:v>6.336E-2</x:v>
      </x:c>
    </x:row>
    <x:row r="627">
      <x:c r="A627" s="5">
        <x:v>2021</x:v>
      </x:c>
      <x:c r="B627" s="15" t="s">
        <x:v>654</x:v>
      </x:c>
      <x:c r="C627" s="15" t="s">
        <x:v>86</x:v>
      </x:c>
      <x:c r="D627" s="15" t="s">
        <x:v>646</x:v>
      </x:c>
      <x:c r="E627" s="6">
        <x:v>23010</x:v>
      </x:c>
      <x:c r="F627" s="6">
        <x:v>299900</x:v>
      </x:c>
      <x:c r="G627" s="9">
        <x:v>7.671E-2</x:v>
      </x:c>
    </x:row>
    <x:row r="628">
      <x:c r="A628" s="5">
        <x:v>2021</x:v>
      </x:c>
      <x:c r="B628" s="15" t="s">
        <x:v>681</x:v>
      </x:c>
      <x:c r="C628" s="15" t="s">
        <x:v>682</x:v>
      </x:c>
      <x:c r="D628" s="15" t="s">
        <x:v>644</x:v>
      </x:c>
      <x:c r="E628" s="6">
        <x:v>16680</x:v>
      </x:c>
      <x:c r="F628" s="6">
        <x:v>238070</x:v>
      </x:c>
      <x:c r="G628" s="9">
        <x:v>7.0059999999999997E-2</x:v>
      </x:c>
    </x:row>
    <x:row r="629">
      <x:c r="A629" s="5">
        <x:v>2021</x:v>
      </x:c>
      <x:c r="B629" s="15" t="s">
        <x:v>746</x:v>
      </x:c>
      <x:c r="C629" s="15" t="s">
        <x:v>747</x:v>
      </x:c>
      <x:c r="D629" s="15" t="s">
        <x:v>640</x:v>
      </x:c>
      <x:c r="E629" s="6">
        <x:v>32100</x:v>
      </x:c>
      <x:c r="F629" s="6">
        <x:v>525540</x:v>
      </x:c>
      <x:c r="G629" s="9">
        <x:v>6.1089999999999998E-2</x:v>
      </x:c>
    </x:row>
    <x:row r="630">
      <x:c r="A630" s="5">
        <x:v>2021</x:v>
      </x:c>
      <x:c r="B630" s="15" t="s">
        <x:v>797</x:v>
      </x:c>
      <x:c r="C630" s="15" t="s">
        <x:v>798</x:v>
      </x:c>
      <x:c r="D630" s="15" t="s">
        <x:v>799</x:v>
      </x:c>
      <x:c r="E630" s="6">
        <x:v>30830</x:v>
      </x:c>
      <x:c r="F630" s="6">
        <x:v>617610</x:v>
      </x:c>
      <x:c r="G630" s="9">
        <x:v>4.9919999999999999E-2</x:v>
      </x:c>
    </x:row>
    <x:row r="631">
      <x:c r="A631" s="5">
        <x:v>2021</x:v>
      </x:c>
      <x:c r="B631" s="15" t="s">
        <x:v>643</x:v>
      </x:c>
      <x:c r="C631" s="15" t="s">
        <x:v>30</x:v>
      </x:c>
      <x:c r="D631" s="15" t="s">
        <x:v>644</x:v>
      </x:c>
      <x:c r="E631" s="6">
        <x:v>9570</x:v>
      </x:c>
      <x:c r="F631" s="6">
        <x:v>111080</x:v>
      </x:c>
      <x:c r="G631" s="9">
        <x:v>8.6190000000000003E-2</x:v>
      </x:c>
    </x:row>
    <x:row r="632">
      <x:c r="A632" s="5">
        <x:v>2021</x:v>
      </x:c>
      <x:c r="B632" s="15" t="s">
        <x:v>646</x:v>
      </x:c>
      <x:c r="C632" s="15" t="s">
        <x:v>674</x:v>
      </x:c>
      <x:c r="D632" s="15" t="s">
        <x:v>644</x:v>
      </x:c>
      <x:c r="E632" s="6">
        <x:v>29750</x:v>
      </x:c>
      <x:c r="F632" s="6">
        <x:v>415570</x:v>
      </x:c>
      <x:c r="G632" s="9">
        <x:v>7.1580000000000005E-2</x:v>
      </x:c>
    </x:row>
    <x:row r="633">
      <x:c r="A633" s="5">
        <x:v>2021</x:v>
      </x:c>
      <x:c r="B633" s="15" t="s">
        <x:v>766</x:v>
      </x:c>
      <x:c r="C633" s="15" t="s">
        <x:v>767</x:v>
      </x:c>
      <x:c r="D633" s="15" t="s">
        <x:v>640</x:v>
      </x:c>
      <x:c r="E633" s="6">
        <x:v>31860</x:v>
      </x:c>
      <x:c r="F633" s="6">
        <x:v>544300</x:v>
      </x:c>
      <x:c r="G633" s="9">
        <x:v>5.8520000000000003E-2</x:v>
      </x:c>
    </x:row>
    <x:row r="634">
      <x:c r="A634" s="5">
        <x:v>2021</x:v>
      </x:c>
      <x:c r="B634" s="15" t="s">
        <x:v>764</x:v>
      </x:c>
      <x:c r="C634" s="15" t="s">
        <x:v>765</x:v>
      </x:c>
      <x:c r="D634" s="15" t="s">
        <x:v>649</x:v>
      </x:c>
      <x:c r="E634" s="6">
        <x:v>32220</x:v>
      </x:c>
      <x:c r="F634" s="6">
        <x:v>538230</x:v>
      </x:c>
      <x:c r="G634" s="9">
        <x:v>5.9859999999999997E-2</x:v>
      </x:c>
    </x:row>
    <x:row r="635">
      <x:c r="A635" s="5">
        <x:v>2021</x:v>
      </x:c>
      <x:c r="B635" s="15" t="s">
        <x:v>640</x:v>
      </x:c>
      <x:c r="C635" s="15" t="s">
        <x:v>724</x:v>
      </x:c>
      <x:c r="D635" s="15" t="s">
        <x:v>689</x:v>
      </x:c>
      <x:c r="E635" s="6">
        <x:v>38180</x:v>
      </x:c>
      <x:c r="F635" s="6">
        <x:v>607640</x:v>
      </x:c>
      <x:c r="G635" s="9">
        <x:v>6.2829999999999997E-2</x:v>
      </x:c>
    </x:row>
    <x:row r="636">
      <x:c r="A636" s="5">
        <x:v>2021</x:v>
      </x:c>
      <x:c r="B636" s="15" t="s">
        <x:v>689</x:v>
      </x:c>
      <x:c r="C636" s="15" t="s">
        <x:v>694</x:v>
      </x:c>
      <x:c r="D636" s="15" t="s">
        <x:v>646</x:v>
      </x:c>
      <x:c r="E636" s="6">
        <x:v>28700</x:v>
      </x:c>
      <x:c r="F636" s="6">
        <x:v>433770</x:v>
      </x:c>
      <x:c r="G636" s="9">
        <x:v>6.6159999999999997E-2</x:v>
      </x:c>
    </x:row>
    <x:row r="637">
      <x:c r="A637" s="5">
        <x:v>2021</x:v>
      </x:c>
      <x:c r="B637" s="15" t="s">
        <x:v>811</x:v>
      </x:c>
      <x:c r="C637" s="15" t="s">
        <x:v>812</x:v>
      </x:c>
      <x:c r="D637" s="15" t="s">
        <x:v>799</x:v>
      </x:c>
      <x:c r="E637" s="6">
        <x:v>43360</x:v>
      </x:c>
      <x:c r="F637" s="6">
        <x:v>935970</x:v>
      </x:c>
      <x:c r="G637" s="9">
        <x:v>4.6330000000000003E-2</x:v>
      </x:c>
    </x:row>
    <x:row r="638">
      <x:c r="A638" s="5">
        <x:v>2021</x:v>
      </x:c>
      <x:c r="B638" s="15" t="s">
        <x:v>719</x:v>
      </x:c>
      <x:c r="C638" s="15" t="s">
        <x:v>720</x:v>
      </x:c>
      <x:c r="D638" s="15" t="s">
        <x:v>705</x:v>
      </x:c>
      <x:c r="E638" s="6">
        <x:v>9500</x:v>
      </x:c>
      <x:c r="F638" s="6">
        <x:v>151880</x:v>
      </x:c>
      <x:c r="G638" s="9">
        <x:v>6.2519999999999992E-2</x:v>
      </x:c>
    </x:row>
    <x:row r="639">
      <x:c r="A639" s="5">
        <x:v>2021</x:v>
      </x:c>
      <x:c r="B639" s="15" t="s">
        <x:v>703</x:v>
      </x:c>
      <x:c r="C639" s="15" t="s">
        <x:v>704</x:v>
      </x:c>
      <x:c r="D639" s="15" t="s">
        <x:v>705</x:v>
      </x:c>
      <x:c r="E639" s="6">
        <x:v>10990</x:v>
      </x:c>
      <x:c r="F639" s="6">
        <x:v>167470</x:v>
      </x:c>
      <x:c r="G639" s="9">
        <x:v>6.5610000000000002E-2</x:v>
      </x:c>
    </x:row>
    <x:row r="640">
      <x:c r="A640" s="5">
        <x:v>2021</x:v>
      </x:c>
      <x:c r="B640" s="15" t="s">
        <x:v>725</x:v>
      </x:c>
      <x:c r="C640" s="15" t="s">
        <x:v>726</x:v>
      </x:c>
      <x:c r="D640" s="15" t="s">
        <x:v>671</x:v>
      </x:c>
      <x:c r="E640" s="6">
        <x:v>49940</x:v>
      </x:c>
      <x:c r="F640" s="6">
        <x:v>789240</x:v>
      </x:c>
      <x:c r="G640" s="9">
        <x:v>6.3280000000000003E-2</x:v>
      </x:c>
    </x:row>
    <x:row r="641">
      <x:c r="A641" s="5">
        <x:v>2021</x:v>
      </x:c>
      <x:c r="B641" s="15" t="s">
        <x:v>813</x:v>
      </x:c>
      <x:c r="C641" s="15" t="s">
        <x:v>814</x:v>
      </x:c>
      <x:c r="D641" s="15" t="s">
        <x:v>671</x:v>
      </x:c>
      <x:c r="E641" s="6">
        <x:v>66070</x:v>
      </x:c>
      <x:c r="F641" s="6">
        <x:v>1430660</x:v>
      </x:c>
      <x:c r="G641" s="9">
        <x:v>4.6180000000000006E-2</x:v>
      </x:c>
    </x:row>
    <x:row r="642">
      <x:c r="A642" s="5">
        <x:v>2021</x:v>
      </x:c>
      <x:c r="B642" s="15" t="s">
        <x:v>647</x:v>
      </x:c>
      <x:c r="C642" s="15" t="s">
        <x:v>721</x:v>
      </x:c>
      <x:c r="D642" s="15" t="s">
        <x:v>671</x:v>
      </x:c>
      <x:c r="E642" s="6">
        <x:v>12370</x:v>
      </x:c>
      <x:c r="F642" s="6">
        <x:v>192740</x:v>
      </x:c>
      <x:c r="G642" s="9">
        <x:v>6.4199999999999993E-2</x:v>
      </x:c>
    </x:row>
    <x:row r="643">
      <x:c r="A643" s="5">
        <x:v>2021</x:v>
      </x:c>
      <x:c r="B643" s="15" t="s">
        <x:v>795</x:v>
      </x:c>
      <x:c r="C643" s="15" t="s">
        <x:v>796</x:v>
      </x:c>
      <x:c r="D643" s="15" t="s">
        <x:v>644</x:v>
      </x:c>
      <x:c r="E643" s="6">
        <x:v>88310</x:v>
      </x:c>
      <x:c r="F643" s="6">
        <x:v>1704380</x:v>
      </x:c>
      <x:c r="G643" s="9">
        <x:v>5.1810000000000002E-2</x:v>
      </x:c>
    </x:row>
    <x:row r="644">
      <x:c r="A644" s="5">
        <x:v>2021</x:v>
      </x:c>
      <x:c r="B644" s="15" t="s">
        <x:v>781</x:v>
      </x:c>
      <x:c r="C644" s="15" t="s">
        <x:v>782</x:v>
      </x:c>
      <x:c r="D644" s="15" t="s">
        <x:v>671</x:v>
      </x:c>
      <x:c r="E644" s="6">
        <x:v>71330</x:v>
      </x:c>
      <x:c r="F644" s="6">
        <x:v>1245520</x:v>
      </x:c>
      <x:c r="G644" s="9">
        <x:v>5.7270000000000001E-2</x:v>
      </x:c>
    </x:row>
    <x:row r="645">
      <x:c r="A645" s="5">
        <x:v>2021</x:v>
      </x:c>
      <x:c r="B645" s="15" t="s">
        <x:v>819</x:v>
      </x:c>
      <x:c r="C645" s="15" t="s">
        <x:v>820</x:v>
      </x:c>
      <x:c r="D645" s="15" t="s">
        <x:v>799</x:v>
      </x:c>
      <x:c r="E645" s="6">
        <x:v>41080</x:v>
      </x:c>
      <x:c r="F645" s="6">
        <x:v>1100110</x:v>
      </x:c>
      <x:c r="G645" s="9">
        <x:v>3.7339999999999998E-2</x:v>
      </x:c>
    </x:row>
    <x:row r="646">
      <x:c r="A646" s="5">
        <x:v>2021</x:v>
      </x:c>
      <x:c r="B646" s="15" t="s">
        <x:v>645</x:v>
      </x:c>
      <x:c r="C646" s="15" t="s">
        <x:v>34</x:v>
      </x:c>
      <x:c r="D646" s="15" t="s">
        <x:v>646</x:v>
      </x:c>
      <x:c r="E646" s="6">
        <x:v>17450</x:v>
      </x:c>
      <x:c r="F646" s="6">
        <x:v>214450</x:v>
      </x:c>
      <x:c r="G646" s="9">
        <x:v>8.1379999999999994E-2</x:v>
      </x:c>
    </x:row>
    <x:row r="647">
      <x:c r="A647" s="5">
        <x:v>2021</x:v>
      </x:c>
      <x:c r="B647" s="15" t="s">
        <x:v>778</x:v>
      </x:c>
      <x:c r="C647" s="15" t="s">
        <x:v>779</x:v>
      </x:c>
      <x:c r="D647" s="15" t="s">
        <x:v>646</x:v>
      </x:c>
      <x:c r="E647" s="6">
        <x:v>35500</x:v>
      </x:c>
      <x:c r="F647" s="6">
        <x:v>620700</x:v>
      </x:c>
      <x:c r="G647" s="9">
        <x:v>5.7190000000000005E-2</x:v>
      </x:c>
    </x:row>
    <x:row r="648">
      <x:c r="A648" s="5">
        <x:v>2021</x:v>
      </x:c>
      <x:c r="B648" s="15" t="s">
        <x:v>787</x:v>
      </x:c>
      <x:c r="C648" s="15" t="s">
        <x:v>788</x:v>
      </x:c>
      <x:c r="D648" s="15" t="s">
        <x:v>649</x:v>
      </x:c>
      <x:c r="E648" s="6">
        <x:v>71710</x:v>
      </x:c>
      <x:c r="F648" s="6">
        <x:v>1317870</x:v>
      </x:c>
      <x:c r="G648" s="9">
        <x:v>5.4420000000000003E-2</x:v>
      </x:c>
    </x:row>
    <x:row r="649">
      <x:c r="A649" s="5">
        <x:v>2021</x:v>
      </x:c>
      <x:c r="B649" s="15" t="s">
        <x:v>729</x:v>
      </x:c>
      <x:c r="C649" s="15" t="s">
        <x:v>730</x:v>
      </x:c>
      <x:c r="D649" s="15" t="s">
        <x:v>640</x:v>
      </x:c>
      <x:c r="E649" s="6">
        <x:v>16200</x:v>
      </x:c>
      <x:c r="F649" s="6">
        <x:v>260890</x:v>
      </x:c>
      <x:c r="G649" s="9">
        <x:v>6.2089999999999999E-2</x:v>
      </x:c>
    </x:row>
    <x:row r="650">
      <x:c r="A650" s="5">
        <x:v>2021</x:v>
      </x:c>
      <x:c r="B650" s="15" t="s">
        <x:v>738</x:v>
      </x:c>
      <x:c r="C650" s="15" t="s">
        <x:v>739</x:v>
      </x:c>
      <x:c r="D650" s="15" t="s">
        <x:v>644</x:v>
      </x:c>
      <x:c r="E650" s="6">
        <x:v>28030</x:v>
      </x:c>
      <x:c r="F650" s="6">
        <x:v>443560</x:v>
      </x:c>
      <x:c r="G650" s="9">
        <x:v>6.3189999999999996E-2</x:v>
      </x:c>
    </x:row>
    <x:row r="651">
      <x:c r="A651" s="5">
        <x:v>2021</x:v>
      </x:c>
      <x:c r="B651" s="15" t="s">
        <x:v>666</x:v>
      </x:c>
      <x:c r="C651" s="15" t="s">
        <x:v>667</x:v>
      </x:c>
      <x:c r="D651" s="15" t="s">
        <x:v>646</x:v>
      </x:c>
      <x:c r="E651" s="6">
        <x:v>24330</x:v>
      </x:c>
      <x:c r="F651" s="6">
        <x:v>333230</x:v>
      </x:c>
      <x:c r="G651" s="9">
        <x:v>7.3010000000000005E-2</x:v>
      </x:c>
    </x:row>
    <x:row r="652">
      <x:c r="A652" s="5">
        <x:v>2021</x:v>
      </x:c>
      <x:c r="B652" s="15" t="s">
        <x:v>722</x:v>
      </x:c>
      <x:c r="C652" s="15" t="s">
        <x:v>723</x:v>
      </x:c>
      <x:c r="D652" s="15" t="s">
        <x:v>649</x:v>
      </x:c>
      <x:c r="E652" s="6">
        <x:v>49760</x:v>
      </x:c>
      <x:c r="F652" s="6">
        <x:v>777220</x:v>
      </x:c>
      <x:c r="G652" s="9">
        <x:v>6.4020000000000007E-2</x:v>
      </x:c>
    </x:row>
    <x:row r="653">
      <x:c r="A653" s="5">
        <x:v>2021</x:v>
      </x:c>
      <x:c r="B653" s="15" t="s">
        <x:v>736</x:v>
      </x:c>
      <x:c r="C653" s="15" t="s">
        <x:v>737</x:v>
      </x:c>
      <x:c r="D653" s="15" t="s">
        <x:v>649</x:v>
      </x:c>
      <x:c r="E653" s="6">
        <x:v>14430</x:v>
      </x:c>
      <x:c r="F653" s="6">
        <x:v>229320</x:v>
      </x:c>
      <x:c r="G653" s="9">
        <x:v>6.2939999999999996E-2</x:v>
      </x:c>
    </x:row>
    <x:row r="654">
      <x:c r="A654" s="5">
        <x:v>2021</x:v>
      </x:c>
      <x:c r="B654" s="15" t="s">
        <x:v>651</x:v>
      </x:c>
      <x:c r="C654" s="15" t="s">
        <x:v>816</x:v>
      </x:c>
      <x:c r="D654" s="15" t="s">
        <x:v>652</x:v>
      </x:c>
      <x:c r="E654" s="6">
        <x:v>64470</x:v>
      </x:c>
      <x:c r="F654" s="6">
        <x:v>1492690</x:v>
      </x:c>
      <x:c r="G654" s="9">
        <x:v>4.3189999999999999E-2</x:v>
      </x:c>
    </x:row>
    <x:row r="655">
      <x:c r="A655" s="5">
        <x:v>2021</x:v>
      </x:c>
      <x:c r="B655" s="15" t="s">
        <x:v>697</x:v>
      </x:c>
      <x:c r="C655" s="15" t="s">
        <x:v>698</x:v>
      </x:c>
      <x:c r="D655" s="15" t="s">
        <x:v>646</x:v>
      </x:c>
      <x:c r="E655" s="6">
        <x:v>45580</x:v>
      </x:c>
      <x:c r="F655" s="6">
        <x:v>688710</x:v>
      </x:c>
      <x:c r="G655" s="9">
        <x:v>6.6170000000000007E-2</x:v>
      </x:c>
    </x:row>
    <x:row r="656">
      <x:c r="A656" s="5">
        <x:v>2021</x:v>
      </x:c>
      <x:c r="B656" s="15" t="s">
        <x:v>706</x:v>
      </x:c>
      <x:c r="C656" s="15" t="s">
        <x:v>707</x:v>
      </x:c>
      <x:c r="D656" s="15" t="s">
        <x:v>671</x:v>
      </x:c>
      <x:c r="E656" s="6">
        <x:v>11650</x:v>
      </x:c>
      <x:c r="F656" s="6">
        <x:v>174300</x:v>
      </x:c>
      <x:c r="G656" s="9">
        <x:v>6.6860000000000003E-2</x:v>
      </x:c>
    </x:row>
    <x:row r="657">
      <x:c r="A657" s="5">
        <x:v>2021</x:v>
      </x:c>
      <x:c r="B657" s="15" t="s">
        <x:v>710</x:v>
      </x:c>
      <x:c r="C657" s="15" t="s">
        <x:v>711</x:v>
      </x:c>
      <x:c r="D657" s="15" t="s">
        <x:v>644</x:v>
      </x:c>
      <x:c r="E657" s="6">
        <x:v>22130</x:v>
      </x:c>
      <x:c r="F657" s="6">
        <x:v>338410</x:v>
      </x:c>
      <x:c r="G657" s="9">
        <x:v>6.54E-2</x:v>
      </x:c>
    </x:row>
    <x:row r="658">
      <x:c r="A658" s="5">
        <x:v>2021</x:v>
      </x:c>
      <x:c r="B658" s="15" t="s">
        <x:v>776</x:v>
      </x:c>
      <x:c r="C658" s="15" t="s">
        <x:v>777</x:v>
      </x:c>
      <x:c r="D658" s="15" t="s">
        <x:v>671</x:v>
      </x:c>
      <x:c r="E658" s="6">
        <x:v>4300</x:v>
      </x:c>
      <x:c r="F658" s="6">
        <x:v>73490</x:v>
      </x:c>
      <x:c r="G658" s="9">
        <x:v>5.8540000000000002E-2</x:v>
      </x:c>
    </x:row>
    <x:row r="659">
      <x:c r="A659" s="5">
        <x:v>2021</x:v>
      </x:c>
      <x:c r="B659" s="15" t="s">
        <x:v>793</x:v>
      </x:c>
      <x:c r="C659" s="15" t="s">
        <x:v>794</x:v>
      </x:c>
      <x:c r="D659" s="15" t="s">
        <x:v>652</x:v>
      </x:c>
      <x:c r="E659" s="6">
        <x:v>42710</x:v>
      </x:c>
      <x:c r="F659" s="6">
        <x:v>831880</x:v>
      </x:c>
      <x:c r="G659" s="9">
        <x:v>5.1340000000000004E-2</x:v>
      </x:c>
    </x:row>
    <x:row r="660">
      <x:c r="A660" s="5">
        <x:v>2021</x:v>
      </x:c>
      <x:c r="B660" s="15" t="s">
        <x:v>770</x:v>
      </x:c>
      <x:c r="C660" s="15" t="s">
        <x:v>771</x:v>
      </x:c>
      <x:c r="D660" s="15" t="s">
        <x:v>689</x:v>
      </x:c>
      <x:c r="E660" s="6">
        <x:v>29140</x:v>
      </x:c>
      <x:c r="F660" s="6">
        <x:v>500840</x:v>
      </x:c>
      <x:c r="G660" s="9">
        <x:v>5.8189999999999999E-2</x:v>
      </x:c>
    </x:row>
    <x:row r="661">
      <x:c r="A661" s="5">
        <x:v>2021</x:v>
      </x:c>
      <x:c r="B661" s="15" t="s">
        <x:v>679</x:v>
      </x:c>
      <x:c r="C661" s="15" t="s">
        <x:v>680</x:v>
      </x:c>
      <x:c r="D661" s="15" t="s">
        <x:v>651</x:v>
      </x:c>
      <x:c r="E661" s="6">
        <x:v>38870</x:v>
      </x:c>
      <x:c r="F661" s="6">
        <x:v>561070</x:v>
      </x:c>
      <x:c r="G661" s="9">
        <x:v>6.9279999999999994E-2</x:v>
      </x:c>
    </x:row>
    <x:row r="662">
      <x:c r="A662" s="5">
        <x:v>2021</x:v>
      </x:c>
      <x:c r="B662" s="15" t="s">
        <x:v>652</x:v>
      </x:c>
      <x:c r="C662" s="15" t="s">
        <x:v>182</x:v>
      </x:c>
      <x:c r="D662" s="15" t="s">
        <x:v>651</x:v>
      </x:c>
      <x:c r="E662" s="6">
        <x:v>13050</x:v>
      </x:c>
      <x:c r="F662" s="6">
        <x:v>168470</x:v>
      </x:c>
      <x:c r="G662" s="9">
        <x:v>7.7439999999999995E-2</x:v>
      </x:c>
    </x:row>
    <x:row r="663">
      <x:c r="A663" s="5">
        <x:v>2021</x:v>
      </x:c>
      <x:c r="B663" s="15" t="s">
        <x:v>799</x:v>
      </x:c>
      <x:c r="C663" s="15" t="s">
        <x:v>804</x:v>
      </x:c>
      <x:c r="D663" s="15" t="s">
        <x:v>652</x:v>
      </x:c>
      <x:c r="E663" s="6">
        <x:v>14720</x:v>
      </x:c>
      <x:c r="F663" s="6">
        <x:v>305250</x:v>
      </x:c>
      <x:c r="G663" s="9">
        <x:v>4.8230000000000002E-2</x:v>
      </x:c>
    </x:row>
    <x:row r="664">
      <x:c r="A664" s="5">
        <x:v>2021</x:v>
      </x:c>
      <x:c r="B664" s="15" t="s">
        <x:v>685</x:v>
      </x:c>
      <x:c r="C664" s="15" t="s">
        <x:v>686</x:v>
      </x:c>
      <x:c r="D664" s="15" t="s">
        <x:v>651</x:v>
      </x:c>
      <x:c r="E664" s="6">
        <x:v>46930</x:v>
      </x:c>
      <x:c r="F664" s="6">
        <x:v>678190</x:v>
      </x:c>
      <x:c r="G664" s="9">
        <x:v>6.9190000000000002E-2</x:v>
      </x:c>
    </x:row>
    <x:row r="665">
      <x:c r="A665" s="5">
        <x:v>2021</x:v>
      </x:c>
      <x:c r="B665" s="15" t="s">
        <x:v>656</x:v>
      </x:c>
      <x:c r="C665" s="15" t="s">
        <x:v>657</x:v>
      </x:c>
      <x:c r="D665" s="15" t="s">
        <x:v>651</x:v>
      </x:c>
      <x:c r="E665" s="6">
        <x:v>13040</x:v>
      </x:c>
      <x:c r="F665" s="6">
        <x:v>176520</x:v>
      </x:c>
      <x:c r="G665" s="9">
        <x:v>7.3840000000000003E-2</x:v>
      </x:c>
    </x:row>
    <x:row r="666">
      <x:c r="A666" s="5">
        <x:v>2021</x:v>
      </x:c>
      <x:c r="B666" s="15" t="s">
        <x:v>802</x:v>
      </x:c>
      <x:c r="C666" s="15" t="s">
        <x:v>803</x:v>
      </x:c>
      <x:c r="D666" s="15" t="s">
        <x:v>799</x:v>
      </x:c>
      <x:c r="E666" s="6">
        <x:v>38890</x:v>
      </x:c>
      <x:c r="F666" s="6">
        <x:v>792560</x:v>
      </x:c>
      <x:c r="G666" s="9">
        <x:v>4.9070000000000003E-2</x:v>
      </x:c>
    </x:row>
    <x:row r="667">
      <x:c r="A667" s="5">
        <x:v>2021</x:v>
      </x:c>
      <x:c r="B667" s="15" t="s">
        <x:v>650</x:v>
      </x:c>
      <x:c r="C667" s="15" t="s">
        <x:v>38</x:v>
      </x:c>
      <x:c r="D667" s="15" t="s">
        <x:v>651</x:v>
      </x:c>
      <x:c r="E667" s="6">
        <x:v>72450</x:v>
      </x:c>
      <x:c r="F667" s="6">
        <x:v>923430</x:v>
      </x:c>
      <x:c r="G667" s="9">
        <x:v>7.8460000000000002E-2</x:v>
      </x:c>
    </x:row>
    <x:row r="668">
      <x:c r="A668" s="5">
        <x:v>2021</x:v>
      </x:c>
      <x:c r="B668" s="15" t="s">
        <x:v>639</x:v>
      </x:c>
      <x:c r="C668" s="15" t="s">
        <x:v>19</x:v>
      </x:c>
      <x:c r="D668" s="15" t="s">
        <x:v>640</x:v>
      </x:c>
      <x:c r="E668" s="6">
        <x:v>18270</x:v>
      </x:c>
      <x:c r="F668" s="6">
        <x:v>199500</x:v>
      </x:c>
      <x:c r="G668" s="9">
        <x:v>9.1560000000000002E-2</x:v>
      </x:c>
    </x:row>
    <x:row r="669">
      <x:c r="A669" s="5">
        <x:v>2021</x:v>
      </x:c>
      <x:c r="B669" s="15" t="s">
        <x:v>690</x:v>
      </x:c>
      <x:c r="C669" s="15" t="s">
        <x:v>691</x:v>
      </x:c>
      <x:c r="D669" s="15" t="s">
        <x:v>647</x:v>
      </x:c>
      <x:c r="E669" s="6">
        <x:v>175890</x:v>
      </x:c>
      <x:c r="F669" s="6">
        <x:v>2594820</x:v>
      </x:c>
      <x:c r="G669" s="9">
        <x:v>6.7790000000000003E-2</x:v>
      </x:c>
    </x:row>
    <x:row r="670">
      <x:c r="A670" s="5">
        <x:v>2021</x:v>
      </x:c>
      <x:c r="B670" s="15" t="s">
        <x:v>708</x:v>
      </x:c>
      <x:c r="C670" s="15" t="s">
        <x:v>709</x:v>
      </x:c>
      <x:c r="D670" s="15" t="s">
        <x:v>647</x:v>
      </x:c>
      <x:c r="E670" s="6">
        <x:v>53450</x:v>
      </x:c>
      <x:c r="F670" s="6">
        <x:v>836450</x:v>
      </x:c>
      <x:c r="G670" s="9">
        <x:v>6.3899999999999998E-2</x:v>
      </x:c>
    </x:row>
    <x:row r="671">
      <x:c r="A671" s="5">
        <x:v>2021</x:v>
      </x:c>
      <x:c r="B671" s="15" t="s">
        <x:v>687</x:v>
      </x:c>
      <x:c r="C671" s="15" t="s">
        <x:v>688</x:v>
      </x:c>
      <x:c r="D671" s="15" t="s">
        <x:v>689</x:v>
      </x:c>
      <x:c r="E671" s="6">
        <x:v>18850</x:v>
      </x:c>
      <x:c r="F671" s="6">
        <x:v>273300</x:v>
      </x:c>
      <x:c r="G671" s="9">
        <x:v>6.8959999999999994E-2</x:v>
      </x:c>
    </x:row>
    <x:row r="672">
      <x:c r="A672" s="5">
        <x:v>2021</x:v>
      </x:c>
      <x:c r="B672" s="15" t="s">
        <x:v>658</x:v>
      </x:c>
      <x:c r="C672" s="15" t="s">
        <x:v>659</x:v>
      </x:c>
      <x:c r="D672" s="15" t="s">
        <x:v>647</x:v>
      </x:c>
      <x:c r="E672" s="6">
        <x:v>109960</x:v>
      </x:c>
      <x:c r="F672" s="6">
        <x:v>1476910</x:v>
      </x:c>
      <x:c r="G672" s="9">
        <x:v>7.4450000000000002E-2</x:v>
      </x:c>
    </x:row>
    <x:row r="673">
      <x:c r="A673" s="5">
        <x:v>2021</x:v>
      </x:c>
      <x:c r="B673" s="15" t="s">
        <x:v>760</x:v>
      </x:c>
      <x:c r="C673" s="15" t="s">
        <x:v>761</x:v>
      </x:c>
      <x:c r="D673" s="15" t="s">
        <x:v>649</x:v>
      </x:c>
      <x:c r="E673" s="6">
        <x:v>40100</x:v>
      </x:c>
      <x:c r="F673" s="6">
        <x:v>659800</x:v>
      </x:c>
      <x:c r="G673" s="9">
        <x:v>6.0769999999999998E-2</x:v>
      </x:c>
    </x:row>
    <x:row r="674">
      <x:c r="A674" s="5">
        <x:v>2021</x:v>
      </x:c>
      <x:c r="B674" s="15" t="s">
        <x:v>789</x:v>
      </x:c>
      <x:c r="C674" s="15" t="s">
        <x:v>790</x:v>
      </x:c>
      <x:c r="D674" s="15" t="s">
        <x:v>644</x:v>
      </x:c>
      <x:c r="E674" s="6">
        <x:v>38360</x:v>
      </x:c>
      <x:c r="F674" s="6">
        <x:v>704830</x:v>
      </x:c>
      <x:c r="G674" s="9">
        <x:v>5.4420000000000003E-2</x:v>
      </x:c>
    </x:row>
    <x:row r="675">
      <x:c r="A675" s="5">
        <x:v>2021</x:v>
      </x:c>
      <x:c r="B675" s="15" t="s">
        <x:v>734</x:v>
      </x:c>
      <x:c r="C675" s="15" t="s">
        <x:v>735</x:v>
      </x:c>
      <x:c r="D675" s="15" t="s">
        <x:v>671</x:v>
      </x:c>
      <x:c r="E675" s="6">
        <x:v>14840</x:v>
      </x:c>
      <x:c r="F675" s="6">
        <x:v>233880</x:v>
      </x:c>
      <x:c r="G675" s="9">
        <x:v>6.3439999999999996E-2</x:v>
      </x:c>
    </x:row>
    <x:row r="676">
      <x:c r="A676" s="5">
        <x:v>2021</x:v>
      </x:c>
      <x:c r="B676" s="15" t="s">
        <x:v>695</x:v>
      </x:c>
      <x:c r="C676" s="15" t="s">
        <x:v>696</x:v>
      </x:c>
      <x:c r="D676" s="15" t="s">
        <x:v>671</x:v>
      </x:c>
      <x:c r="E676" s="6">
        <x:v>34220</x:v>
      </x:c>
      <x:c r="F676" s="6">
        <x:v>511600</x:v>
      </x:c>
      <x:c r="G676" s="9">
        <x:v>6.6879999999999995E-2</x:v>
      </x:c>
    </x:row>
    <x:row r="677">
      <x:c r="A677" s="5">
        <x:v>2021</x:v>
      </x:c>
      <x:c r="B677" s="15" t="s">
        <x:v>699</x:v>
      </x:c>
      <x:c r="C677" s="15" t="s">
        <x:v>700</x:v>
      </x:c>
      <x:c r="D677" s="15" t="s">
        <x:v>651</x:v>
      </x:c>
      <x:c r="E677" s="6">
        <x:v>77130</x:v>
      </x:c>
      <x:c r="F677" s="6">
        <x:v>1143330</x:v>
      </x:c>
      <x:c r="G677" s="9">
        <x:v>6.7460000000000006E-2</x:v>
      </x:c>
    </x:row>
    <x:row r="678">
      <x:c r="A678" s="5">
        <x:v>2021</x:v>
      </x:c>
      <x:c r="B678" s="15" t="s">
        <x:v>677</x:v>
      </x:c>
      <x:c r="C678" s="15" t="s">
        <x:v>678</x:v>
      </x:c>
      <x:c r="D678" s="15" t="s">
        <x:v>651</x:v>
      </x:c>
      <x:c r="E678" s="6">
        <x:v>52580</x:v>
      </x:c>
      <x:c r="F678" s="6">
        <x:v>750730</x:v>
      </x:c>
      <x:c r="G678" s="9">
        <x:v>7.0039999999999991E-2</x:v>
      </x:c>
    </x:row>
    <x:row r="679">
      <x:c r="A679" s="5">
        <x:v>2021</x:v>
      </x:c>
      <x:c r="B679" s="15" t="s">
        <x:v>791</x:v>
      </x:c>
      <x:c r="C679" s="15" t="s">
        <x:v>792</x:v>
      </x:c>
      <x:c r="D679" s="15" t="s">
        <x:v>649</x:v>
      </x:c>
      <x:c r="E679" s="6">
        <x:v>100060</x:v>
      </x:c>
      <x:c r="F679" s="6">
        <x:v>1937580</x:v>
      </x:c>
      <x:c r="G679" s="9">
        <x:v>5.1639999999999998E-2</x:v>
      </x:c>
    </x:row>
    <x:row r="680">
      <x:c r="A680" s="5">
        <x:v>2021</x:v>
      </x:c>
      <x:c r="B680" s="15" t="s">
        <x:v>664</x:v>
      </x:c>
      <x:c r="C680" s="15" t="s">
        <x:v>665</x:v>
      </x:c>
      <x:c r="D680" s="15" t="s">
        <x:v>640</x:v>
      </x:c>
      <x:c r="E680" s="6">
        <x:v>16630</x:v>
      </x:c>
      <x:c r="F680" s="6">
        <x:v>234140</x:v>
      </x:c>
      <x:c r="G680" s="9">
        <x:v>7.1010000000000004E-2</x:v>
      </x:c>
    </x:row>
    <x:row r="681">
      <x:c r="A681" s="5">
        <x:v>2021</x:v>
      </x:c>
      <x:c r="B681" s="15" t="s">
        <x:v>660</x:v>
      </x:c>
      <x:c r="C681" s="15" t="s">
        <x:v>661</x:v>
      </x:c>
      <x:c r="D681" s="15" t="s">
        <x:v>640</x:v>
      </x:c>
      <x:c r="E681" s="6">
        <x:v>41390</x:v>
      </x:c>
      <x:c r="F681" s="6">
        <x:v>551740</x:v>
      </x:c>
      <x:c r="G681" s="9">
        <x:v>7.5020000000000003E-2</x:v>
      </x:c>
    </x:row>
    <x:row r="682">
      <x:c r="A682" s="5">
        <x:v>2021</x:v>
      </x:c>
      <x:c r="B682" s="15" t="s">
        <x:v>732</x:v>
      </x:c>
      <x:c r="C682" s="15" t="s">
        <x:v>733</x:v>
      </x:c>
      <x:c r="D682" s="15" t="s">
        <x:v>652</x:v>
      </x:c>
      <x:c r="E682" s="6">
        <x:v>34720</x:v>
      </x:c>
      <x:c r="F682" s="6">
        <x:v>569100</x:v>
      </x:c>
      <x:c r="G682" s="9">
        <x:v>6.1010000000000002E-2</x:v>
      </x:c>
    </x:row>
    <x:row r="683">
      <x:c r="A683" s="5">
        <x:v>2021</x:v>
      </x:c>
      <x:c r="B683" s="15" t="s">
        <x:v>807</x:v>
      </x:c>
      <x:c r="C683" s="15" t="s">
        <x:v>808</x:v>
      </x:c>
      <x:c r="D683" s="15" t="s">
        <x:v>649</x:v>
      </x:c>
      <x:c r="E683" s="6">
        <x:v>21960</x:v>
      </x:c>
      <x:c r="F683" s="6">
        <x:v>450150</x:v>
      </x:c>
      <x:c r="G683" s="9">
        <x:v>4.8780000000000004E-2</x:v>
      </x:c>
    </x:row>
    <x:row r="684">
      <x:c r="A684" s="5">
        <x:v>2021</x:v>
      </x:c>
      <x:c r="B684" s="15" t="s">
        <x:v>817</x:v>
      </x:c>
      <x:c r="C684" s="15" t="s">
        <x:v>818</x:v>
      </x:c>
      <x:c r="D684" s="15" t="s">
        <x:v>649</x:v>
      </x:c>
      <x:c r="E684" s="6">
        <x:v>36090</x:v>
      </x:c>
      <x:c r="F684" s="6">
        <x:v>828380</x:v>
      </x:c>
      <x:c r="G684" s="9">
        <x:v>4.3560000000000001E-2</x:v>
      </x:c>
    </x:row>
    <x:row r="685">
      <x:c r="A685" s="5">
        <x:v>2021</x:v>
      </x:c>
      <x:c r="B685" s="15" t="s">
        <x:v>644</x:v>
      </x:c>
      <x:c r="C685" s="15" t="s">
        <x:v>815</x:v>
      </x:c>
      <x:c r="D685" s="15" t="s">
        <x:v>670</x:v>
      </x:c>
      <x:c r="E685" s="6">
        <x:v>96440</x:v>
      </x:c>
      <x:c r="F685" s="6">
        <x:v>2181140</x:v>
      </x:c>
      <x:c r="G685" s="9">
        <x:v>4.4219999999999995E-2</x:v>
      </x:c>
    </x:row>
    <x:row r="686">
      <x:c r="A686" s="5">
        <x:v>2021</x:v>
      </x:c>
      <x:c r="B686" s="15" t="s">
        <x:v>671</x:v>
      </x:c>
      <x:c r="C686" s="15" t="s">
        <x:v>714</x:v>
      </x:c>
      <x:c r="D686" s="15" t="s">
        <x:v>689</x:v>
      </x:c>
      <x:c r="E686" s="6">
        <x:v>81580</x:v>
      </x:c>
      <x:c r="F686" s="6">
        <x:v>1262780</x:v>
      </x:c>
      <x:c r="G686" s="9">
        <x:v>6.4600000000000005E-2</x:v>
      </x:c>
    </x:row>
    <x:row r="687">
      <x:c r="A687" s="5">
        <x:v>2021</x:v>
      </x:c>
      <x:c r="B687" s="15" t="s">
        <x:v>762</x:v>
      </x:c>
      <x:c r="C687" s="15" t="s">
        <x:v>763</x:v>
      </x:c>
      <x:c r="D687" s="15" t="s">
        <x:v>670</x:v>
      </x:c>
      <x:c r="E687" s="6">
        <x:v>84370</x:v>
      </x:c>
      <x:c r="F687" s="6">
        <x:v>1465670</x:v>
      </x:c>
      <x:c r="G687" s="9">
        <x:v>5.756E-2</x:v>
      </x:c>
    </x:row>
    <x:row r="688">
      <x:c r="A688" s="5">
        <x:v>2021</x:v>
      </x:c>
      <x:c r="B688" s="15" t="s">
        <x:v>805</x:v>
      </x:c>
      <x:c r="C688" s="15" t="s">
        <x:v>806</x:v>
      </x:c>
      <x:c r="D688" s="15" t="s">
        <x:v>670</x:v>
      </x:c>
      <x:c r="E688" s="6">
        <x:v>72570</x:v>
      </x:c>
      <x:c r="F688" s="6">
        <x:v>1522200</x:v>
      </x:c>
      <x:c r="G688" s="9">
        <x:v>4.7670000000000004E-2</x:v>
      </x:c>
    </x:row>
    <x:row r="689">
      <x:c r="A689" s="5">
        <x:v>2021</x:v>
      </x:c>
      <x:c r="B689" s="15" t="s">
        <x:v>715</x:v>
      </x:c>
      <x:c r="C689" s="15" t="s">
        <x:v>716</x:v>
      </x:c>
      <x:c r="D689" s="15" t="s">
        <x:v>644</x:v>
      </x:c>
      <x:c r="E689" s="6">
        <x:v>23640</x:v>
      </x:c>
      <x:c r="F689" s="6">
        <x:v>377190</x:v>
      </x:c>
      <x:c r="G689" s="9">
        <x:v>6.2659999999999993E-2</x:v>
      </x:c>
    </x:row>
    <x:row r="690">
      <x:c r="A690" s="5">
        <x:v>2021</x:v>
      </x:c>
      <x:c r="B690" s="15" t="s">
        <x:v>662</x:v>
      </x:c>
      <x:c r="C690" s="15" t="s">
        <x:v>663</x:v>
      </x:c>
      <x:c r="D690" s="15" t="s">
        <x:v>647</x:v>
      </x:c>
      <x:c r="E690" s="6">
        <x:v>41390</x:v>
      </x:c>
      <x:c r="F690" s="6">
        <x:v>562790</x:v>
      </x:c>
      <x:c r="G690" s="9">
        <x:v>7.3550000000000004E-2</x:v>
      </x:c>
    </x:row>
    <x:row r="691">
      <x:c r="A691" s="5">
        <x:v>2021</x:v>
      </x:c>
      <x:c r="B691" s="15" t="s">
        <x:v>752</x:v>
      </x:c>
      <x:c r="C691" s="15" t="s">
        <x:v>753</x:v>
      </x:c>
      <x:c r="D691" s="15" t="s">
        <x:v>671</x:v>
      </x:c>
      <x:c r="E691" s="6">
        <x:v>24250</x:v>
      </x:c>
      <x:c r="F691" s="6">
        <x:v>400290</x:v>
      </x:c>
      <x:c r="G691" s="9">
        <x:v>6.0579999999999995E-2</x:v>
      </x:c>
    </x:row>
    <x:row r="692">
      <x:c r="A692" s="5">
        <x:v>2021</x:v>
      </x:c>
      <x:c r="B692" s="15" t="s">
        <x:v>756</x:v>
      </x:c>
      <x:c r="C692" s="15" t="s">
        <x:v>757</x:v>
      </x:c>
      <x:c r="D692" s="15" t="s">
        <x:v>671</x:v>
      </x:c>
      <x:c r="E692" s="6">
        <x:v>16030</x:v>
      </x:c>
      <x:c r="F692" s="6">
        <x:v>271360</x:v>
      </x:c>
      <x:c r="G692" s="9">
        <x:v>5.9069999999999998E-2</x:v>
      </x:c>
    </x:row>
    <x:row r="693">
      <x:c r="A693" s="5">
        <x:v>2021</x:v>
      </x:c>
      <x:c r="B693" s="15" t="s">
        <x:v>758</x:v>
      </x:c>
      <x:c r="C693" s="15" t="s">
        <x:v>759</x:v>
      </x:c>
      <x:c r="D693" s="15" t="s">
        <x:v>672</x:v>
      </x:c>
      <x:c r="E693" s="6">
        <x:v>70640</x:v>
      </x:c>
      <x:c r="F693" s="6">
        <x:v>1166720</x:v>
      </x:c>
      <x:c r="G693" s="9">
        <x:v>6.055E-2</x:v>
      </x:c>
    </x:row>
    <x:row r="694">
      <x:c r="A694" s="5">
        <x:v>2021</x:v>
      </x:c>
      <x:c r="B694" s="15" t="s">
        <x:v>649</x:v>
      </x:c>
      <x:c r="C694" s="15" t="s">
        <x:v>731</x:v>
      </x:c>
      <x:c r="D694" s="15" t="s">
        <x:v>672</x:v>
      </x:c>
      <x:c r="E694" s="6">
        <x:v>37860</x:v>
      </x:c>
      <x:c r="F694" s="6">
        <x:v>604630</x:v>
      </x:c>
      <x:c r="G694" s="9">
        <x:v>6.2619999999999995E-2</x:v>
      </x:c>
    </x:row>
    <x:row r="695">
      <x:c r="A695" s="5">
        <x:v>2021</x:v>
      </x:c>
      <x:c r="B695" s="15" t="s">
        <x:v>754</x:v>
      </x:c>
      <x:c r="C695" s="15" t="s">
        <x:v>755</x:v>
      </x:c>
      <x:c r="D695" s="15" t="s">
        <x:v>652</x:v>
      </x:c>
      <x:c r="E695" s="6">
        <x:v>42970</x:v>
      </x:c>
      <x:c r="F695" s="6">
        <x:v>720470</x:v>
      </x:c>
      <x:c r="G695" s="9">
        <x:v>5.9650000000000002E-2</x:v>
      </x:c>
    </x:row>
    <x:row r="696">
      <x:c r="A696" s="5">
        <x:v>2021</x:v>
      </x:c>
      <x:c r="B696" s="15" t="s">
        <x:v>750</x:v>
      </x:c>
      <x:c r="C696" s="15" t="s">
        <x:v>751</x:v>
      </x:c>
      <x:c r="D696" s="15" t="s">
        <x:v>644</x:v>
      </x:c>
      <x:c r="E696" s="6">
        <x:v>25440</x:v>
      </x:c>
      <x:c r="F696" s="6">
        <x:v>429480</x:v>
      </x:c>
      <x:c r="G696" s="9">
        <x:v>5.9229999999999998E-2</x:v>
      </x:c>
    </x:row>
    <x:row r="697">
      <x:c r="A697" s="5">
        <x:v>2021</x:v>
      </x:c>
      <x:c r="B697" s="15" t="s">
        <x:v>683</x:v>
      </x:c>
      <x:c r="C697" s="15" t="s">
        <x:v>684</x:v>
      </x:c>
      <x:c r="D697" s="15" t="s">
        <x:v>644</x:v>
      </x:c>
      <x:c r="E697" s="6">
        <x:v>25610</x:v>
      </x:c>
      <x:c r="F697" s="6">
        <x:v>365530</x:v>
      </x:c>
      <x:c r="G697" s="9">
        <x:v>7.0069999999999993E-2</x:v>
      </x:c>
    </x:row>
    <x:row r="698">
      <x:c r="A698" s="5">
        <x:v>2021</x:v>
      </x:c>
      <x:c r="B698" s="15" t="s">
        <x:v>675</x:v>
      </x:c>
      <x:c r="C698" s="15" t="s">
        <x:v>676</x:v>
      </x:c>
      <x:c r="D698" s="15" t="s">
        <x:v>651</x:v>
      </x:c>
      <x:c r="E698" s="6">
        <x:v>25790</x:v>
      </x:c>
      <x:c r="F698" s="6">
        <x:v>365550</x:v>
      </x:c>
      <x:c r="G698" s="9">
        <x:v>7.0540000000000005E-2</x:v>
      </x:c>
    </x:row>
    <x:row r="699">
      <x:c r="A699" s="5">
        <x:v>2021</x:v>
      </x:c>
      <x:c r="B699" s="15" t="s">
        <x:v>655</x:v>
      </x:c>
      <x:c r="C699" s="15" t="s">
        <x:v>42</x:v>
      </x:c>
      <x:c r="D699" s="15" t="s">
        <x:v>640</x:v>
      </x:c>
      <x:c r="E699" s="6">
        <x:v>25340</x:v>
      </x:c>
      <x:c r="F699" s="6">
        <x:v>333050</x:v>
      </x:c>
      <x:c r="G699" s="9">
        <x:v>7.6090000000000005E-2</x:v>
      </x:c>
    </x:row>
    <x:row r="700">
      <x:c r="A700" s="5">
        <x:v>2021</x:v>
      </x:c>
      <x:c r="B700" s="15" t="s">
        <x:v>712</x:v>
      </x:c>
      <x:c r="C700" s="15" t="s">
        <x:v>713</x:v>
      </x:c>
      <x:c r="D700" s="15" t="s">
        <x:v>640</x:v>
      </x:c>
      <x:c r="E700" s="6">
        <x:v>8890</x:v>
      </x:c>
      <x:c r="F700" s="6">
        <x:v>139030</x:v>
      </x:c>
      <x:c r="G700" s="9">
        <x:v>6.3969999999999999E-2</x:v>
      </x:c>
    </x:row>
    <x:row r="701">
      <x:c r="A701" s="5">
        <x:v>2021</x:v>
      </x:c>
      <x:c r="B701" s="15" t="s">
        <x:v>784</x:v>
      </x:c>
      <x:c r="C701" s="15" t="s">
        <x:v>785</x:v>
      </x:c>
      <x:c r="D701" s="15" t="s">
        <x:v>670</x:v>
      </x:c>
      <x:c r="E701" s="6">
        <x:v>72730</x:v>
      </x:c>
      <x:c r="F701" s="6">
        <x:v>1352340</x:v>
      </x:c>
      <x:c r="G701" s="9">
        <x:v>5.3780000000000001E-2</x:v>
      </x:c>
    </x:row>
    <x:row r="702">
      <x:c r="A702" s="5">
        <x:v>2021</x:v>
      </x:c>
      <x:c r="B702" s="15" t="s">
        <x:v>809</x:v>
      </x:c>
      <x:c r="C702" s="15" t="s">
        <x:v>810</x:v>
      </x:c>
      <x:c r="D702" s="15" t="s">
        <x:v>670</x:v>
      </x:c>
      <x:c r="E702" s="6">
        <x:v>76290</x:v>
      </x:c>
      <x:c r="F702" s="6">
        <x:v>1663870</x:v>
      </x:c>
      <x:c r="G702" s="9">
        <x:v>4.5850000000000002E-2</x:v>
      </x:c>
    </x:row>
    <x:row r="703">
      <x:c r="A703" s="5">
        <x:v>2021</x:v>
      </x:c>
      <x:c r="B703" s="15" t="s">
        <x:v>672</x:v>
      </x:c>
      <x:c r="C703" s="15" t="s">
        <x:v>673</x:v>
      </x:c>
      <x:c r="D703" s="15" t="s">
        <x:v>670</x:v>
      </x:c>
      <x:c r="E703" s="6">
        <x:v>116300</x:v>
      </x:c>
      <x:c r="F703" s="6">
        <x:v>1672840</x:v>
      </x:c>
      <x:c r="G703" s="9">
        <x:v>6.9519999999999998E-2</x:v>
      </x:c>
    </x:row>
    <x:row r="704">
      <x:c r="A704" s="5">
        <x:v>2021</x:v>
      </x:c>
      <x:c r="B704" s="15" t="s">
        <x:v>705</x:v>
      </x:c>
      <x:c r="C704" s="15" t="s">
        <x:v>780</x:v>
      </x:c>
      <x:c r="D704" s="15" t="s">
        <x:v>670</x:v>
      </x:c>
      <x:c r="E704" s="6">
        <x:v>78840</x:v>
      </x:c>
      <x:c r="F704" s="6">
        <x:v>1425570</x:v>
      </x:c>
      <x:c r="G704" s="9">
        <x:v>5.5309999999999998E-2</x:v>
      </x:c>
    </x:row>
    <x:row r="705">
      <x:c r="A705" s="5">
        <x:v>2021</x:v>
      </x:c>
      <x:c r="B705" s="15" t="s">
        <x:v>740</x:v>
      </x:c>
      <x:c r="C705" s="15" t="s">
        <x:v>741</x:v>
      </x:c>
      <x:c r="D705" s="15" t="s">
        <x:v>670</x:v>
      </x:c>
      <x:c r="E705" s="6">
        <x:v>79080</x:v>
      </x:c>
      <x:c r="F705" s="6">
        <x:v>1315510</x:v>
      </x:c>
      <x:c r="G705" s="9">
        <x:v>6.0110000000000004E-2</x:v>
      </x:c>
    </x:row>
    <x:row r="706">
      <x:c r="A706" s="5">
        <x:v>2021</x:v>
      </x:c>
      <x:c r="B706" s="15" t="s">
        <x:v>635</x:v>
      </x:c>
      <x:c r="C706" s="15" t="s">
        <x:v>10</x:v>
      </x:c>
      <x:c r="D706" s="15" t="s">
        <x:v>636</x:v>
      </x:c>
      <x:c r="E706" s="6">
        <x:v>43990</x:v>
      </x:c>
      <x:c r="F706" s="6">
        <x:v>393330</x:v>
      </x:c>
      <x:c r="G706" s="9">
        <x:v>0.11183999999999999</x:v>
      </x:c>
    </x:row>
    <x:row r="707">
      <x:c r="A707" s="5">
        <x:v>2021</x:v>
      </x:c>
      <x:c r="B707" s="15" t="s">
        <x:v>637</x:v>
      </x:c>
      <x:c r="C707" s="15" t="s">
        <x:v>14</x:v>
      </x:c>
      <x:c r="D707" s="15" t="s">
        <x:v>638</x:v>
      </x:c>
      <x:c r="E707" s="6">
        <x:v>38340</x:v>
      </x:c>
      <x:c r="F707" s="6">
        <x:v>368880</x:v>
      </x:c>
      <x:c r="G707" s="9">
        <x:v>0.10394</x:v>
      </x:c>
    </x:row>
    <x:row r="708">
      <x:c r="A708" s="5">
        <x:v>2021</x:v>
      </x:c>
      <x:c r="B708" s="15" t="s">
        <x:v>749</x:v>
      </x:c>
      <x:c r="C708" s="15" t="s">
        <x:v>67</x:v>
      </x:c>
      <x:c r="D708" s="15" t="s">
        <x:v>648</x:v>
      </x:c>
      <x:c r="E708" s="6">
        <x:v>12310</x:v>
      </x:c>
      <x:c r="F708" s="6">
        <x:v>203780</x:v>
      </x:c>
      <x:c r="G708" s="9">
        <x:v>6.0380000000000003E-2</x:v>
      </x:c>
    </x:row>
    <x:row r="709">
      <x:c r="A709" s="5">
        <x:v>2021</x:v>
      </x:c>
      <x:c r="B709" s="15" t="s">
        <x:v>641</x:v>
      </x:c>
      <x:c r="C709" s="15" t="s">
        <x:v>20</x:v>
      </x:c>
      <x:c r="D709" s="15" t="s">
        <x:v>642</x:v>
      </x:c>
      <x:c r="E709" s="6">
        <x:v>82710</x:v>
      </x:c>
      <x:c r="F709" s="6">
        <x:v>942450</x:v>
      </x:c>
      <x:c r="G709" s="9">
        <x:v>8.7760000000000005E-2</x:v>
      </x:c>
    </x:row>
    <x:row r="710">
      <x:c r="A710" s="5">
        <x:v>2021</x:v>
      </x:c>
      <x:c r="B710" s="15" t="s">
        <x:v>783</x:v>
      </x:c>
      <x:c r="C710" s="15" t="s">
        <x:v>75</x:v>
      </x:c>
      <x:c r="D710" s="15" t="s">
        <x:v>774</x:v>
      </x:c>
      <x:c r="E710" s="6">
        <x:v>6440</x:v>
      </x:c>
      <x:c r="F710" s="6">
        <x:v>119200</x:v>
      </x:c>
      <x:c r="G710" s="9">
        <x:v>5.4000000000000006E-2</x:v>
      </x:c>
    </x:row>
    <x:row r="711">
      <x:c r="A711" s="5">
        <x:v>2022</x:v>
      </x:c>
      <x:c r="B711" s="15" t="s">
        <x:v>636</x:v>
      </x:c>
      <x:c r="C711" s="15" t="s">
        <x:v>786</x:v>
      </x:c>
      <x:c r="D711" s="15" t="s">
        <x:v>649</x:v>
      </x:c>
      <x:c r="E711" s="6">
        <x:v>35820</x:v>
      </x:c>
      <x:c r="F711" s="6">
        <x:v>644930</x:v>
      </x:c>
      <x:c r="G711" s="9">
        <x:v>5.5549999999999995E-2</x:v>
      </x:c>
    </x:row>
    <x:row r="712">
      <x:c r="A712" s="5">
        <x:v>2022</x:v>
      </x:c>
      <x:c r="B712" s="15" t="s">
        <x:v>638</x:v>
      </x:c>
      <x:c r="C712" s="15" t="s">
        <x:v>50</x:v>
      </x:c>
      <x:c r="D712" s="15" t="s">
        <x:v>647</x:v>
      </x:c>
      <x:c r="E712" s="6">
        <x:v>42320</x:v>
      </x:c>
      <x:c r="F712" s="6">
        <x:v>527010</x:v>
      </x:c>
      <x:c r="G712" s="9">
        <x:v>8.0310000000000006E-2</x:v>
      </x:c>
    </x:row>
    <x:row r="713">
      <x:c r="A713" s="5">
        <x:v>2022</x:v>
      </x:c>
      <x:c r="B713" s="15" t="s">
        <x:v>648</x:v>
      </x:c>
      <x:c r="C713" s="15" t="s">
        <x:v>46</x:v>
      </x:c>
      <x:c r="D713" s="15" t="s">
        <x:v>649</x:v>
      </x:c>
      <x:c r="E713" s="6">
        <x:v>27070</x:v>
      </x:c>
      <x:c r="F713" s="6">
        <x:v>334790</x:v>
      </x:c>
      <x:c r="G713" s="9">
        <x:v>8.0860000000000001E-2</x:v>
      </x:c>
    </x:row>
    <x:row r="714">
      <x:c r="A714" s="5">
        <x:v>2022</x:v>
      </x:c>
      <x:c r="B714" s="15" t="s">
        <x:v>642</x:v>
      </x:c>
      <x:c r="C714" s="15" t="s">
        <x:v>748</x:v>
      </x:c>
      <x:c r="D714" s="15" t="s">
        <x:v>672</x:v>
      </x:c>
      <x:c r="E714" s="6">
        <x:v>10730</x:v>
      </x:c>
      <x:c r="F714" s="6">
        <x:v>169830</x:v>
      </x:c>
      <x:c r="G714" s="9">
        <x:v>6.3189999999999996E-2</x:v>
      </x:c>
    </x:row>
    <x:row r="715">
      <x:c r="A715" s="5">
        <x:v>2022</x:v>
      </x:c>
      <x:c r="B715" s="15" t="s">
        <x:v>800</x:v>
      </x:c>
      <x:c r="C715" s="15" t="s">
        <x:v>801</x:v>
      </x:c>
      <x:c r="D715" s="15" t="s">
        <x:v>672</x:v>
      </x:c>
      <x:c r="E715" s="6">
        <x:v>7640</x:v>
      </x:c>
      <x:c r="F715" s="6">
        <x:v>146810</x:v>
      </x:c>
      <x:c r="G715" s="9">
        <x:v>5.2019999999999997E-2</x:v>
      </x:c>
    </x:row>
    <x:row r="716">
      <x:c r="A716" s="5">
        <x:v>2022</x:v>
      </x:c>
      <x:c r="B716" s="15" t="s">
        <x:v>774</x:v>
      </x:c>
      <x:c r="C716" s="15" t="s">
        <x:v>775</x:v>
      </x:c>
      <x:c r="D716" s="15" t="s">
        <x:v>672</x:v>
      </x:c>
      <x:c r="E716" s="6">
        <x:v>69230</x:v>
      </x:c>
      <x:c r="F716" s="6">
        <x:v>1178230</x:v>
      </x:c>
      <x:c r="G716" s="9">
        <x:v>5.8760000000000007E-2</x:v>
      </x:c>
    </x:row>
    <x:row r="717">
      <x:c r="A717" s="5">
        <x:v>2022</x:v>
      </x:c>
      <x:c r="B717" s="15" t="s">
        <x:v>742</x:v>
      </x:c>
      <x:c r="C717" s="15" t="s">
        <x:v>743</x:v>
      </x:c>
      <x:c r="D717" s="15" t="s">
        <x:v>649</x:v>
      </x:c>
      <x:c r="E717" s="6">
        <x:v>21340</x:v>
      </x:c>
      <x:c r="F717" s="6">
        <x:v>338110</x:v>
      </x:c>
      <x:c r="G717" s="9">
        <x:v>6.3129999999999992E-2</x:v>
      </x:c>
    </x:row>
    <x:row r="718">
      <x:c r="A718" s="5">
        <x:v>2022</x:v>
      </x:c>
      <x:c r="B718" s="15" t="s">
        <x:v>653</x:v>
      </x:c>
      <x:c r="C718" s="15" t="s">
        <x:v>97</x:v>
      </x:c>
      <x:c r="D718" s="15" t="s">
        <x:v>651</x:v>
      </x:c>
      <x:c r="E718" s="6">
        <x:v>21100</x:v>
      </x:c>
      <x:c r="F718" s="6">
        <x:v>264630</x:v>
      </x:c>
      <x:c r="G718" s="9">
        <x:v>7.9729999999999995E-2</x:v>
      </x:c>
    </x:row>
    <x:row r="719">
      <x:c r="A719" s="5">
        <x:v>2022</x:v>
      </x:c>
      <x:c r="B719" s="15" t="s">
        <x:v>717</x:v>
      </x:c>
      <x:c r="C719" s="15" t="s">
        <x:v>718</x:v>
      </x:c>
      <x:c r="D719" s="15" t="s">
        <x:v>671</x:v>
      </x:c>
      <x:c r="E719" s="6">
        <x:v>10300</x:v>
      </x:c>
      <x:c r="F719" s="6">
        <x:v>155920</x:v>
      </x:c>
      <x:c r="G719" s="9">
        <x:v>6.6070000000000004E-2</x:v>
      </x:c>
    </x:row>
    <x:row r="720">
      <x:c r="A720" s="5">
        <x:v>2022</x:v>
      </x:c>
      <x:c r="B720" s="15" t="s">
        <x:v>668</x:v>
      </x:c>
      <x:c r="C720" s="15" t="s">
        <x:v>669</x:v>
      </x:c>
      <x:c r="D720" s="15" t="s">
        <x:v>651</x:v>
      </x:c>
      <x:c r="E720" s="6">
        <x:v>22200</x:v>
      </x:c>
      <x:c r="F720" s="6">
        <x:v>304290</x:v>
      </x:c>
      <x:c r="G720" s="9">
        <x:v>7.2959999999999997E-2</x:v>
      </x:c>
    </x:row>
    <x:row r="721">
      <x:c r="A721" s="5">
        <x:v>2022</x:v>
      </x:c>
      <x:c r="B721" s="15" t="s">
        <x:v>670</x:v>
      </x:c>
      <x:c r="C721" s="15" t="s">
        <x:v>89</x:v>
      </x:c>
      <x:c r="D721" s="15" t="s">
        <x:v>671</x:v>
      </x:c>
      <x:c r="E721" s="6">
        <x:v>28470</x:v>
      </x:c>
      <x:c r="F721" s="6">
        <x:v>387350</x:v>
      </x:c>
      <x:c r="G721" s="9">
        <x:v>7.3510000000000006E-2</x:v>
      </x:c>
    </x:row>
    <x:row r="722">
      <x:c r="A722" s="5">
        <x:v>2022</x:v>
      </x:c>
      <x:c r="B722" s="15" t="s">
        <x:v>768</x:v>
      </x:c>
      <x:c r="C722" s="15" t="s">
        <x:v>769</x:v>
      </x:c>
      <x:c r="D722" s="15" t="s">
        <x:v>671</x:v>
      </x:c>
      <x:c r="E722" s="6">
        <x:v>17020</x:v>
      </x:c>
      <x:c r="F722" s="6">
        <x:v>279950</x:v>
      </x:c>
      <x:c r="G722" s="9">
        <x:v>6.0789999999999997E-2</x:v>
      </x:c>
    </x:row>
    <x:row r="723">
      <x:c r="A723" s="5">
        <x:v>2022</x:v>
      </x:c>
      <x:c r="B723" s="15" t="s">
        <x:v>744</x:v>
      </x:c>
      <x:c r="C723" s="15" t="s">
        <x:v>745</x:v>
      </x:c>
      <x:c r="D723" s="15" t="s">
        <x:v>672</x:v>
      </x:c>
      <x:c r="E723" s="6">
        <x:v>137930</x:v>
      </x:c>
      <x:c r="F723" s="6">
        <x:v>2183160</x:v>
      </x:c>
      <x:c r="G723" s="9">
        <x:v>6.318E-2</x:v>
      </x:c>
    </x:row>
    <x:row r="724">
      <x:c r="A724" s="5">
        <x:v>2022</x:v>
      </x:c>
      <x:c r="B724" s="15" t="s">
        <x:v>772</x:v>
      </x:c>
      <x:c r="C724" s="15" t="s">
        <x:v>773</x:v>
      </x:c>
      <x:c r="D724" s="15" t="s">
        <x:v>689</x:v>
      </x:c>
      <x:c r="E724" s="6">
        <x:v>41970</x:v>
      </x:c>
      <x:c r="F724" s="6">
        <x:v>709850</x:v>
      </x:c>
      <x:c r="G724" s="9">
        <x:v>5.9119999999999999E-2</x:v>
      </x:c>
    </x:row>
    <x:row r="725">
      <x:c r="A725" s="5">
        <x:v>2022</x:v>
      </x:c>
      <x:c r="B725" s="15" t="s">
        <x:v>692</x:v>
      </x:c>
      <x:c r="C725" s="15" t="s">
        <x:v>693</x:v>
      </x:c>
      <x:c r="D725" s="15" t="s">
        <x:v>649</x:v>
      </x:c>
      <x:c r="E725" s="6">
        <x:v>9870</x:v>
      </x:c>
      <x:c r="F725" s="6">
        <x:v>142310</x:v>
      </x:c>
      <x:c r="G725" s="9">
        <x:v>6.9330000000000003E-2</x:v>
      </x:c>
    </x:row>
    <x:row r="726">
      <x:c r="A726" s="5">
        <x:v>2022</x:v>
      </x:c>
      <x:c r="B726" s="15" t="s">
        <x:v>701</x:v>
      </x:c>
      <x:c r="C726" s="15" t="s">
        <x:v>702</x:v>
      </x:c>
      <x:c r="D726" s="15" t="s">
        <x:v>644</x:v>
      </x:c>
      <x:c r="E726" s="6">
        <x:v>23870</x:v>
      </x:c>
      <x:c r="F726" s="6">
        <x:v>353230</x:v>
      </x:c>
      <x:c r="G726" s="9">
        <x:v>6.7589999999999997E-2</x:v>
      </x:c>
    </x:row>
    <x:row r="727">
      <x:c r="A727" s="5">
        <x:v>2022</x:v>
      </x:c>
      <x:c r="B727" s="15" t="s">
        <x:v>727</x:v>
      </x:c>
      <x:c r="C727" s="15" t="s">
        <x:v>728</x:v>
      </x:c>
      <x:c r="D727" s="15" t="s">
        <x:v>644</x:v>
      </x:c>
      <x:c r="E727" s="6">
        <x:v>45030</x:v>
      </x:c>
      <x:c r="F727" s="6">
        <x:v>697910</x:v>
      </x:c>
      <x:c r="G727" s="9">
        <x:v>6.4519999999999994E-2</x:v>
      </x:c>
    </x:row>
    <x:row r="728">
      <x:c r="A728" s="5">
        <x:v>2022</x:v>
      </x:c>
      <x:c r="B728" s="15" t="s">
        <x:v>654</x:v>
      </x:c>
      <x:c r="C728" s="15" t="s">
        <x:v>86</x:v>
      </x:c>
      <x:c r="D728" s="15" t="s">
        <x:v>646</x:v>
      </x:c>
      <x:c r="E728" s="6">
        <x:v>23430</x:v>
      </x:c>
      <x:c r="F728" s="6">
        <x:v>300370</x:v>
      </x:c>
      <x:c r="G728" s="9">
        <x:v>7.8019999999999992E-2</x:v>
      </x:c>
    </x:row>
    <x:row r="729">
      <x:c r="A729" s="5">
        <x:v>2022</x:v>
      </x:c>
      <x:c r="B729" s="15" t="s">
        <x:v>681</x:v>
      </x:c>
      <x:c r="C729" s="15" t="s">
        <x:v>682</x:v>
      </x:c>
      <x:c r="D729" s="15" t="s">
        <x:v>644</x:v>
      </x:c>
      <x:c r="E729" s="6">
        <x:v>17100</x:v>
      </x:c>
      <x:c r="F729" s="6">
        <x:v>240190</x:v>
      </x:c>
      <x:c r="G729" s="9">
        <x:v>7.1199999999999999E-2</x:v>
      </x:c>
    </x:row>
    <x:row r="730">
      <x:c r="A730" s="5">
        <x:v>2022</x:v>
      </x:c>
      <x:c r="B730" s="15" t="s">
        <x:v>746</x:v>
      </x:c>
      <x:c r="C730" s="15" t="s">
        <x:v>747</x:v>
      </x:c>
      <x:c r="D730" s="15" t="s">
        <x:v>640</x:v>
      </x:c>
      <x:c r="E730" s="6">
        <x:v>32940</x:v>
      </x:c>
      <x:c r="F730" s="6">
        <x:v>527190</x:v>
      </x:c>
      <x:c r="G730" s="9">
        <x:v>6.2480000000000001E-2</x:v>
      </x:c>
    </x:row>
    <x:row r="731">
      <x:c r="A731" s="5">
        <x:v>2022</x:v>
      </x:c>
      <x:c r="B731" s="15" t="s">
        <x:v>797</x:v>
      </x:c>
      <x:c r="C731" s="15" t="s">
        <x:v>798</x:v>
      </x:c>
      <x:c r="D731" s="15" t="s">
        <x:v>799</x:v>
      </x:c>
      <x:c r="E731" s="6">
        <x:v>31920</x:v>
      </x:c>
      <x:c r="F731" s="6">
        <x:v>625160</x:v>
      </x:c>
      <x:c r="G731" s="9">
        <x:v>5.1060000000000001E-2</x:v>
      </x:c>
    </x:row>
    <x:row r="732">
      <x:c r="A732" s="5">
        <x:v>2022</x:v>
      </x:c>
      <x:c r="B732" s="15" t="s">
        <x:v>643</x:v>
      </x:c>
      <x:c r="C732" s="15" t="s">
        <x:v>30</x:v>
      </x:c>
      <x:c r="D732" s="15" t="s">
        <x:v>644</x:v>
      </x:c>
      <x:c r="E732" s="6">
        <x:v>9730</x:v>
      </x:c>
      <x:c r="F732" s="6">
        <x:v>111960</x:v>
      </x:c>
      <x:c r="G732" s="9">
        <x:v>8.6929999999999993E-2</x:v>
      </x:c>
    </x:row>
    <x:row r="733">
      <x:c r="A733" s="5">
        <x:v>2022</x:v>
      </x:c>
      <x:c r="B733" s="15" t="s">
        <x:v>646</x:v>
      </x:c>
      <x:c r="C733" s="15" t="s">
        <x:v>674</x:v>
      </x:c>
      <x:c r="D733" s="15" t="s">
        <x:v>644</x:v>
      </x:c>
      <x:c r="E733" s="6">
        <x:v>30450</x:v>
      </x:c>
      <x:c r="F733" s="6">
        <x:v>418960</x:v>
      </x:c>
      <x:c r="G733" s="9">
        <x:v>7.2690000000000005E-2</x:v>
      </x:c>
    </x:row>
    <x:row r="734">
      <x:c r="A734" s="5">
        <x:v>2022</x:v>
      </x:c>
      <x:c r="B734" s="15" t="s">
        <x:v>766</x:v>
      </x:c>
      <x:c r="C734" s="15" t="s">
        <x:v>767</x:v>
      </x:c>
      <x:c r="D734" s="15" t="s">
        <x:v>640</x:v>
      </x:c>
      <x:c r="E734" s="6">
        <x:v>32810</x:v>
      </x:c>
      <x:c r="F734" s="6">
        <x:v>544740</x:v>
      </x:c>
      <x:c r="G734" s="9">
        <x:v>6.0220000000000003E-2</x:v>
      </x:c>
    </x:row>
    <x:row r="735">
      <x:c r="A735" s="5">
        <x:v>2022</x:v>
      </x:c>
      <x:c r="B735" s="15" t="s">
        <x:v>764</x:v>
      </x:c>
      <x:c r="C735" s="15" t="s">
        <x:v>765</x:v>
      </x:c>
      <x:c r="D735" s="15" t="s">
        <x:v>649</x:v>
      </x:c>
      <x:c r="E735" s="6">
        <x:v>32890</x:v>
      </x:c>
      <x:c r="F735" s="6">
        <x:v>540790</x:v>
      </x:c>
      <x:c r="G735" s="9">
        <x:v>6.0819999999999999E-2</x:v>
      </x:c>
    </x:row>
    <x:row r="736">
      <x:c r="A736" s="5">
        <x:v>2022</x:v>
      </x:c>
      <x:c r="B736" s="15" t="s">
        <x:v>640</x:v>
      </x:c>
      <x:c r="C736" s="15" t="s">
        <x:v>724</x:v>
      </x:c>
      <x:c r="D736" s="15" t="s">
        <x:v>689</x:v>
      </x:c>
      <x:c r="E736" s="6">
        <x:v>39340</x:v>
      </x:c>
      <x:c r="F736" s="6">
        <x:v>610000</x:v>
      </x:c>
      <x:c r="G736" s="9">
        <x:v>6.4489999999999992E-2</x:v>
      </x:c>
    </x:row>
    <x:row r="737">
      <x:c r="A737" s="5">
        <x:v>2022</x:v>
      </x:c>
      <x:c r="B737" s="15" t="s">
        <x:v>689</x:v>
      </x:c>
      <x:c r="C737" s="15" t="s">
        <x:v>694</x:v>
      </x:c>
      <x:c r="D737" s="15" t="s">
        <x:v>646</x:v>
      </x:c>
      <x:c r="E737" s="6">
        <x:v>29410</x:v>
      </x:c>
      <x:c r="F737" s="6">
        <x:v>435910</x:v>
      </x:c>
      <x:c r="G737" s="9">
        <x:v>6.7460000000000006E-2</x:v>
      </x:c>
    </x:row>
    <x:row r="738">
      <x:c r="A738" s="5">
        <x:v>2022</x:v>
      </x:c>
      <x:c r="B738" s="15" t="s">
        <x:v>811</x:v>
      </x:c>
      <x:c r="C738" s="15" t="s">
        <x:v>812</x:v>
      </x:c>
      <x:c r="D738" s="15" t="s">
        <x:v>799</x:v>
      </x:c>
      <x:c r="E738" s="6">
        <x:v>44790</x:v>
      </x:c>
      <x:c r="F738" s="6">
        <x:v>945090</x:v>
      </x:c>
      <x:c r="G738" s="9">
        <x:v>4.7390000000000002E-2</x:v>
      </x:c>
    </x:row>
    <x:row r="739">
      <x:c r="A739" s="5">
        <x:v>2022</x:v>
      </x:c>
      <x:c r="B739" s="15" t="s">
        <x:v>719</x:v>
      </x:c>
      <x:c r="C739" s="15" t="s">
        <x:v>720</x:v>
      </x:c>
      <x:c r="D739" s="15" t="s">
        <x:v>705</x:v>
      </x:c>
      <x:c r="E739" s="6">
        <x:v>9770</x:v>
      </x:c>
      <x:c r="F739" s="6">
        <x:v>151940</x:v>
      </x:c>
      <x:c r="G739" s="9">
        <x:v>6.4320000000000002E-2</x:v>
      </x:c>
    </x:row>
    <x:row r="740">
      <x:c r="A740" s="5">
        <x:v>2022</x:v>
      </x:c>
      <x:c r="B740" s="15" t="s">
        <x:v>703</x:v>
      </x:c>
      <x:c r="C740" s="15" t="s">
        <x:v>704</x:v>
      </x:c>
      <x:c r="D740" s="15" t="s">
        <x:v>705</x:v>
      </x:c>
      <x:c r="E740" s="6">
        <x:v>11220</x:v>
      </x:c>
      <x:c r="F740" s="6">
        <x:v>167000</x:v>
      </x:c>
      <x:c r="G740" s="9">
        <x:v>6.719E-2</x:v>
      </x:c>
    </x:row>
    <x:row r="741">
      <x:c r="A741" s="5">
        <x:v>2022</x:v>
      </x:c>
      <x:c r="B741" s="15" t="s">
        <x:v>725</x:v>
      </x:c>
      <x:c r="C741" s="15" t="s">
        <x:v>726</x:v>
      </x:c>
      <x:c r="D741" s="15" t="s">
        <x:v>671</x:v>
      </x:c>
      <x:c r="E741" s="6">
        <x:v>51460</x:v>
      </x:c>
      <x:c r="F741" s="6">
        <x:v>794910</x:v>
      </x:c>
      <x:c r="G741" s="9">
        <x:v>6.4729999999999996E-2</x:v>
      </x:c>
    </x:row>
    <x:row r="742">
      <x:c r="A742" s="5">
        <x:v>2022</x:v>
      </x:c>
      <x:c r="B742" s="15" t="s">
        <x:v>813</x:v>
      </x:c>
      <x:c r="C742" s="15" t="s">
        <x:v>814</x:v>
      </x:c>
      <x:c r="D742" s="15" t="s">
        <x:v>671</x:v>
      </x:c>
      <x:c r="E742" s="6">
        <x:v>68440</x:v>
      </x:c>
      <x:c r="F742" s="6">
        <x:v>1444590</x:v>
      </x:c>
      <x:c r="G742" s="9">
        <x:v>4.7380000000000005E-2</x:v>
      </x:c>
    </x:row>
    <x:row r="743">
      <x:c r="A743" s="5">
        <x:v>2022</x:v>
      </x:c>
      <x:c r="B743" s="15" t="s">
        <x:v>647</x:v>
      </x:c>
      <x:c r="C743" s="15" t="s">
        <x:v>721</x:v>
      </x:c>
      <x:c r="D743" s="15" t="s">
        <x:v>671</x:v>
      </x:c>
      <x:c r="E743" s="6">
        <x:v>12700</x:v>
      </x:c>
      <x:c r="F743" s="6">
        <x:v>193820</x:v>
      </x:c>
      <x:c r="G743" s="9">
        <x:v>6.5519999999999995E-2</x:v>
      </x:c>
    </x:row>
    <x:row r="744">
      <x:c r="A744" s="5">
        <x:v>2022</x:v>
      </x:c>
      <x:c r="B744" s="15" t="s">
        <x:v>795</x:v>
      </x:c>
      <x:c r="C744" s="15" t="s">
        <x:v>796</x:v>
      </x:c>
      <x:c r="D744" s="15" t="s">
        <x:v>644</x:v>
      </x:c>
      <x:c r="E744" s="6">
        <x:v>90740</x:v>
      </x:c>
      <x:c r="F744" s="6">
        <x:v>1716660</x:v>
      </x:c>
      <x:c r="G744" s="9">
        <x:v>5.2859999999999997E-2</x:v>
      </x:c>
    </x:row>
    <x:row r="745">
      <x:c r="A745" s="5">
        <x:v>2022</x:v>
      </x:c>
      <x:c r="B745" s="15" t="s">
        <x:v>781</x:v>
      </x:c>
      <x:c r="C745" s="15" t="s">
        <x:v>782</x:v>
      </x:c>
      <x:c r="D745" s="15" t="s">
        <x:v>671</x:v>
      </x:c>
      <x:c r="E745" s="6">
        <x:v>73200</x:v>
      </x:c>
      <x:c r="F745" s="6">
        <x:v>1257610</x:v>
      </x:c>
      <x:c r="G745" s="9">
        <x:v>5.8209999999999998E-2</x:v>
      </x:c>
    </x:row>
    <x:row r="746">
      <x:c r="A746" s="5">
        <x:v>2022</x:v>
      </x:c>
      <x:c r="B746" s="15" t="s">
        <x:v>819</x:v>
      </x:c>
      <x:c r="C746" s="15" t="s">
        <x:v>820</x:v>
      </x:c>
      <x:c r="D746" s="15" t="s">
        <x:v>799</x:v>
      </x:c>
      <x:c r="E746" s="6">
        <x:v>42830</x:v>
      </x:c>
      <x:c r="F746" s="6">
        <x:v>1113330</x:v>
      </x:c>
      <x:c r="G746" s="9">
        <x:v>3.8469999999999997E-2</x:v>
      </x:c>
    </x:row>
    <x:row r="747">
      <x:c r="A747" s="5">
        <x:v>2022</x:v>
      </x:c>
      <x:c r="B747" s="15" t="s">
        <x:v>645</x:v>
      </x:c>
      <x:c r="C747" s="15" t="s">
        <x:v>34</x:v>
      </x:c>
      <x:c r="D747" s="15" t="s">
        <x:v>646</x:v>
      </x:c>
      <x:c r="E747" s="6">
        <x:v>17730</x:v>
      </x:c>
      <x:c r="F747" s="6">
        <x:v>215020</x:v>
      </x:c>
      <x:c r="G747" s="9">
        <x:v>8.2460000000000006E-2</x:v>
      </x:c>
    </x:row>
    <x:row r="748">
      <x:c r="A748" s="5">
        <x:v>2022</x:v>
      </x:c>
      <x:c r="B748" s="15" t="s">
        <x:v>778</x:v>
      </x:c>
      <x:c r="C748" s="15" t="s">
        <x:v>779</x:v>
      </x:c>
      <x:c r="D748" s="15" t="s">
        <x:v>646</x:v>
      </x:c>
      <x:c r="E748" s="6">
        <x:v>36320</x:v>
      </x:c>
      <x:c r="F748" s="6">
        <x:v>625700</x:v>
      </x:c>
      <x:c r="G748" s="9">
        <x:v>5.8049999999999997E-2</x:v>
      </x:c>
    </x:row>
    <x:row r="749">
      <x:c r="A749" s="5">
        <x:v>2022</x:v>
      </x:c>
      <x:c r="B749" s="15" t="s">
        <x:v>787</x:v>
      </x:c>
      <x:c r="C749" s="15" t="s">
        <x:v>788</x:v>
      </x:c>
      <x:c r="D749" s="15" t="s">
        <x:v>649</x:v>
      </x:c>
      <x:c r="E749" s="6">
        <x:v>73500</x:v>
      </x:c>
      <x:c r="F749" s="6">
        <x:v>1326280</x:v>
      </x:c>
      <x:c r="G749" s="9">
        <x:v>5.5419999999999997E-2</x:v>
      </x:c>
    </x:row>
    <x:row r="750">
      <x:c r="A750" s="5">
        <x:v>2022</x:v>
      </x:c>
      <x:c r="B750" s="15" t="s">
        <x:v>729</x:v>
      </x:c>
      <x:c r="C750" s="15" t="s">
        <x:v>730</x:v>
      </x:c>
      <x:c r="D750" s="15" t="s">
        <x:v>640</x:v>
      </x:c>
      <x:c r="E750" s="6">
        <x:v>16670</x:v>
      </x:c>
      <x:c r="F750" s="6">
        <x:v>261070</x:v>
      </x:c>
      <x:c r="G750" s="9">
        <x:v>6.3840000000000008E-2</x:v>
      </x:c>
    </x:row>
    <x:row r="751">
      <x:c r="A751" s="5">
        <x:v>2022</x:v>
      </x:c>
      <x:c r="B751" s="15" t="s">
        <x:v>738</x:v>
      </x:c>
      <x:c r="C751" s="15" t="s">
        <x:v>739</x:v>
      </x:c>
      <x:c r="D751" s="15" t="s">
        <x:v>644</x:v>
      </x:c>
      <x:c r="E751" s="6">
        <x:v>28880</x:v>
      </x:c>
      <x:c r="F751" s="6">
        <x:v>450300</x:v>
      </x:c>
      <x:c r="G751" s="9">
        <x:v>6.4140000000000003E-2</x:v>
      </x:c>
    </x:row>
    <x:row r="752">
      <x:c r="A752" s="5">
        <x:v>2022</x:v>
      </x:c>
      <x:c r="B752" s="15" t="s">
        <x:v>666</x:v>
      </x:c>
      <x:c r="C752" s="15" t="s">
        <x:v>667</x:v>
      </x:c>
      <x:c r="D752" s="15" t="s">
        <x:v>646</x:v>
      </x:c>
      <x:c r="E752" s="6">
        <x:v>24900</x:v>
      </x:c>
      <x:c r="F752" s="6">
        <x:v>334790</x:v>
      </x:c>
      <x:c r="G752" s="9">
        <x:v>7.4359999999999996E-2</x:v>
      </x:c>
    </x:row>
    <x:row r="753">
      <x:c r="A753" s="5">
        <x:v>2022</x:v>
      </x:c>
      <x:c r="B753" s="15" t="s">
        <x:v>722</x:v>
      </x:c>
      <x:c r="C753" s="15" t="s">
        <x:v>723</x:v>
      </x:c>
      <x:c r="D753" s="15" t="s">
        <x:v>649</x:v>
      </x:c>
      <x:c r="E753" s="6">
        <x:v>50810</x:v>
      </x:c>
      <x:c r="F753" s="6">
        <x:v>779570</x:v>
      </x:c>
      <x:c r="G753" s="9">
        <x:v>6.5170000000000006E-2</x:v>
      </x:c>
    </x:row>
    <x:row r="754">
      <x:c r="A754" s="5">
        <x:v>2022</x:v>
      </x:c>
      <x:c r="B754" s="15" t="s">
        <x:v>736</x:v>
      </x:c>
      <x:c r="C754" s="15" t="s">
        <x:v>737</x:v>
      </x:c>
      <x:c r="D754" s="15" t="s">
        <x:v>649</x:v>
      </x:c>
      <x:c r="E754" s="6">
        <x:v>14760</x:v>
      </x:c>
      <x:c r="F754" s="6">
        <x:v>230520</x:v>
      </x:c>
      <x:c r="G754" s="9">
        <x:v>6.404E-2</x:v>
      </x:c>
    </x:row>
    <x:row r="755">
      <x:c r="A755" s="5">
        <x:v>2022</x:v>
      </x:c>
      <x:c r="B755" s="15" t="s">
        <x:v>651</x:v>
      </x:c>
      <x:c r="C755" s="15" t="s">
        <x:v>816</x:v>
      </x:c>
      <x:c r="D755" s="15" t="s">
        <x:v>652</x:v>
      </x:c>
      <x:c r="E755" s="6">
        <x:v>66770</x:v>
      </x:c>
      <x:c r="F755" s="6">
        <x:v>1505500</x:v>
      </x:c>
      <x:c r="G755" s="9">
        <x:v>4.4349999999999994E-2</x:v>
      </x:c>
    </x:row>
    <x:row r="756">
      <x:c r="A756" s="5">
        <x:v>2022</x:v>
      </x:c>
      <x:c r="B756" s="15" t="s">
        <x:v>697</x:v>
      </x:c>
      <x:c r="C756" s="15" t="s">
        <x:v>698</x:v>
      </x:c>
      <x:c r="D756" s="15" t="s">
        <x:v>646</x:v>
      </x:c>
      <x:c r="E756" s="6">
        <x:v>46870</x:v>
      </x:c>
      <x:c r="F756" s="6">
        <x:v>693770</x:v>
      </x:c>
      <x:c r="G756" s="9">
        <x:v>6.7560000000000009E-2</x:v>
      </x:c>
    </x:row>
    <x:row r="757">
      <x:c r="A757" s="5">
        <x:v>2022</x:v>
      </x:c>
      <x:c r="B757" s="15" t="s">
        <x:v>706</x:v>
      </x:c>
      <x:c r="C757" s="15" t="s">
        <x:v>707</x:v>
      </x:c>
      <x:c r="D757" s="15" t="s">
        <x:v>671</x:v>
      </x:c>
      <x:c r="E757" s="6">
        <x:v>11930</x:v>
      </x:c>
      <x:c r="F757" s="6">
        <x:v>175580</x:v>
      </x:c>
      <x:c r="G757" s="9">
        <x:v>6.794E-2</x:v>
      </x:c>
    </x:row>
    <x:row r="758">
      <x:c r="A758" s="5">
        <x:v>2022</x:v>
      </x:c>
      <x:c r="B758" s="15" t="s">
        <x:v>710</x:v>
      </x:c>
      <x:c r="C758" s="15" t="s">
        <x:v>711</x:v>
      </x:c>
      <x:c r="D758" s="15" t="s">
        <x:v>644</x:v>
      </x:c>
      <x:c r="E758" s="6">
        <x:v>22610</x:v>
      </x:c>
      <x:c r="F758" s="6">
        <x:v>339390</x:v>
      </x:c>
      <x:c r="G758" s="9">
        <x:v>6.6600000000000006E-2</x:v>
      </x:c>
    </x:row>
    <x:row r="759">
      <x:c r="A759" s="5">
        <x:v>2022</x:v>
      </x:c>
      <x:c r="B759" s="15" t="s">
        <x:v>776</x:v>
      </x:c>
      <x:c r="C759" s="15" t="s">
        <x:v>777</x:v>
      </x:c>
      <x:c r="D759" s="15" t="s">
        <x:v>671</x:v>
      </x:c>
      <x:c r="E759" s="6">
        <x:v>4350</x:v>
      </x:c>
      <x:c r="F759" s="6">
        <x:v>74000</x:v>
      </x:c>
      <x:c r="G759" s="9">
        <x:v>5.8779999999999999E-2</x:v>
      </x:c>
    </x:row>
    <x:row r="760">
      <x:c r="A760" s="5">
        <x:v>2022</x:v>
      </x:c>
      <x:c r="B760" s="15" t="s">
        <x:v>793</x:v>
      </x:c>
      <x:c r="C760" s="15" t="s">
        <x:v>794</x:v>
      </x:c>
      <x:c r="D760" s="15" t="s">
        <x:v>652</x:v>
      </x:c>
      <x:c r="E760" s="6">
        <x:v>43780</x:v>
      </x:c>
      <x:c r="F760" s="6">
        <x:v>838760</x:v>
      </x:c>
      <x:c r="G760" s="9">
        <x:v>5.2199999999999996E-2</x:v>
      </x:c>
    </x:row>
    <x:row r="761">
      <x:c r="A761" s="5">
        <x:v>2022</x:v>
      </x:c>
      <x:c r="B761" s="15" t="s">
        <x:v>770</x:v>
      </x:c>
      <x:c r="C761" s="15" t="s">
        <x:v>771</x:v>
      </x:c>
      <x:c r="D761" s="15" t="s">
        <x:v>689</x:v>
      </x:c>
      <x:c r="E761" s="6">
        <x:v>30230</x:v>
      </x:c>
      <x:c r="F761" s="6">
        <x:v>504160</x:v>
      </x:c>
      <x:c r="G761" s="9">
        <x:v>5.9950000000000003E-2</x:v>
      </x:c>
    </x:row>
    <x:row r="762">
      <x:c r="A762" s="5">
        <x:v>2022</x:v>
      </x:c>
      <x:c r="B762" s="15" t="s">
        <x:v>679</x:v>
      </x:c>
      <x:c r="C762" s="15" t="s">
        <x:v>680</x:v>
      </x:c>
      <x:c r="D762" s="15" t="s">
        <x:v>651</x:v>
      </x:c>
      <x:c r="E762" s="6">
        <x:v>39840</x:v>
      </x:c>
      <x:c r="F762" s="6">
        <x:v>562450</x:v>
      </x:c>
      <x:c r="G762" s="9">
        <x:v>7.084E-2</x:v>
      </x:c>
    </x:row>
    <x:row r="763">
      <x:c r="A763" s="5">
        <x:v>2022</x:v>
      </x:c>
      <x:c r="B763" s="15" t="s">
        <x:v>652</x:v>
      </x:c>
      <x:c r="C763" s="15" t="s">
        <x:v>182</x:v>
      </x:c>
      <x:c r="D763" s="15" t="s">
        <x:v>651</x:v>
      </x:c>
      <x:c r="E763" s="6">
        <x:v>13240</x:v>
      </x:c>
      <x:c r="F763" s="6">
        <x:v>168360</x:v>
      </x:c>
      <x:c r="G763" s="9">
        <x:v>7.8659999999999994E-2</x:v>
      </x:c>
    </x:row>
    <x:row r="764">
      <x:c r="A764" s="5">
        <x:v>2022</x:v>
      </x:c>
      <x:c r="B764" s="15" t="s">
        <x:v>799</x:v>
      </x:c>
      <x:c r="C764" s="15" t="s">
        <x:v>804</x:v>
      </x:c>
      <x:c r="D764" s="15" t="s">
        <x:v>652</x:v>
      </x:c>
      <x:c r="E764" s="6">
        <x:v>15230</x:v>
      </x:c>
      <x:c r="F764" s="6">
        <x:v>307700</x:v>
      </x:c>
      <x:c r="G764" s="9">
        <x:v>4.9500000000000002E-2</x:v>
      </x:c>
    </x:row>
    <x:row r="765">
      <x:c r="A765" s="5">
        <x:v>2022</x:v>
      </x:c>
      <x:c r="B765" s="15" t="s">
        <x:v>685</x:v>
      </x:c>
      <x:c r="C765" s="15" t="s">
        <x:v>686</x:v>
      </x:c>
      <x:c r="D765" s="15" t="s">
        <x:v>651</x:v>
      </x:c>
      <x:c r="E765" s="6">
        <x:v>47700</x:v>
      </x:c>
      <x:c r="F765" s="6">
        <x:v>677510</x:v>
      </x:c>
      <x:c r="G765" s="9">
        <x:v>7.0400000000000004E-2</x:v>
      </x:c>
    </x:row>
    <x:row r="766">
      <x:c r="A766" s="5">
        <x:v>2022</x:v>
      </x:c>
      <x:c r="B766" s="15" t="s">
        <x:v>656</x:v>
      </x:c>
      <x:c r="C766" s="15" t="s">
        <x:v>657</x:v>
      </x:c>
      <x:c r="D766" s="15" t="s">
        <x:v>651</x:v>
      </x:c>
      <x:c r="E766" s="6">
        <x:v>13360</x:v>
      </x:c>
      <x:c r="F766" s="6">
        <x:v>176380</x:v>
      </x:c>
      <x:c r="G766" s="9">
        <x:v>7.5730000000000006E-2</x:v>
      </x:c>
    </x:row>
    <x:row r="767">
      <x:c r="A767" s="5">
        <x:v>2022</x:v>
      </x:c>
      <x:c r="B767" s="15" t="s">
        <x:v>802</x:v>
      </x:c>
      <x:c r="C767" s="15" t="s">
        <x:v>803</x:v>
      </x:c>
      <x:c r="D767" s="15" t="s">
        <x:v>799</x:v>
      </x:c>
      <x:c r="E767" s="6">
        <x:v>40170</x:v>
      </x:c>
      <x:c r="F767" s="6">
        <x:v>802530</x:v>
      </x:c>
      <x:c r="G767" s="9">
        <x:v>5.0049999999999997E-2</x:v>
      </x:c>
    </x:row>
    <x:row r="768">
      <x:c r="A768" s="5">
        <x:v>2022</x:v>
      </x:c>
      <x:c r="B768" s="15" t="s">
        <x:v>650</x:v>
      </x:c>
      <x:c r="C768" s="15" t="s">
        <x:v>38</x:v>
      </x:c>
      <x:c r="D768" s="15" t="s">
        <x:v>651</x:v>
      </x:c>
      <x:c r="E768" s="6">
        <x:v>73790</x:v>
      </x:c>
      <x:c r="F768" s="6">
        <x:v>919900</x:v>
      </x:c>
      <x:c r="G768" s="9">
        <x:v>8.0210000000000004E-2</x:v>
      </x:c>
    </x:row>
    <x:row r="769">
      <x:c r="A769" s="5">
        <x:v>2022</x:v>
      </x:c>
      <x:c r="B769" s="15" t="s">
        <x:v>639</x:v>
      </x:c>
      <x:c r="C769" s="15" t="s">
        <x:v>19</x:v>
      </x:c>
      <x:c r="D769" s="15" t="s">
        <x:v>640</x:v>
      </x:c>
      <x:c r="E769" s="6">
        <x:v>18530</x:v>
      </x:c>
      <x:c r="F769" s="6">
        <x:v>198860</x:v>
      </x:c>
      <x:c r="G769" s="9">
        <x:v>9.3190000000000009E-2</x:v>
      </x:c>
    </x:row>
    <x:row r="770">
      <x:c r="A770" s="5">
        <x:v>2022</x:v>
      </x:c>
      <x:c r="B770" s="15" t="s">
        <x:v>690</x:v>
      </x:c>
      <x:c r="C770" s="15" t="s">
        <x:v>691</x:v>
      </x:c>
      <x:c r="D770" s="15" t="s">
        <x:v>647</x:v>
      </x:c>
      <x:c r="E770" s="6">
        <x:v>179230</x:v>
      </x:c>
      <x:c r="F770" s="6">
        <x:v>2591400</x:v>
      </x:c>
      <x:c r="G770" s="9">
        <x:v>6.9159999999999999E-2</x:v>
      </x:c>
    </x:row>
    <x:row r="771">
      <x:c r="A771" s="5">
        <x:v>2022</x:v>
      </x:c>
      <x:c r="B771" s="15" t="s">
        <x:v>708</x:v>
      </x:c>
      <x:c r="C771" s="15" t="s">
        <x:v>709</x:v>
      </x:c>
      <x:c r="D771" s="15" t="s">
        <x:v>647</x:v>
      </x:c>
      <x:c r="E771" s="6">
        <x:v>54890</x:v>
      </x:c>
      <x:c r="F771" s="6">
        <x:v>835670</x:v>
      </x:c>
      <x:c r="G771" s="9">
        <x:v>6.5680000000000002E-2</x:v>
      </x:c>
    </x:row>
    <x:row r="772">
      <x:c r="A772" s="5">
        <x:v>2022</x:v>
      </x:c>
      <x:c r="B772" s="15" t="s">
        <x:v>687</x:v>
      </x:c>
      <x:c r="C772" s="15" t="s">
        <x:v>688</x:v>
      </x:c>
      <x:c r="D772" s="15" t="s">
        <x:v>689</x:v>
      </x:c>
      <x:c r="E772" s="6">
        <x:v>19180</x:v>
      </x:c>
      <x:c r="F772" s="6">
        <x:v>273490</x:v>
      </x:c>
      <x:c r="G772" s="9">
        <x:v>7.0120000000000002E-2</x:v>
      </x:c>
    </x:row>
    <x:row r="773">
      <x:c r="A773" s="5">
        <x:v>2022</x:v>
      </x:c>
      <x:c r="B773" s="15" t="s">
        <x:v>658</x:v>
      </x:c>
      <x:c r="C773" s="15" t="s">
        <x:v>659</x:v>
      </x:c>
      <x:c r="D773" s="15" t="s">
        <x:v>647</x:v>
      </x:c>
      <x:c r="E773" s="6">
        <x:v>112580</x:v>
      </x:c>
      <x:c r="F773" s="6">
        <x:v>1477710</x:v>
      </x:c>
      <x:c r="G773" s="9">
        <x:v>7.6189999999999994E-2</x:v>
      </x:c>
    </x:row>
    <x:row r="774">
      <x:c r="A774" s="5">
        <x:v>2022</x:v>
      </x:c>
      <x:c r="B774" s="15" t="s">
        <x:v>760</x:v>
      </x:c>
      <x:c r="C774" s="15" t="s">
        <x:v>761</x:v>
      </x:c>
      <x:c r="D774" s="15" t="s">
        <x:v>649</x:v>
      </x:c>
      <x:c r="E774" s="6">
        <x:v>41000</x:v>
      </x:c>
      <x:c r="F774" s="6">
        <x:v>663530</x:v>
      </x:c>
      <x:c r="G774" s="9">
        <x:v>6.1790000000000005E-2</x:v>
      </x:c>
    </x:row>
    <x:row r="775">
      <x:c r="A775" s="5">
        <x:v>2022</x:v>
      </x:c>
      <x:c r="B775" s="15" t="s">
        <x:v>789</x:v>
      </x:c>
      <x:c r="C775" s="15" t="s">
        <x:v>790</x:v>
      </x:c>
      <x:c r="D775" s="15" t="s">
        <x:v>644</x:v>
      </x:c>
      <x:c r="E775" s="6">
        <x:v>39270</x:v>
      </x:c>
      <x:c r="F775" s="6">
        <x:v>711250</x:v>
      </x:c>
      <x:c r="G775" s="9">
        <x:v>5.5220000000000005E-2</x:v>
      </x:c>
    </x:row>
    <x:row r="776">
      <x:c r="A776" s="5">
        <x:v>2022</x:v>
      </x:c>
      <x:c r="B776" s="15" t="s">
        <x:v>734</x:v>
      </x:c>
      <x:c r="C776" s="15" t="s">
        <x:v>735</x:v>
      </x:c>
      <x:c r="D776" s="15" t="s">
        <x:v>671</x:v>
      </x:c>
      <x:c r="E776" s="6">
        <x:v>15080</x:v>
      </x:c>
      <x:c r="F776" s="6">
        <x:v>235240</x:v>
      </x:c>
      <x:c r="G776" s="9">
        <x:v>6.4119999999999996E-2</x:v>
      </x:c>
    </x:row>
    <x:row r="777">
      <x:c r="A777" s="5">
        <x:v>2022</x:v>
      </x:c>
      <x:c r="B777" s="15" t="s">
        <x:v>695</x:v>
      </x:c>
      <x:c r="C777" s="15" t="s">
        <x:v>696</x:v>
      </x:c>
      <x:c r="D777" s="15" t="s">
        <x:v>671</x:v>
      </x:c>
      <x:c r="E777" s="6">
        <x:v>35300</x:v>
      </x:c>
      <x:c r="F777" s="6">
        <x:v>517800</x:v>
      </x:c>
      <x:c r="G777" s="9">
        <x:v>6.8170000000000008E-2</x:v>
      </x:c>
    </x:row>
    <x:row r="778">
      <x:c r="A778" s="5">
        <x:v>2022</x:v>
      </x:c>
      <x:c r="B778" s="15" t="s">
        <x:v>699</x:v>
      </x:c>
      <x:c r="C778" s="15" t="s">
        <x:v>700</x:v>
      </x:c>
      <x:c r="D778" s="15" t="s">
        <x:v>651</x:v>
      </x:c>
      <x:c r="E778" s="6">
        <x:v>79120</x:v>
      </x:c>
      <x:c r="F778" s="6">
        <x:v>1150580</x:v>
      </x:c>
      <x:c r="G778" s="9">
        <x:v>6.8760000000000002E-2</x:v>
      </x:c>
    </x:row>
    <x:row r="779">
      <x:c r="A779" s="5">
        <x:v>2022</x:v>
      </x:c>
      <x:c r="B779" s="15" t="s">
        <x:v>677</x:v>
      </x:c>
      <x:c r="C779" s="15" t="s">
        <x:v>678</x:v>
      </x:c>
      <x:c r="D779" s="15" t="s">
        <x:v>651</x:v>
      </x:c>
      <x:c r="E779" s="6">
        <x:v>53800</x:v>
      </x:c>
      <x:c r="F779" s="6">
        <x:v>750520</x:v>
      </x:c>
      <x:c r="G779" s="9">
        <x:v>7.1680000000000008E-2</x:v>
      </x:c>
    </x:row>
    <x:row r="780">
      <x:c r="A780" s="5">
        <x:v>2022</x:v>
      </x:c>
      <x:c r="B780" s="15" t="s">
        <x:v>791</x:v>
      </x:c>
      <x:c r="C780" s="15" t="s">
        <x:v>792</x:v>
      </x:c>
      <x:c r="D780" s="15" t="s">
        <x:v>649</x:v>
      </x:c>
      <x:c r="E780" s="6">
        <x:v>101950</x:v>
      </x:c>
      <x:c r="F780" s="6">
        <x:v>1936550</x:v>
      </x:c>
      <x:c r="G780" s="9">
        <x:v>5.2649999999999995E-2</x:v>
      </x:c>
    </x:row>
    <x:row r="781">
      <x:c r="A781" s="5">
        <x:v>2022</x:v>
      </x:c>
      <x:c r="B781" s="15" t="s">
        <x:v>664</x:v>
      </x:c>
      <x:c r="C781" s="15" t="s">
        <x:v>665</x:v>
      </x:c>
      <x:c r="D781" s="15" t="s">
        <x:v>640</x:v>
      </x:c>
      <x:c r="E781" s="6">
        <x:v>17220</x:v>
      </x:c>
      <x:c r="F781" s="6">
        <x:v>234320</x:v>
      </x:c>
      <x:c r="G781" s="9">
        <x:v>7.3499999999999996E-2</x:v>
      </x:c>
    </x:row>
    <x:row r="782">
      <x:c r="A782" s="5">
        <x:v>2022</x:v>
      </x:c>
      <x:c r="B782" s="15" t="s">
        <x:v>660</x:v>
      </x:c>
      <x:c r="C782" s="15" t="s">
        <x:v>661</x:v>
      </x:c>
      <x:c r="D782" s="15" t="s">
        <x:v>640</x:v>
      </x:c>
      <x:c r="E782" s="6">
        <x:v>42230</x:v>
      </x:c>
      <x:c r="F782" s="6">
        <x:v>554170</x:v>
      </x:c>
      <x:c r="G782" s="9">
        <x:v>7.6189999999999994E-2</x:v>
      </x:c>
    </x:row>
    <x:row r="783">
      <x:c r="A783" s="5">
        <x:v>2022</x:v>
      </x:c>
      <x:c r="B783" s="15" t="s">
        <x:v>732</x:v>
      </x:c>
      <x:c r="C783" s="15" t="s">
        <x:v>733</x:v>
      </x:c>
      <x:c r="D783" s="15" t="s">
        <x:v>652</x:v>
      </x:c>
      <x:c r="E783" s="6">
        <x:v>35870</x:v>
      </x:c>
      <x:c r="F783" s="6">
        <x:v>572150</x:v>
      </x:c>
      <x:c r="G783" s="9">
        <x:v>6.2699999999999992E-2</x:v>
      </x:c>
    </x:row>
    <x:row r="784">
      <x:c r="A784" s="5">
        <x:v>2022</x:v>
      </x:c>
      <x:c r="B784" s="15" t="s">
        <x:v>807</x:v>
      </x:c>
      <x:c r="C784" s="15" t="s">
        <x:v>808</x:v>
      </x:c>
      <x:c r="D784" s="15" t="s">
        <x:v>649</x:v>
      </x:c>
      <x:c r="E784" s="6">
        <x:v>22540</x:v>
      </x:c>
      <x:c r="F784" s="6">
        <x:v>453430</x:v>
      </x:c>
      <x:c r="G784" s="9">
        <x:v>4.9720000000000007E-2</x:v>
      </x:c>
    </x:row>
    <x:row r="785">
      <x:c r="A785" s="5">
        <x:v>2022</x:v>
      </x:c>
      <x:c r="B785" s="15" t="s">
        <x:v>817</x:v>
      </x:c>
      <x:c r="C785" s="15" t="s">
        <x:v>818</x:v>
      </x:c>
      <x:c r="D785" s="15" t="s">
        <x:v>649</x:v>
      </x:c>
      <x:c r="E785" s="6">
        <x:v>36950</x:v>
      </x:c>
      <x:c r="F785" s="6">
        <x:v>831450</x:v>
      </x:c>
      <x:c r="G785" s="9">
        <x:v>4.444E-2</x:v>
      </x:c>
    </x:row>
    <x:row r="786">
      <x:c r="A786" s="5">
        <x:v>2022</x:v>
      </x:c>
      <x:c r="B786" s="15" t="s">
        <x:v>644</x:v>
      </x:c>
      <x:c r="C786" s="15" t="s">
        <x:v>815</x:v>
      </x:c>
      <x:c r="D786" s="15" t="s">
        <x:v>670</x:v>
      </x:c>
      <x:c r="E786" s="6">
        <x:v>99110</x:v>
      </x:c>
      <x:c r="F786" s="6">
        <x:v>2150980</x:v>
      </x:c>
      <x:c r="G786" s="9">
        <x:v>4.607E-2</x:v>
      </x:c>
    </x:row>
    <x:row r="787">
      <x:c r="A787" s="5">
        <x:v>2022</x:v>
      </x:c>
      <x:c r="B787" s="15" t="s">
        <x:v>671</x:v>
      </x:c>
      <x:c r="C787" s="15" t="s">
        <x:v>714</x:v>
      </x:c>
      <x:c r="D787" s="15" t="s">
        <x:v>689</x:v>
      </x:c>
      <x:c r="E787" s="6">
        <x:v>83570</x:v>
      </x:c>
      <x:c r="F787" s="6">
        <x:v>1266270</x:v>
      </x:c>
      <x:c r="G787" s="9">
        <x:v>6.5990000000000007E-2</x:v>
      </x:c>
    </x:row>
    <x:row r="788">
      <x:c r="A788" s="5">
        <x:v>2022</x:v>
      </x:c>
      <x:c r="B788" s="15" t="s">
        <x:v>762</x:v>
      </x:c>
      <x:c r="C788" s="15" t="s">
        <x:v>763</x:v>
      </x:c>
      <x:c r="D788" s="15" t="s">
        <x:v>670</x:v>
      </x:c>
      <x:c r="E788" s="6">
        <x:v>87360</x:v>
      </x:c>
      <x:c r="F788" s="6">
        <x:v>1470010</x:v>
      </x:c>
      <x:c r="G788" s="9">
        <x:v>5.9429999999999997E-2</x:v>
      </x:c>
    </x:row>
    <x:row r="789">
      <x:c r="A789" s="5">
        <x:v>2022</x:v>
      </x:c>
      <x:c r="B789" s="15" t="s">
        <x:v>805</x:v>
      </x:c>
      <x:c r="C789" s="15" t="s">
        <x:v>806</x:v>
      </x:c>
      <x:c r="D789" s="15" t="s">
        <x:v>670</x:v>
      </x:c>
      <x:c r="E789" s="6">
        <x:v>74350</x:v>
      </x:c>
      <x:c r="F789" s="6">
        <x:v>1519620</x:v>
      </x:c>
      <x:c r="G789" s="9">
        <x:v>4.8930000000000001E-2</x:v>
      </x:c>
    </x:row>
    <x:row r="790">
      <x:c r="A790" s="5">
        <x:v>2022</x:v>
      </x:c>
      <x:c r="B790" s="15" t="s">
        <x:v>715</x:v>
      </x:c>
      <x:c r="C790" s="15" t="s">
        <x:v>716</x:v>
      </x:c>
      <x:c r="D790" s="15" t="s">
        <x:v>644</x:v>
      </x:c>
      <x:c r="E790" s="6">
        <x:v>24390</x:v>
      </x:c>
      <x:c r="F790" s="6">
        <x:v>379280</x:v>
      </x:c>
      <x:c r="G790" s="9">
        <x:v>6.4310000000000006E-2</x:v>
      </x:c>
    </x:row>
    <x:row r="791">
      <x:c r="A791" s="5">
        <x:v>2022</x:v>
      </x:c>
      <x:c r="B791" s="15" t="s">
        <x:v>662</x:v>
      </x:c>
      <x:c r="C791" s="15" t="s">
        <x:v>663</x:v>
      </x:c>
      <x:c r="D791" s="15" t="s">
        <x:v>647</x:v>
      </x:c>
      <x:c r="E791" s="6">
        <x:v>42570</x:v>
      </x:c>
      <x:c r="F791" s="6">
        <x:v>564690</x:v>
      </x:c>
      <x:c r="G791" s="9">
        <x:v>7.5389999999999999E-2</x:v>
      </x:c>
    </x:row>
    <x:row r="792">
      <x:c r="A792" s="5">
        <x:v>2022</x:v>
      </x:c>
      <x:c r="B792" s="15" t="s">
        <x:v>752</x:v>
      </x:c>
      <x:c r="C792" s="15" t="s">
        <x:v>753</x:v>
      </x:c>
      <x:c r="D792" s="15" t="s">
        <x:v>671</x:v>
      </x:c>
      <x:c r="E792" s="6">
        <x:v>24870</x:v>
      </x:c>
      <x:c r="F792" s="6">
        <x:v>402710</x:v>
      </x:c>
      <x:c r="G792" s="9">
        <x:v>6.1749999999999999E-2</x:v>
      </x:c>
    </x:row>
    <x:row r="793">
      <x:c r="A793" s="5">
        <x:v>2022</x:v>
      </x:c>
      <x:c r="B793" s="15" t="s">
        <x:v>756</x:v>
      </x:c>
      <x:c r="C793" s="15" t="s">
        <x:v>757</x:v>
      </x:c>
      <x:c r="D793" s="15" t="s">
        <x:v>671</x:v>
      </x:c>
      <x:c r="E793" s="6">
        <x:v>16500</x:v>
      </x:c>
      <x:c r="F793" s="6">
        <x:v>272920</x:v>
      </x:c>
      <x:c r="G793" s="9">
        <x:v>6.0449999999999997E-2</x:v>
      </x:c>
    </x:row>
    <x:row r="794">
      <x:c r="A794" s="5">
        <x:v>2022</x:v>
      </x:c>
      <x:c r="B794" s="15" t="s">
        <x:v>758</x:v>
      </x:c>
      <x:c r="C794" s="15" t="s">
        <x:v>759</x:v>
      </x:c>
      <x:c r="D794" s="15" t="s">
        <x:v>672</x:v>
      </x:c>
      <x:c r="E794" s="6">
        <x:v>72220</x:v>
      </x:c>
      <x:c r="F794" s="6">
        <x:v>1175600</x:v>
      </x:c>
      <x:c r="G794" s="9">
        <x:v>6.1440000000000002E-2</x:v>
      </x:c>
    </x:row>
    <x:row r="795">
      <x:c r="A795" s="5">
        <x:v>2022</x:v>
      </x:c>
      <x:c r="B795" s="15" t="s">
        <x:v>649</x:v>
      </x:c>
      <x:c r="C795" s="15" t="s">
        <x:v>731</x:v>
      </x:c>
      <x:c r="D795" s="15" t="s">
        <x:v>672</x:v>
      </x:c>
      <x:c r="E795" s="6">
        <x:v>38650</x:v>
      </x:c>
      <x:c r="F795" s="6">
        <x:v>605650</x:v>
      </x:c>
      <x:c r="G795" s="9">
        <x:v>6.3820000000000002E-2</x:v>
      </x:c>
    </x:row>
    <x:row r="796">
      <x:c r="A796" s="5">
        <x:v>2022</x:v>
      </x:c>
      <x:c r="B796" s="15" t="s">
        <x:v>754</x:v>
      </x:c>
      <x:c r="C796" s="15" t="s">
        <x:v>755</x:v>
      </x:c>
      <x:c r="D796" s="15" t="s">
        <x:v>652</x:v>
      </x:c>
      <x:c r="E796" s="6">
        <x:v>44510</x:v>
      </x:c>
      <x:c r="F796" s="6">
        <x:v>729200</x:v>
      </x:c>
      <x:c r="G796" s="9">
        <x:v>6.1040000000000004E-2</x:v>
      </x:c>
    </x:row>
    <x:row r="797">
      <x:c r="A797" s="5">
        <x:v>2022</x:v>
      </x:c>
      <x:c r="B797" s="15" t="s">
        <x:v>750</x:v>
      </x:c>
      <x:c r="C797" s="15" t="s">
        <x:v>751</x:v>
      </x:c>
      <x:c r="D797" s="15" t="s">
        <x:v>644</x:v>
      </x:c>
      <x:c r="E797" s="6">
        <x:v>26370</x:v>
      </x:c>
      <x:c r="F797" s="6">
        <x:v>432020</x:v>
      </x:c>
      <x:c r="G797" s="9">
        <x:v>6.1030000000000001E-2</x:v>
      </x:c>
    </x:row>
    <x:row r="798">
      <x:c r="A798" s="5">
        <x:v>2022</x:v>
      </x:c>
      <x:c r="B798" s="15" t="s">
        <x:v>683</x:v>
      </x:c>
      <x:c r="C798" s="15" t="s">
        <x:v>684</x:v>
      </x:c>
      <x:c r="D798" s="15" t="s">
        <x:v>644</x:v>
      </x:c>
      <x:c r="E798" s="6">
        <x:v>26080</x:v>
      </x:c>
      <x:c r="F798" s="6">
        <x:v>367790</x:v>
      </x:c>
      <x:c r="G798" s="9">
        <x:v>7.0910000000000001E-2</x:v>
      </x:c>
    </x:row>
    <x:row r="799">
      <x:c r="A799" s="5">
        <x:v>2022</x:v>
      </x:c>
      <x:c r="B799" s="15" t="s">
        <x:v>675</x:v>
      </x:c>
      <x:c r="C799" s="15" t="s">
        <x:v>676</x:v>
      </x:c>
      <x:c r="D799" s="15" t="s">
        <x:v>651</x:v>
      </x:c>
      <x:c r="E799" s="6">
        <x:v>26380</x:v>
      </x:c>
      <x:c r="F799" s="6">
        <x:v>365660</x:v>
      </x:c>
      <x:c r="G799" s="9">
        <x:v>7.2149999999999992E-2</x:v>
      </x:c>
    </x:row>
    <x:row r="800">
      <x:c r="A800" s="5">
        <x:v>2022</x:v>
      </x:c>
      <x:c r="B800" s="15" t="s">
        <x:v>655</x:v>
      </x:c>
      <x:c r="C800" s="15" t="s">
        <x:v>42</x:v>
      </x:c>
      <x:c r="D800" s="15" t="s">
        <x:v>640</x:v>
      </x:c>
      <x:c r="E800" s="6">
        <x:v>25990</x:v>
      </x:c>
      <x:c r="F800" s="6">
        <x:v>334090</x:v>
      </x:c>
      <x:c r="G800" s="9">
        <x:v>7.7780000000000002E-2</x:v>
      </x:c>
    </x:row>
    <x:row r="801">
      <x:c r="A801" s="5">
        <x:v>2022</x:v>
      </x:c>
      <x:c r="B801" s="15" t="s">
        <x:v>712</x:v>
      </x:c>
      <x:c r="C801" s="15" t="s">
        <x:v>713</x:v>
      </x:c>
      <x:c r="D801" s="15" t="s">
        <x:v>640</x:v>
      </x:c>
      <x:c r="E801" s="6">
        <x:v>9090</x:v>
      </x:c>
      <x:c r="F801" s="6">
        <x:v>138300</x:v>
      </x:c>
      <x:c r="G801" s="9">
        <x:v>6.5720000000000001E-2</x:v>
      </x:c>
    </x:row>
    <x:row r="802">
      <x:c r="A802" s="5">
        <x:v>2022</x:v>
      </x:c>
      <x:c r="B802" s="15" t="s">
        <x:v>784</x:v>
      </x:c>
      <x:c r="C802" s="15" t="s">
        <x:v>785</x:v>
      </x:c>
      <x:c r="D802" s="15" t="s">
        <x:v>670</x:v>
      </x:c>
      <x:c r="E802" s="6">
        <x:v>74970</x:v>
      </x:c>
      <x:c r="F802" s="6">
        <x:v>1352680</x:v>
      </x:c>
      <x:c r="G802" s="9">
        <x:v>5.543E-2</x:v>
      </x:c>
    </x:row>
    <x:row r="803">
      <x:c r="A803" s="5">
        <x:v>2022</x:v>
      </x:c>
      <x:c r="B803" s="15" t="s">
        <x:v>809</x:v>
      </x:c>
      <x:c r="C803" s="15" t="s">
        <x:v>810</x:v>
      </x:c>
      <x:c r="D803" s="15" t="s">
        <x:v>670</x:v>
      </x:c>
      <x:c r="E803" s="6">
        <x:v>77750</x:v>
      </x:c>
      <x:c r="F803" s="6">
        <x:v>1648030</x:v>
      </x:c>
      <x:c r="G803" s="9">
        <x:v>4.718E-2</x:v>
      </x:c>
    </x:row>
    <x:row r="804">
      <x:c r="A804" s="5">
        <x:v>2022</x:v>
      </x:c>
      <x:c r="B804" s="15" t="s">
        <x:v>672</x:v>
      </x:c>
      <x:c r="C804" s="15" t="s">
        <x:v>673</x:v>
      </x:c>
      <x:c r="D804" s="15" t="s">
        <x:v>670</x:v>
      </x:c>
      <x:c r="E804" s="6">
        <x:v>119140</x:v>
      </x:c>
      <x:c r="F804" s="6">
        <x:v>1658690</x:v>
      </x:c>
      <x:c r="G804" s="9">
        <x:v>7.1830000000000005E-2</x:v>
      </x:c>
    </x:row>
    <x:row r="805">
      <x:c r="A805" s="5">
        <x:v>2022</x:v>
      </x:c>
      <x:c r="B805" s="15" t="s">
        <x:v>705</x:v>
      </x:c>
      <x:c r="C805" s="15" t="s">
        <x:v>780</x:v>
      </x:c>
      <x:c r="D805" s="15" t="s">
        <x:v>670</x:v>
      </x:c>
      <x:c r="E805" s="6">
        <x:v>80470</x:v>
      </x:c>
      <x:c r="F805" s="6">
        <x:v>1416780</x:v>
      </x:c>
      <x:c r="G805" s="9">
        <x:v>5.6799999999999996E-2</x:v>
      </x:c>
    </x:row>
    <x:row r="806">
      <x:c r="A806" s="5">
        <x:v>2022</x:v>
      </x:c>
      <x:c r="B806" s="15" t="s">
        <x:v>740</x:v>
      </x:c>
      <x:c r="C806" s="15" t="s">
        <x:v>741</x:v>
      </x:c>
      <x:c r="D806" s="15" t="s">
        <x:v>670</x:v>
      </x:c>
      <x:c r="E806" s="6">
        <x:v>81630</x:v>
      </x:c>
      <x:c r="F806" s="6">
        <x:v>1316340</x:v>
      </x:c>
      <x:c r="G806" s="9">
        <x:v>6.2009999999999996E-2</x:v>
      </x:c>
    </x:row>
    <x:row r="807">
      <x:c r="A807" s="5">
        <x:v>2022</x:v>
      </x:c>
      <x:c r="B807" s="15" t="s">
        <x:v>635</x:v>
      </x:c>
      <x:c r="C807" s="15" t="s">
        <x:v>10</x:v>
      </x:c>
      <x:c r="D807" s="15" t="s">
        <x:v>636</x:v>
      </x:c>
      <x:c r="E807" s="6">
        <x:v>44560</x:v>
      </x:c>
      <x:c r="F807" s="6">
        <x:v>400560</x:v>
      </x:c>
      <x:c r="G807" s="9">
        <x:v>0.11125</x:v>
      </x:c>
    </x:row>
    <x:row r="808">
      <x:c r="A808" s="5">
        <x:v>2022</x:v>
      </x:c>
      <x:c r="B808" s="15" t="s">
        <x:v>637</x:v>
      </x:c>
      <x:c r="C808" s="15" t="s">
        <x:v>14</x:v>
      </x:c>
      <x:c r="D808" s="15" t="s">
        <x:v>638</x:v>
      </x:c>
      <x:c r="E808" s="6">
        <x:v>38950</x:v>
      </x:c>
      <x:c r="F808" s="6">
        <x:v>374680</x:v>
      </x:c>
      <x:c r="G808" s="9">
        <x:v>0.10395</x:v>
      </x:c>
    </x:row>
    <x:row r="809">
      <x:c r="A809" s="5">
        <x:v>2022</x:v>
      </x:c>
      <x:c r="B809" s="15" t="s">
        <x:v>749</x:v>
      </x:c>
      <x:c r="C809" s="15" t="s">
        <x:v>67</x:v>
      </x:c>
      <x:c r="D809" s="15" t="s">
        <x:v>648</x:v>
      </x:c>
      <x:c r="E809" s="6">
        <x:v>12710</x:v>
      </x:c>
      <x:c r="F809" s="6">
        <x:v>206180</x:v>
      </x:c>
      <x:c r="G809" s="9">
        <x:v>6.1650000000000003E-2</x:v>
      </x:c>
    </x:row>
    <x:row r="810">
      <x:c r="A810" s="5">
        <x:v>2022</x:v>
      </x:c>
      <x:c r="B810" s="15" t="s">
        <x:v>641</x:v>
      </x:c>
      <x:c r="C810" s="15" t="s">
        <x:v>20</x:v>
      </x:c>
      <x:c r="D810" s="15" t="s">
        <x:v>642</x:v>
      </x:c>
      <x:c r="E810" s="6">
        <x:v>85000</x:v>
      </x:c>
      <x:c r="F810" s="6">
        <x:v>952910</x:v>
      </x:c>
      <x:c r="G810" s="9">
        <x:v>8.9200000000000002E-2</x:v>
      </x:c>
    </x:row>
    <x:row r="811">
      <x:c r="A811" s="5">
        <x:v>2022</x:v>
      </x:c>
      <x:c r="B811" s="15" t="s">
        <x:v>783</x:v>
      </x:c>
      <x:c r="C811" s="15" t="s">
        <x:v>75</x:v>
      </x:c>
      <x:c r="D811" s="15" t="s">
        <x:v>774</x:v>
      </x:c>
      <x:c r="E811" s="6">
        <x:v>6890</x:v>
      </x:c>
      <x:c r="F811" s="6">
        <x:v>128960</x:v>
      </x:c>
      <x:c r="G811" s="9">
        <x:v>5.3460000000000001E-2</x:v>
      </x:c>
    </x:row>
    <x:row r="812">
      <x:c r="A812" s="5">
        <x:v>2023</x:v>
      </x:c>
      <x:c r="B812" s="15" t="s">
        <x:v>636</x:v>
      </x:c>
      <x:c r="C812" s="15" t="s">
        <x:v>786</x:v>
      </x:c>
      <x:c r="D812" s="15" t="s">
        <x:v>649</x:v>
      </x:c>
      <x:c r="E812" s="6">
        <x:v>36970</x:v>
      </x:c>
      <x:c r="F812" s="6">
        <x:v>632240</x:v>
      </x:c>
      <x:c r="G812" s="9">
        <x:v>5.8479999999999997E-2</x:v>
      </x:c>
    </x:row>
    <x:row r="813">
      <x:c r="A813" s="5">
        <x:v>2023</x:v>
      </x:c>
      <x:c r="B813" s="15" t="s">
        <x:v>638</x:v>
      </x:c>
      <x:c r="C813" s="15" t="s">
        <x:v>50</x:v>
      </x:c>
      <x:c r="D813" s="15" t="s">
        <x:v>647</x:v>
      </x:c>
      <x:c r="E813" s="6">
        <x:v>43120</x:v>
      </x:c>
      <x:c r="F813" s="6">
        <x:v>512560</x:v>
      </x:c>
      <x:c r="G813" s="9">
        <x:v>8.4129999999999996E-2</x:v>
      </x:c>
    </x:row>
    <x:row r="814">
      <x:c r="A814" s="5">
        <x:v>2023</x:v>
      </x:c>
      <x:c r="B814" s="15" t="s">
        <x:v>648</x:v>
      </x:c>
      <x:c r="C814" s="15" t="s">
        <x:v>46</x:v>
      </x:c>
      <x:c r="D814" s="15" t="s">
        <x:v>649</x:v>
      </x:c>
      <x:c r="E814" s="6">
        <x:v>27590</x:v>
      </x:c>
      <x:c r="F814" s="6">
        <x:v>326600</x:v>
      </x:c>
      <x:c r="G814" s="9">
        <x:v>8.448E-2</x:v>
      </x:c>
    </x:row>
    <x:row r="815">
      <x:c r="A815" s="5">
        <x:v>2023</x:v>
      </x:c>
      <x:c r="B815" s="15" t="s">
        <x:v>642</x:v>
      </x:c>
      <x:c r="C815" s="15" t="s">
        <x:v>748</x:v>
      </x:c>
      <x:c r="D815" s="15" t="s">
        <x:v>672</x:v>
      </x:c>
      <x:c r="E815" s="6">
        <x:v>10860</x:v>
      </x:c>
      <x:c r="F815" s="6">
        <x:v>166610</x:v>
      </x:c>
      <x:c r="G815" s="9">
        <x:v>6.5159999999999996E-2</x:v>
      </x:c>
    </x:row>
    <x:row r="816">
      <x:c r="A816" s="5">
        <x:v>2023</x:v>
      </x:c>
      <x:c r="B816" s="15" t="s">
        <x:v>800</x:v>
      </x:c>
      <x:c r="C816" s="15" t="s">
        <x:v>801</x:v>
      </x:c>
      <x:c r="D816" s="15" t="s">
        <x:v>672</x:v>
      </x:c>
      <x:c r="E816" s="6">
        <x:v>7830</x:v>
      </x:c>
      <x:c r="F816" s="6">
        <x:v>145120</x:v>
      </x:c>
      <x:c r="G816" s="9">
        <x:v>5.3940000000000002E-2</x:v>
      </x:c>
    </x:row>
    <x:row r="817">
      <x:c r="A817" s="5">
        <x:v>2023</x:v>
      </x:c>
      <x:c r="B817" s="15" t="s">
        <x:v>774</x:v>
      </x:c>
      <x:c r="C817" s="15" t="s">
        <x:v>775</x:v>
      </x:c>
      <x:c r="D817" s="15" t="s">
        <x:v>672</x:v>
      </x:c>
      <x:c r="E817" s="6">
        <x:v>70820</x:v>
      </x:c>
      <x:c r="F817" s="6">
        <x:v>1157150</x:v>
      </x:c>
      <x:c r="G817" s="9">
        <x:v>6.1210000000000007E-2</x:v>
      </x:c>
    </x:row>
    <x:row r="818">
      <x:c r="A818" s="5">
        <x:v>2023</x:v>
      </x:c>
      <x:c r="B818" s="15" t="s">
        <x:v>742</x:v>
      </x:c>
      <x:c r="C818" s="15" t="s">
        <x:v>743</x:v>
      </x:c>
      <x:c r="D818" s="15" t="s">
        <x:v>649</x:v>
      </x:c>
      <x:c r="E818" s="6">
        <x:v>21760</x:v>
      </x:c>
      <x:c r="F818" s="6">
        <x:v>330720</x:v>
      </x:c>
      <x:c r="G818" s="9">
        <x:v>6.5799999999999997E-2</x:v>
      </x:c>
    </x:row>
    <x:row r="819">
      <x:c r="A819" s="5">
        <x:v>2023</x:v>
      </x:c>
      <x:c r="B819" s="15" t="s">
        <x:v>653</x:v>
      </x:c>
      <x:c r="C819" s="15" t="s">
        <x:v>97</x:v>
      </x:c>
      <x:c r="D819" s="15" t="s">
        <x:v>651</x:v>
      </x:c>
      <x:c r="E819" s="6">
        <x:v>21330</x:v>
      </x:c>
      <x:c r="F819" s="6">
        <x:v>257800</x:v>
      </x:c>
      <x:c r="G819" s="9">
        <x:v>8.2720000000000002E-2</x:v>
      </x:c>
    </x:row>
    <x:row r="820">
      <x:c r="A820" s="5">
        <x:v>2023</x:v>
      </x:c>
      <x:c r="B820" s="15" t="s">
        <x:v>717</x:v>
      </x:c>
      <x:c r="C820" s="15" t="s">
        <x:v>718</x:v>
      </x:c>
      <x:c r="D820" s="15" t="s">
        <x:v>671</x:v>
      </x:c>
      <x:c r="E820" s="6">
        <x:v>10480</x:v>
      </x:c>
      <x:c r="F820" s="6">
        <x:v>153520</x:v>
      </x:c>
      <x:c r="G820" s="9">
        <x:v>6.8290000000000003E-2</x:v>
      </x:c>
    </x:row>
    <x:row r="821">
      <x:c r="A821" s="5">
        <x:v>2023</x:v>
      </x:c>
      <x:c r="B821" s="15" t="s">
        <x:v>668</x:v>
      </x:c>
      <x:c r="C821" s="15" t="s">
        <x:v>669</x:v>
      </x:c>
      <x:c r="D821" s="15" t="s">
        <x:v>651</x:v>
      </x:c>
      <x:c r="E821" s="6">
        <x:v>22810</x:v>
      </x:c>
      <x:c r="F821" s="6">
        <x:v>296640</x:v>
      </x:c>
      <x:c r="G821" s="9">
        <x:v>7.690000000000001E-2</x:v>
      </x:c>
    </x:row>
    <x:row r="822">
      <x:c r="A822" s="5">
        <x:v>2023</x:v>
      </x:c>
      <x:c r="B822" s="15" t="s">
        <x:v>670</x:v>
      </x:c>
      <x:c r="C822" s="15" t="s">
        <x:v>89</x:v>
      </x:c>
      <x:c r="D822" s="15" t="s">
        <x:v>671</x:v>
      </x:c>
      <x:c r="E822" s="6">
        <x:v>29100</x:v>
      </x:c>
      <x:c r="F822" s="6">
        <x:v>381790</x:v>
      </x:c>
      <x:c r="G822" s="9">
        <x:v>7.621E-2</x:v>
      </x:c>
    </x:row>
    <x:row r="823">
      <x:c r="A823" s="5">
        <x:v>2023</x:v>
      </x:c>
      <x:c r="B823" s="15" t="s">
        <x:v>768</x:v>
      </x:c>
      <x:c r="C823" s="15" t="s">
        <x:v>769</x:v>
      </x:c>
      <x:c r="D823" s="15" t="s">
        <x:v>671</x:v>
      </x:c>
      <x:c r="E823" s="6">
        <x:v>17280</x:v>
      </x:c>
      <x:c r="F823" s="6">
        <x:v>274600</x:v>
      </x:c>
      <x:c r="G823" s="9">
        <x:v>6.293E-2</x:v>
      </x:c>
    </x:row>
    <x:row r="824">
      <x:c r="A824" s="5">
        <x:v>2023</x:v>
      </x:c>
      <x:c r="B824" s="15" t="s">
        <x:v>744</x:v>
      </x:c>
      <x:c r="C824" s="15" t="s">
        <x:v>745</x:v>
      </x:c>
      <x:c r="D824" s="15" t="s">
        <x:v>672</x:v>
      </x:c>
      <x:c r="E824" s="6">
        <x:v>140670</x:v>
      </x:c>
      <x:c r="F824" s="6">
        <x:v>2149390</x:v>
      </x:c>
      <x:c r="G824" s="9">
        <x:v>6.5449999999999994E-2</x:v>
      </x:c>
    </x:row>
    <x:row r="825">
      <x:c r="A825" s="5">
        <x:v>2023</x:v>
      </x:c>
      <x:c r="B825" s="15" t="s">
        <x:v>772</x:v>
      </x:c>
      <x:c r="C825" s="15" t="s">
        <x:v>773</x:v>
      </x:c>
      <x:c r="D825" s="15" t="s">
        <x:v>689</x:v>
      </x:c>
      <x:c r="E825" s="6">
        <x:v>42960</x:v>
      </x:c>
      <x:c r="F825" s="6">
        <x:v>697180</x:v>
      </x:c>
      <x:c r="G825" s="9">
        <x:v>6.1630000000000004E-2</x:v>
      </x:c>
    </x:row>
    <x:row r="826">
      <x:c r="A826" s="5">
        <x:v>2023</x:v>
      </x:c>
      <x:c r="B826" s="15" t="s">
        <x:v>692</x:v>
      </x:c>
      <x:c r="C826" s="15" t="s">
        <x:v>693</x:v>
      </x:c>
      <x:c r="D826" s="15" t="s">
        <x:v>649</x:v>
      </x:c>
      <x:c r="E826" s="6">
        <x:v>10040</x:v>
      </x:c>
      <x:c r="F826" s="6">
        <x:v>139840</x:v>
      </x:c>
      <x:c r="G826" s="9">
        <x:v>7.177E-2</x:v>
      </x:c>
    </x:row>
    <x:row r="827">
      <x:c r="A827" s="5">
        <x:v>2023</x:v>
      </x:c>
      <x:c r="B827" s="15" t="s">
        <x:v>701</x:v>
      </x:c>
      <x:c r="C827" s="15" t="s">
        <x:v>702</x:v>
      </x:c>
      <x:c r="D827" s="15" t="s">
        <x:v>644</x:v>
      </x:c>
      <x:c r="E827" s="6">
        <x:v>24360</x:v>
      </x:c>
      <x:c r="F827" s="6">
        <x:v>344730</x:v>
      </x:c>
      <x:c r="G827" s="9">
        <x:v>7.0669999999999997E-2</x:v>
      </x:c>
    </x:row>
    <x:row r="828">
      <x:c r="A828" s="5">
        <x:v>2023</x:v>
      </x:c>
      <x:c r="B828" s="15" t="s">
        <x:v>727</x:v>
      </x:c>
      <x:c r="C828" s="15" t="s">
        <x:v>728</x:v>
      </x:c>
      <x:c r="D828" s="15" t="s">
        <x:v>644</x:v>
      </x:c>
      <x:c r="E828" s="6">
        <x:v>46310</x:v>
      </x:c>
      <x:c r="F828" s="6">
        <x:v>686250</x:v>
      </x:c>
      <x:c r="G828" s="9">
        <x:v>6.7489999999999994E-2</x:v>
      </x:c>
    </x:row>
    <x:row r="829">
      <x:c r="A829" s="5">
        <x:v>2023</x:v>
      </x:c>
      <x:c r="B829" s="15" t="s">
        <x:v>654</x:v>
      </x:c>
      <x:c r="C829" s="15" t="s">
        <x:v>86</x:v>
      </x:c>
      <x:c r="D829" s="15" t="s">
        <x:v>646</x:v>
      </x:c>
      <x:c r="E829" s="6">
        <x:v>23930</x:v>
      </x:c>
      <x:c r="F829" s="6">
        <x:v>289940</x:v>
      </x:c>
      <x:c r="G829" s="9">
        <x:v>8.2550000000000012E-2</x:v>
      </x:c>
    </x:row>
    <x:row r="830">
      <x:c r="A830" s="5">
        <x:v>2023</x:v>
      </x:c>
      <x:c r="B830" s="15" t="s">
        <x:v>681</x:v>
      </x:c>
      <x:c r="C830" s="15" t="s">
        <x:v>682</x:v>
      </x:c>
      <x:c r="D830" s="15" t="s">
        <x:v>644</x:v>
      </x:c>
      <x:c r="E830" s="6">
        <x:v>17450</x:v>
      </x:c>
      <x:c r="F830" s="6">
        <x:v>235190</x:v>
      </x:c>
      <x:c r="G830" s="9">
        <x:v>7.4179999999999996E-2</x:v>
      </x:c>
    </x:row>
    <x:row r="831">
      <x:c r="A831" s="5">
        <x:v>2023</x:v>
      </x:c>
      <x:c r="B831" s="15" t="s">
        <x:v>746</x:v>
      </x:c>
      <x:c r="C831" s="15" t="s">
        <x:v>747</x:v>
      </x:c>
      <x:c r="D831" s="15" t="s">
        <x:v>640</x:v>
      </x:c>
      <x:c r="E831" s="6">
        <x:v>33690</x:v>
      </x:c>
      <x:c r="F831" s="6">
        <x:v>518480</x:v>
      </x:c>
      <x:c r="G831" s="9">
        <x:v>6.4979999999999996E-2</x:v>
      </x:c>
    </x:row>
    <x:row r="832">
      <x:c r="A832" s="5">
        <x:v>2023</x:v>
      </x:c>
      <x:c r="B832" s="15" t="s">
        <x:v>797</x:v>
      </x:c>
      <x:c r="C832" s="15" t="s">
        <x:v>798</x:v>
      </x:c>
      <x:c r="D832" s="15" t="s">
        <x:v>799</x:v>
      </x:c>
      <x:c r="E832" s="6">
        <x:v>32690</x:v>
      </x:c>
      <x:c r="F832" s="6">
        <x:v>613260</x:v>
      </x:c>
      <x:c r="G832" s="9">
        <x:v>5.3310000000000003E-2</x:v>
      </x:c>
    </x:row>
    <x:row r="833">
      <x:c r="A833" s="5">
        <x:v>2023</x:v>
      </x:c>
      <x:c r="B833" s="15" t="s">
        <x:v>643</x:v>
      </x:c>
      <x:c r="C833" s="15" t="s">
        <x:v>30</x:v>
      </x:c>
      <x:c r="D833" s="15" t="s">
        <x:v>644</x:v>
      </x:c>
      <x:c r="E833" s="6">
        <x:v>9930</x:v>
      </x:c>
      <x:c r="F833" s="6">
        <x:v>108990</x:v>
      </x:c>
      <x:c r="G833" s="9">
        <x:v>9.1129999999999989E-2</x:v>
      </x:c>
    </x:row>
    <x:row r="834">
      <x:c r="A834" s="5">
        <x:v>2023</x:v>
      </x:c>
      <x:c r="B834" s="15" t="s">
        <x:v>646</x:v>
      </x:c>
      <x:c r="C834" s="15" t="s">
        <x:v>674</x:v>
      </x:c>
      <x:c r="D834" s="15" t="s">
        <x:v>644</x:v>
      </x:c>
      <x:c r="E834" s="6">
        <x:v>31110</x:v>
      </x:c>
      <x:c r="F834" s="6">
        <x:v>410940</x:v>
      </x:c>
      <x:c r="G834" s="9">
        <x:v>7.571E-2</x:v>
      </x:c>
    </x:row>
    <x:row r="835">
      <x:c r="A835" s="5">
        <x:v>2023</x:v>
      </x:c>
      <x:c r="B835" s="15" t="s">
        <x:v>766</x:v>
      </x:c>
      <x:c r="C835" s="15" t="s">
        <x:v>767</x:v>
      </x:c>
      <x:c r="D835" s="15" t="s">
        <x:v>640</x:v>
      </x:c>
      <x:c r="E835" s="6">
        <x:v>33620</x:v>
      </x:c>
      <x:c r="F835" s="6">
        <x:v>533260</x:v>
      </x:c>
      <x:c r="G835" s="9">
        <x:v>6.3049999999999995E-2</x:v>
      </x:c>
    </x:row>
    <x:row r="836">
      <x:c r="A836" s="5">
        <x:v>2023</x:v>
      </x:c>
      <x:c r="B836" s="15" t="s">
        <x:v>764</x:v>
      </x:c>
      <x:c r="C836" s="15" t="s">
        <x:v>765</x:v>
      </x:c>
      <x:c r="D836" s="15" t="s">
        <x:v>649</x:v>
      </x:c>
      <x:c r="E836" s="6">
        <x:v>33630</x:v>
      </x:c>
      <x:c r="F836" s="6">
        <x:v>530920</x:v>
      </x:c>
      <x:c r="G836" s="9">
        <x:v>6.3339999999999994E-2</x:v>
      </x:c>
    </x:row>
    <x:row r="837">
      <x:c r="A837" s="5">
        <x:v>2023</x:v>
      </x:c>
      <x:c r="B837" s="15" t="s">
        <x:v>640</x:v>
      </x:c>
      <x:c r="C837" s="15" t="s">
        <x:v>724</x:v>
      </x:c>
      <x:c r="D837" s="15" t="s">
        <x:v>689</x:v>
      </x:c>
      <x:c r="E837" s="6">
        <x:v>40270</x:v>
      </x:c>
      <x:c r="F837" s="6">
        <x:v>594040</x:v>
      </x:c>
      <x:c r="G837" s="9">
        <x:v>6.7790000000000003E-2</x:v>
      </x:c>
    </x:row>
    <x:row r="838">
      <x:c r="A838" s="5">
        <x:v>2023</x:v>
      </x:c>
      <x:c r="B838" s="15" t="s">
        <x:v>689</x:v>
      </x:c>
      <x:c r="C838" s="15" t="s">
        <x:v>694</x:v>
      </x:c>
      <x:c r="D838" s="15" t="s">
        <x:v>646</x:v>
      </x:c>
      <x:c r="E838" s="6">
        <x:v>30100</x:v>
      </x:c>
      <x:c r="F838" s="6">
        <x:v>424250</x:v>
      </x:c>
      <x:c r="G838" s="9">
        <x:v>7.0949999999999999E-2</x:v>
      </x:c>
    </x:row>
    <x:row r="839">
      <x:c r="A839" s="5">
        <x:v>2023</x:v>
      </x:c>
      <x:c r="B839" s="15" t="s">
        <x:v>811</x:v>
      </x:c>
      <x:c r="C839" s="15" t="s">
        <x:v>812</x:v>
      </x:c>
      <x:c r="D839" s="15" t="s">
        <x:v>799</x:v>
      </x:c>
      <x:c r="E839" s="6">
        <x:v>46230</x:v>
      </x:c>
      <x:c r="F839" s="6">
        <x:v>929990</x:v>
      </x:c>
      <x:c r="G839" s="9">
        <x:v>4.9710000000000004E-2</x:v>
      </x:c>
    </x:row>
    <x:row r="840">
      <x:c r="A840" s="5">
        <x:v>2023</x:v>
      </x:c>
      <x:c r="B840" s="15" t="s">
        <x:v>719</x:v>
      </x:c>
      <x:c r="C840" s="15" t="s">
        <x:v>720</x:v>
      </x:c>
      <x:c r="D840" s="15" t="s">
        <x:v>705</x:v>
      </x:c>
      <x:c r="E840" s="6">
        <x:v>10060</x:v>
      </x:c>
      <x:c r="F840" s="6">
        <x:v>149540</x:v>
      </x:c>
      <x:c r="G840" s="9">
        <x:v>6.7299999999999999E-2</x:v>
      </x:c>
    </x:row>
    <x:row r="841">
      <x:c r="A841" s="5">
        <x:v>2023</x:v>
      </x:c>
      <x:c r="B841" s="15" t="s">
        <x:v>703</x:v>
      </x:c>
      <x:c r="C841" s="15" t="s">
        <x:v>704</x:v>
      </x:c>
      <x:c r="D841" s="15" t="s">
        <x:v>705</x:v>
      </x:c>
      <x:c r="E841" s="6">
        <x:v>11540</x:v>
      </x:c>
      <x:c r="F841" s="6">
        <x:v>163600</x:v>
      </x:c>
      <x:c r="G841" s="9">
        <x:v>7.0529999999999995E-2</x:v>
      </x:c>
    </x:row>
    <x:row r="842">
      <x:c r="A842" s="5">
        <x:v>2023</x:v>
      </x:c>
      <x:c r="B842" s="15" t="s">
        <x:v>725</x:v>
      </x:c>
      <x:c r="C842" s="15" t="s">
        <x:v>726</x:v>
      </x:c>
      <x:c r="D842" s="15" t="s">
        <x:v>671</x:v>
      </x:c>
      <x:c r="E842" s="6">
        <x:v>52500</x:v>
      </x:c>
      <x:c r="F842" s="6">
        <x:v>778990</x:v>
      </x:c>
      <x:c r="G842" s="9">
        <x:v>6.7390000000000005E-2</x:v>
      </x:c>
    </x:row>
    <x:row r="843">
      <x:c r="A843" s="5">
        <x:v>2023</x:v>
      </x:c>
      <x:c r="B843" s="15" t="s">
        <x:v>813</x:v>
      </x:c>
      <x:c r="C843" s="15" t="s">
        <x:v>814</x:v>
      </x:c>
      <x:c r="D843" s="15" t="s">
        <x:v>671</x:v>
      </x:c>
      <x:c r="E843" s="6">
        <x:v>70550</x:v>
      </x:c>
      <x:c r="F843" s="6">
        <x:v>1428750</x:v>
      </x:c>
      <x:c r="G843" s="9">
        <x:v>4.938E-2</x:v>
      </x:c>
    </x:row>
    <x:row r="844">
      <x:c r="A844" s="5">
        <x:v>2023</x:v>
      </x:c>
      <x:c r="B844" s="15" t="s">
        <x:v>647</x:v>
      </x:c>
      <x:c r="C844" s="15" t="s">
        <x:v>721</x:v>
      </x:c>
      <x:c r="D844" s="15" t="s">
        <x:v>671</x:v>
      </x:c>
      <x:c r="E844" s="6">
        <x:v>12930</x:v>
      </x:c>
      <x:c r="F844" s="6">
        <x:v>190180</x:v>
      </x:c>
      <x:c r="G844" s="9">
        <x:v>6.7990000000000009E-2</x:v>
      </x:c>
    </x:row>
    <x:row r="845">
      <x:c r="A845" s="5">
        <x:v>2023</x:v>
      </x:c>
      <x:c r="B845" s="15" t="s">
        <x:v>795</x:v>
      </x:c>
      <x:c r="C845" s="15" t="s">
        <x:v>796</x:v>
      </x:c>
      <x:c r="D845" s="15" t="s">
        <x:v>644</x:v>
      </x:c>
      <x:c r="E845" s="6">
        <x:v>92560</x:v>
      </x:c>
      <x:c r="F845" s="6">
        <x:v>1692770</x:v>
      </x:c>
      <x:c r="G845" s="9">
        <x:v>5.4679999999999999E-2</x:v>
      </x:c>
    </x:row>
    <x:row r="846">
      <x:c r="A846" s="5">
        <x:v>2023</x:v>
      </x:c>
      <x:c r="B846" s="15" t="s">
        <x:v>781</x:v>
      </x:c>
      <x:c r="C846" s="15" t="s">
        <x:v>782</x:v>
      </x:c>
      <x:c r="D846" s="15" t="s">
        <x:v>671</x:v>
      </x:c>
      <x:c r="E846" s="6">
        <x:v>74950</x:v>
      </x:c>
      <x:c r="F846" s="6">
        <x:v>1240780</x:v>
      </x:c>
      <x:c r="G846" s="9">
        <x:v>6.0400000000000002E-2</x:v>
      </x:c>
    </x:row>
    <x:row r="847">
      <x:c r="A847" s="5">
        <x:v>2023</x:v>
      </x:c>
      <x:c r="B847" s="15" t="s">
        <x:v>819</x:v>
      </x:c>
      <x:c r="C847" s="15" t="s">
        <x:v>820</x:v>
      </x:c>
      <x:c r="D847" s="15" t="s">
        <x:v>799</x:v>
      </x:c>
      <x:c r="E847" s="6">
        <x:v>44520</x:v>
      </x:c>
      <x:c r="F847" s="6">
        <x:v>1098160</x:v>
      </x:c>
      <x:c r="G847" s="9">
        <x:v>4.054E-2</x:v>
      </x:c>
    </x:row>
    <x:row r="848">
      <x:c r="A848" s="5">
        <x:v>2023</x:v>
      </x:c>
      <x:c r="B848" s="15" t="s">
        <x:v>645</x:v>
      </x:c>
      <x:c r="C848" s="15" t="s">
        <x:v>34</x:v>
      </x:c>
      <x:c r="D848" s="15" t="s">
        <x:v>646</x:v>
      </x:c>
      <x:c r="E848" s="6">
        <x:v>17990</x:v>
      </x:c>
      <x:c r="F848" s="6">
        <x:v>208300</x:v>
      </x:c>
      <x:c r="G848" s="9">
        <x:v>8.6349999999999996E-2</x:v>
      </x:c>
    </x:row>
    <x:row r="849">
      <x:c r="A849" s="5">
        <x:v>2023</x:v>
      </x:c>
      <x:c r="B849" s="15" t="s">
        <x:v>778</x:v>
      </x:c>
      <x:c r="C849" s="15" t="s">
        <x:v>779</x:v>
      </x:c>
      <x:c r="D849" s="15" t="s">
        <x:v>646</x:v>
      </x:c>
      <x:c r="E849" s="6">
        <x:v>37260</x:v>
      </x:c>
      <x:c r="F849" s="6">
        <x:v>614930</x:v>
      </x:c>
      <x:c r="G849" s="9">
        <x:v>6.0579999999999995E-2</x:v>
      </x:c>
    </x:row>
    <x:row r="850">
      <x:c r="A850" s="5">
        <x:v>2023</x:v>
      </x:c>
      <x:c r="B850" s="15" t="s">
        <x:v>787</x:v>
      </x:c>
      <x:c r="C850" s="15" t="s">
        <x:v>788</x:v>
      </x:c>
      <x:c r="D850" s="15" t="s">
        <x:v>649</x:v>
      </x:c>
      <x:c r="E850" s="6">
        <x:v>75560</x:v>
      </x:c>
      <x:c r="F850" s="6">
        <x:v>1300290</x:v>
      </x:c>
      <x:c r="G850" s="9">
        <x:v>5.8110000000000002E-2</x:v>
      </x:c>
    </x:row>
    <x:row r="851">
      <x:c r="A851" s="5">
        <x:v>2023</x:v>
      </x:c>
      <x:c r="B851" s="15" t="s">
        <x:v>729</x:v>
      </x:c>
      <x:c r="C851" s="15" t="s">
        <x:v>730</x:v>
      </x:c>
      <x:c r="D851" s="15" t="s">
        <x:v>640</x:v>
      </x:c>
      <x:c r="E851" s="6">
        <x:v>17060</x:v>
      </x:c>
      <x:c r="F851" s="6">
        <x:v>256020</x:v>
      </x:c>
      <x:c r="G851" s="9">
        <x:v>6.6639999999999991E-2</x:v>
      </x:c>
    </x:row>
    <x:row r="852">
      <x:c r="A852" s="5">
        <x:v>2023</x:v>
      </x:c>
      <x:c r="B852" s="15" t="s">
        <x:v>738</x:v>
      </x:c>
      <x:c r="C852" s="15" t="s">
        <x:v>739</x:v>
      </x:c>
      <x:c r="D852" s="15" t="s">
        <x:v>644</x:v>
      </x:c>
      <x:c r="E852" s="6">
        <x:v>29570</x:v>
      </x:c>
      <x:c r="F852" s="6">
        <x:v>446490</x:v>
      </x:c>
      <x:c r="G852" s="9">
        <x:v>6.6229999999999997E-2</x:v>
      </x:c>
    </x:row>
    <x:row r="853">
      <x:c r="A853" s="5">
        <x:v>2023</x:v>
      </x:c>
      <x:c r="B853" s="15" t="s">
        <x:v>666</x:v>
      </x:c>
      <x:c r="C853" s="15" t="s">
        <x:v>667</x:v>
      </x:c>
      <x:c r="D853" s="15" t="s">
        <x:v>646</x:v>
      </x:c>
      <x:c r="E853" s="6">
        <x:v>25360</x:v>
      </x:c>
      <x:c r="F853" s="6">
        <x:v>325030</x:v>
      </x:c>
      <x:c r="G853" s="9">
        <x:v>7.8009999999999996E-2</x:v>
      </x:c>
    </x:row>
    <x:row r="854">
      <x:c r="A854" s="5">
        <x:v>2023</x:v>
      </x:c>
      <x:c r="B854" s="15" t="s">
        <x:v>722</x:v>
      </x:c>
      <x:c r="C854" s="15" t="s">
        <x:v>723</x:v>
      </x:c>
      <x:c r="D854" s="15" t="s">
        <x:v>649</x:v>
      </x:c>
      <x:c r="E854" s="6">
        <x:v>51670</x:v>
      </x:c>
      <x:c r="F854" s="6">
        <x:v>764560</x:v>
      </x:c>
      <x:c r="G854" s="9">
        <x:v>6.7580000000000001E-2</x:v>
      </x:c>
    </x:row>
    <x:row r="855">
      <x:c r="A855" s="5">
        <x:v>2023</x:v>
      </x:c>
      <x:c r="B855" s="15" t="s">
        <x:v>736</x:v>
      </x:c>
      <x:c r="C855" s="15" t="s">
        <x:v>737</x:v>
      </x:c>
      <x:c r="D855" s="15" t="s">
        <x:v>649</x:v>
      </x:c>
      <x:c r="E855" s="6">
        <x:v>15030</x:v>
      </x:c>
      <x:c r="F855" s="6">
        <x:v>227110</x:v>
      </x:c>
      <x:c r="G855" s="9">
        <x:v>6.6159999999999997E-2</x:v>
      </x:c>
    </x:row>
    <x:row r="856">
      <x:c r="A856" s="5">
        <x:v>2023</x:v>
      </x:c>
      <x:c r="B856" s="15" t="s">
        <x:v>651</x:v>
      </x:c>
      <x:c r="C856" s="15" t="s">
        <x:v>816</x:v>
      </x:c>
      <x:c r="D856" s="15" t="s">
        <x:v>652</x:v>
      </x:c>
      <x:c r="E856" s="6">
        <x:v>68580</x:v>
      </x:c>
      <x:c r="F856" s="6">
        <x:v>1481330</x:v>
      </x:c>
      <x:c r="G856" s="9">
        <x:v>4.6289999999999998E-2</x:v>
      </x:c>
    </x:row>
    <x:row r="857">
      <x:c r="A857" s="5">
        <x:v>2023</x:v>
      </x:c>
      <x:c r="B857" s="15" t="s">
        <x:v>697</x:v>
      </x:c>
      <x:c r="C857" s="15" t="s">
        <x:v>698</x:v>
      </x:c>
      <x:c r="D857" s="15" t="s">
        <x:v>646</x:v>
      </x:c>
      <x:c r="E857" s="6">
        <x:v>47970</x:v>
      </x:c>
      <x:c r="F857" s="6">
        <x:v>674360</x:v>
      </x:c>
      <x:c r="G857" s="9">
        <x:v>7.1139999999999995E-2</x:v>
      </x:c>
    </x:row>
    <x:row r="858">
      <x:c r="A858" s="5">
        <x:v>2023</x:v>
      </x:c>
      <x:c r="B858" s="15" t="s">
        <x:v>706</x:v>
      </x:c>
      <x:c r="C858" s="15" t="s">
        <x:v>707</x:v>
      </x:c>
      <x:c r="D858" s="15" t="s">
        <x:v>671</x:v>
      </x:c>
      <x:c r="E858" s="6">
        <x:v>12130</x:v>
      </x:c>
      <x:c r="F858" s="6">
        <x:v>172630</x:v>
      </x:c>
      <x:c r="G858" s="9">
        <x:v>7.0260000000000003E-2</x:v>
      </x:c>
    </x:row>
    <x:row r="859">
      <x:c r="A859" s="5">
        <x:v>2023</x:v>
      </x:c>
      <x:c r="B859" s="15" t="s">
        <x:v>710</x:v>
      </x:c>
      <x:c r="C859" s="15" t="s">
        <x:v>711</x:v>
      </x:c>
      <x:c r="D859" s="15" t="s">
        <x:v>644</x:v>
      </x:c>
      <x:c r="E859" s="6">
        <x:v>23050</x:v>
      </x:c>
      <x:c r="F859" s="6">
        <x:v>331470</x:v>
      </x:c>
      <x:c r="G859" s="9">
        <x:v>6.9550000000000001E-2</x:v>
      </x:c>
    </x:row>
    <x:row r="860">
      <x:c r="A860" s="5">
        <x:v>2023</x:v>
      </x:c>
      <x:c r="B860" s="15" t="s">
        <x:v>776</x:v>
      </x:c>
      <x:c r="C860" s="15" t="s">
        <x:v>777</x:v>
      </x:c>
      <x:c r="D860" s="15" t="s">
        <x:v>671</x:v>
      </x:c>
      <x:c r="E860" s="6">
        <x:v>4430</x:v>
      </x:c>
      <x:c r="F860" s="6">
        <x:v>72770</x:v>
      </x:c>
      <x:c r="G860" s="9">
        <x:v>6.0919999999999995E-2</x:v>
      </x:c>
    </x:row>
    <x:row r="861">
      <x:c r="A861" s="5">
        <x:v>2023</x:v>
      </x:c>
      <x:c r="B861" s="15" t="s">
        <x:v>793</x:v>
      </x:c>
      <x:c r="C861" s="15" t="s">
        <x:v>794</x:v>
      </x:c>
      <x:c r="D861" s="15" t="s">
        <x:v>652</x:v>
      </x:c>
      <x:c r="E861" s="6">
        <x:v>44850</x:v>
      </x:c>
      <x:c r="F861" s="6">
        <x:v>823480</x:v>
      </x:c>
      <x:c r="G861" s="9">
        <x:v>5.4469999999999998E-2</x:v>
      </x:c>
    </x:row>
    <x:row r="862">
      <x:c r="A862" s="5">
        <x:v>2023</x:v>
      </x:c>
      <x:c r="B862" s="15" t="s">
        <x:v>770</x:v>
      </x:c>
      <x:c r="C862" s="15" t="s">
        <x:v>771</x:v>
      </x:c>
      <x:c r="D862" s="15" t="s">
        <x:v>689</x:v>
      </x:c>
      <x:c r="E862" s="6">
        <x:v>30870</x:v>
      </x:c>
      <x:c r="F862" s="6">
        <x:v>492430</x:v>
      </x:c>
      <x:c r="G862" s="9">
        <x:v>6.2689999999999996E-2</x:v>
      </x:c>
    </x:row>
    <x:row r="863">
      <x:c r="A863" s="5">
        <x:v>2023</x:v>
      </x:c>
      <x:c r="B863" s="15" t="s">
        <x:v>679</x:v>
      </x:c>
      <x:c r="C863" s="15" t="s">
        <x:v>680</x:v>
      </x:c>
      <x:c r="D863" s="15" t="s">
        <x:v>651</x:v>
      </x:c>
      <x:c r="E863" s="6">
        <x:v>40730</x:v>
      </x:c>
      <x:c r="F863" s="6">
        <x:v>550840</x:v>
      </x:c>
      <x:c r="G863" s="9">
        <x:v>7.3929999999999996E-2</x:v>
      </x:c>
    </x:row>
    <x:row r="864">
      <x:c r="A864" s="5">
        <x:v>2023</x:v>
      </x:c>
      <x:c r="B864" s="15" t="s">
        <x:v>652</x:v>
      </x:c>
      <x:c r="C864" s="15" t="s">
        <x:v>182</x:v>
      </x:c>
      <x:c r="D864" s="15" t="s">
        <x:v>651</x:v>
      </x:c>
      <x:c r="E864" s="6">
        <x:v>13490</x:v>
      </x:c>
      <x:c r="F864" s="6">
        <x:v>164310</x:v>
      </x:c>
      <x:c r="G864" s="9">
        <x:v>8.2089999999999996E-2</x:v>
      </x:c>
    </x:row>
    <x:row r="865">
      <x:c r="A865" s="5">
        <x:v>2023</x:v>
      </x:c>
      <x:c r="B865" s="15" t="s">
        <x:v>799</x:v>
      </x:c>
      <x:c r="C865" s="15" t="s">
        <x:v>804</x:v>
      </x:c>
      <x:c r="D865" s="15" t="s">
        <x:v>652</x:v>
      </x:c>
      <x:c r="E865" s="6">
        <x:v>15690</x:v>
      </x:c>
      <x:c r="F865" s="6">
        <x:v>301100</x:v>
      </x:c>
      <x:c r="G865" s="9">
        <x:v>5.21E-2</x:v>
      </x:c>
    </x:row>
    <x:row r="866">
      <x:c r="A866" s="5">
        <x:v>2023</x:v>
      </x:c>
      <x:c r="B866" s="15" t="s">
        <x:v>685</x:v>
      </x:c>
      <x:c r="C866" s="15" t="s">
        <x:v>686</x:v>
      </x:c>
      <x:c r="D866" s="15" t="s">
        <x:v>651</x:v>
      </x:c>
      <x:c r="E866" s="6">
        <x:v>48530</x:v>
      </x:c>
      <x:c r="F866" s="6">
        <x:v>662620</x:v>
      </x:c>
      <x:c r="G866" s="9">
        <x:v>7.3249999999999996E-2</x:v>
      </x:c>
    </x:row>
    <x:row r="867">
      <x:c r="A867" s="5">
        <x:v>2023</x:v>
      </x:c>
      <x:c r="B867" s="15" t="s">
        <x:v>656</x:v>
      </x:c>
      <x:c r="C867" s="15" t="s">
        <x:v>657</x:v>
      </x:c>
      <x:c r="D867" s="15" t="s">
        <x:v>651</x:v>
      </x:c>
      <x:c r="E867" s="6">
        <x:v>13750</x:v>
      </x:c>
      <x:c r="F867" s="6">
        <x:v>171770</x:v>
      </x:c>
      <x:c r="G867" s="9">
        <x:v>8.0030000000000004E-2</x:v>
      </x:c>
    </x:row>
    <x:row r="868">
      <x:c r="A868" s="5">
        <x:v>2023</x:v>
      </x:c>
      <x:c r="B868" s="15" t="s">
        <x:v>802</x:v>
      </x:c>
      <x:c r="C868" s="15" t="s">
        <x:v>803</x:v>
      </x:c>
      <x:c r="D868" s="15" t="s">
        <x:v>799</x:v>
      </x:c>
      <x:c r="E868" s="6">
        <x:v>41240</x:v>
      </x:c>
      <x:c r="F868" s="6">
        <x:v>791180</x:v>
      </x:c>
      <x:c r="G868" s="9">
        <x:v>5.212E-2</x:v>
      </x:c>
    </x:row>
    <x:row r="869">
      <x:c r="A869" s="5">
        <x:v>2023</x:v>
      </x:c>
      <x:c r="B869" s="15" t="s">
        <x:v>650</x:v>
      </x:c>
      <x:c r="C869" s="15" t="s">
        <x:v>38</x:v>
      </x:c>
      <x:c r="D869" s="15" t="s">
        <x:v>651</x:v>
      </x:c>
      <x:c r="E869" s="6">
        <x:v>75250</x:v>
      </x:c>
      <x:c r="F869" s="6">
        <x:v>899590</x:v>
      </x:c>
      <x:c r="G869" s="9">
        <x:v>8.3640000000000006E-2</x:v>
      </x:c>
    </x:row>
    <x:row r="870">
      <x:c r="A870" s="5">
        <x:v>2023</x:v>
      </x:c>
      <x:c r="B870" s="15" t="s">
        <x:v>639</x:v>
      </x:c>
      <x:c r="C870" s="15" t="s">
        <x:v>19</x:v>
      </x:c>
      <x:c r="D870" s="15" t="s">
        <x:v>640</x:v>
      </x:c>
      <x:c r="E870" s="6">
        <x:v>18800</x:v>
      </x:c>
      <x:c r="F870" s="6">
        <x:v>192900</x:v>
      </x:c>
      <x:c r="G870" s="9">
        <x:v>9.7439999999999999E-2</x:v>
      </x:c>
    </x:row>
    <x:row r="871">
      <x:c r="A871" s="5">
        <x:v>2023</x:v>
      </x:c>
      <x:c r="B871" s="15" t="s">
        <x:v>690</x:v>
      </x:c>
      <x:c r="C871" s="15" t="s">
        <x:v>691</x:v>
      </x:c>
      <x:c r="D871" s="15" t="s">
        <x:v>647</x:v>
      </x:c>
      <x:c r="E871" s="6">
        <x:v>182750</x:v>
      </x:c>
      <x:c r="F871" s="6">
        <x:v>2533250</x:v>
      </x:c>
      <x:c r="G871" s="9">
        <x:v>7.214000000000001E-2</x:v>
      </x:c>
    </x:row>
    <x:row r="872">
      <x:c r="A872" s="5">
        <x:v>2023</x:v>
      </x:c>
      <x:c r="B872" s="15" t="s">
        <x:v>708</x:v>
      </x:c>
      <x:c r="C872" s="15" t="s">
        <x:v>709</x:v>
      </x:c>
      <x:c r="D872" s="15" t="s">
        <x:v>647</x:v>
      </x:c>
      <x:c r="E872" s="6">
        <x:v>56460</x:v>
      </x:c>
      <x:c r="F872" s="6">
        <x:v>814600</x:v>
      </x:c>
      <x:c r="G872" s="9">
        <x:v>6.9309999999999997E-2</x:v>
      </x:c>
    </x:row>
    <x:row r="873">
      <x:c r="A873" s="5">
        <x:v>2023</x:v>
      </x:c>
      <x:c r="B873" s="15" t="s">
        <x:v>687</x:v>
      </x:c>
      <x:c r="C873" s="15" t="s">
        <x:v>688</x:v>
      </x:c>
      <x:c r="D873" s="15" t="s">
        <x:v>689</x:v>
      </x:c>
      <x:c r="E873" s="6">
        <x:v>19450</x:v>
      </x:c>
      <x:c r="F873" s="6">
        <x:v>265900</x:v>
      </x:c>
      <x:c r="G873" s="9">
        <x:v>7.3160000000000003E-2</x:v>
      </x:c>
    </x:row>
    <x:row r="874">
      <x:c r="A874" s="5">
        <x:v>2023</x:v>
      </x:c>
      <x:c r="B874" s="15" t="s">
        <x:v>658</x:v>
      </x:c>
      <x:c r="C874" s="15" t="s">
        <x:v>659</x:v>
      </x:c>
      <x:c r="D874" s="15" t="s">
        <x:v>647</x:v>
      </x:c>
      <x:c r="E874" s="6">
        <x:v>115090</x:v>
      </x:c>
      <x:c r="F874" s="6">
        <x:v>1442030</x:v>
      </x:c>
      <x:c r="G874" s="9">
        <x:v>7.9809999999999992E-2</x:v>
      </x:c>
    </x:row>
    <x:row r="875">
      <x:c r="A875" s="5">
        <x:v>2023</x:v>
      </x:c>
      <x:c r="B875" s="15" t="s">
        <x:v>760</x:v>
      </x:c>
      <x:c r="C875" s="15" t="s">
        <x:v>761</x:v>
      </x:c>
      <x:c r="D875" s="15" t="s">
        <x:v>649</x:v>
      </x:c>
      <x:c r="E875" s="6">
        <x:v>41840</x:v>
      </x:c>
      <x:c r="F875" s="6">
        <x:v>653430</x:v>
      </x:c>
      <x:c r="G875" s="9">
        <x:v>6.402999999999999E-2</x:v>
      </x:c>
    </x:row>
    <x:row r="876">
      <x:c r="A876" s="5">
        <x:v>2023</x:v>
      </x:c>
      <x:c r="B876" s="15" t="s">
        <x:v>789</x:v>
      </x:c>
      <x:c r="C876" s="15" t="s">
        <x:v>790</x:v>
      </x:c>
      <x:c r="D876" s="15" t="s">
        <x:v>644</x:v>
      </x:c>
      <x:c r="E876" s="6">
        <x:v>40190</x:v>
      </x:c>
      <x:c r="F876" s="6">
        <x:v>703110</x:v>
      </x:c>
      <x:c r="G876" s="9">
        <x:v>5.7160000000000002E-2</x:v>
      </x:c>
    </x:row>
    <x:row r="877">
      <x:c r="A877" s="5">
        <x:v>2023</x:v>
      </x:c>
      <x:c r="B877" s="15" t="s">
        <x:v>734</x:v>
      </x:c>
      <x:c r="C877" s="15" t="s">
        <x:v>735</x:v>
      </x:c>
      <x:c r="D877" s="15" t="s">
        <x:v>671</x:v>
      </x:c>
      <x:c r="E877" s="6">
        <x:v>15320</x:v>
      </x:c>
      <x:c r="F877" s="6">
        <x:v>230970</x:v>
      </x:c>
      <x:c r="G877" s="9">
        <x:v>6.634000000000001E-2</x:v>
      </x:c>
    </x:row>
    <x:row r="878">
      <x:c r="A878" s="5">
        <x:v>2023</x:v>
      </x:c>
      <x:c r="B878" s="15" t="s">
        <x:v>695</x:v>
      </x:c>
      <x:c r="C878" s="15" t="s">
        <x:v>696</x:v>
      </x:c>
      <x:c r="D878" s="15" t="s">
        <x:v>671</x:v>
      </x:c>
      <x:c r="E878" s="6">
        <x:v>36150</x:v>
      </x:c>
      <x:c r="F878" s="6">
        <x:v>510930</x:v>
      </x:c>
      <x:c r="G878" s="9">
        <x:v>7.075999999999999E-2</x:v>
      </x:c>
    </x:row>
    <x:row r="879">
      <x:c r="A879" s="5">
        <x:v>2023</x:v>
      </x:c>
      <x:c r="B879" s="15" t="s">
        <x:v>699</x:v>
      </x:c>
      <x:c r="C879" s="15" t="s">
        <x:v>700</x:v>
      </x:c>
      <x:c r="D879" s="15" t="s">
        <x:v>651</x:v>
      </x:c>
      <x:c r="E879" s="6">
        <x:v>80910</x:v>
      </x:c>
      <x:c r="F879" s="6">
        <x:v>1138600</x:v>
      </x:c>
      <x:c r="G879" s="9">
        <x:v>7.1059999999999998E-2</x:v>
      </x:c>
    </x:row>
    <x:row r="880">
      <x:c r="A880" s="5">
        <x:v>2023</x:v>
      </x:c>
      <x:c r="B880" s="15" t="s">
        <x:v>677</x:v>
      </x:c>
      <x:c r="C880" s="15" t="s">
        <x:v>678</x:v>
      </x:c>
      <x:c r="D880" s="15" t="s">
        <x:v>651</x:v>
      </x:c>
      <x:c r="E880" s="6">
        <x:v>55100</x:v>
      </x:c>
      <x:c r="F880" s="6">
        <x:v>735110</x:v>
      </x:c>
      <x:c r="G880" s="9">
        <x:v>7.4959999999999999E-2</x:v>
      </x:c>
    </x:row>
    <x:row r="881">
      <x:c r="A881" s="5">
        <x:v>2023</x:v>
      </x:c>
      <x:c r="B881" s="15" t="s">
        <x:v>791</x:v>
      </x:c>
      <x:c r="C881" s="15" t="s">
        <x:v>792</x:v>
      </x:c>
      <x:c r="D881" s="15" t="s">
        <x:v>649</x:v>
      </x:c>
      <x:c r="E881" s="6">
        <x:v>104100</x:v>
      </x:c>
      <x:c r="F881" s="6">
        <x:v>1895880</x:v>
      </x:c>
      <x:c r="G881" s="9">
        <x:v>5.4909999999999994E-2</x:v>
      </x:c>
    </x:row>
    <x:row r="882">
      <x:c r="A882" s="5">
        <x:v>2023</x:v>
      </x:c>
      <x:c r="B882" s="15" t="s">
        <x:v>664</x:v>
      </x:c>
      <x:c r="C882" s="15" t="s">
        <x:v>665</x:v>
      </x:c>
      <x:c r="D882" s="15" t="s">
        <x:v>640</x:v>
      </x:c>
      <x:c r="E882" s="6">
        <x:v>17810</x:v>
      </x:c>
      <x:c r="F882" s="6">
        <x:v>229290</x:v>
      </x:c>
      <x:c r="G882" s="9">
        <x:v>7.7679999999999999E-2</x:v>
      </x:c>
    </x:row>
    <x:row r="883">
      <x:c r="A883" s="5">
        <x:v>2023</x:v>
      </x:c>
      <x:c r="B883" s="15" t="s">
        <x:v>660</x:v>
      </x:c>
      <x:c r="C883" s="15" t="s">
        <x:v>661</x:v>
      </x:c>
      <x:c r="D883" s="15" t="s">
        <x:v>640</x:v>
      </x:c>
      <x:c r="E883" s="6">
        <x:v>42990</x:v>
      </x:c>
      <x:c r="F883" s="6">
        <x:v>541160</x:v>
      </x:c>
      <x:c r="G883" s="9">
        <x:v>7.9450000000000007E-2</x:v>
      </x:c>
    </x:row>
    <x:row r="884">
      <x:c r="A884" s="5">
        <x:v>2023</x:v>
      </x:c>
      <x:c r="B884" s="15" t="s">
        <x:v>732</x:v>
      </x:c>
      <x:c r="C884" s="15" t="s">
        <x:v>733</x:v>
      </x:c>
      <x:c r="D884" s="15" t="s">
        <x:v>652</x:v>
      </x:c>
      <x:c r="E884" s="6">
        <x:v>36840</x:v>
      </x:c>
      <x:c r="F884" s="6">
        <x:v>556260</x:v>
      </x:c>
      <x:c r="G884" s="9">
        <x:v>6.6229999999999997E-2</x:v>
      </x:c>
    </x:row>
    <x:row r="885">
      <x:c r="A885" s="5">
        <x:v>2023</x:v>
      </x:c>
      <x:c r="B885" s="15" t="s">
        <x:v>807</x:v>
      </x:c>
      <x:c r="C885" s="15" t="s">
        <x:v>808</x:v>
      </x:c>
      <x:c r="D885" s="15" t="s">
        <x:v>649</x:v>
      </x:c>
      <x:c r="E885" s="6">
        <x:v>23050</x:v>
      </x:c>
      <x:c r="F885" s="6">
        <x:v>446500</x:v>
      </x:c>
      <x:c r="G885" s="9">
        <x:v>5.1619999999999999E-2</x:v>
      </x:c>
    </x:row>
    <x:row r="886">
      <x:c r="A886" s="5">
        <x:v>2023</x:v>
      </x:c>
      <x:c r="B886" s="15" t="s">
        <x:v>817</x:v>
      </x:c>
      <x:c r="C886" s="15" t="s">
        <x:v>818</x:v>
      </x:c>
      <x:c r="D886" s="15" t="s">
        <x:v>649</x:v>
      </x:c>
      <x:c r="E886" s="6">
        <x:v>37770</x:v>
      </x:c>
      <x:c r="F886" s="6">
        <x:v>814980</x:v>
      </x:c>
      <x:c r="G886" s="9">
        <x:v>4.6340000000000006E-2</x:v>
      </x:c>
    </x:row>
    <x:row r="887">
      <x:c r="A887" s="5">
        <x:v>2023</x:v>
      </x:c>
      <x:c r="B887" s="15" t="s">
        <x:v>644</x:v>
      </x:c>
      <x:c r="C887" s="15" t="s">
        <x:v>815</x:v>
      </x:c>
      <x:c r="D887" s="15" t="s">
        <x:v>670</x:v>
      </x:c>
      <x:c r="E887" s="6">
        <x:v>101310</x:v>
      </x:c>
      <x:c r="F887" s="6">
        <x:v>2070400</x:v>
      </x:c>
      <x:c r="G887" s="9">
        <x:v>4.8930000000000001E-2</x:v>
      </x:c>
    </x:row>
    <x:row r="888">
      <x:c r="A888" s="5">
        <x:v>2023</x:v>
      </x:c>
      <x:c r="B888" s="15" t="s">
        <x:v>671</x:v>
      </x:c>
      <x:c r="C888" s="15" t="s">
        <x:v>714</x:v>
      </x:c>
      <x:c r="D888" s="15" t="s">
        <x:v>689</x:v>
      </x:c>
      <x:c r="E888" s="6">
        <x:v>85430</x:v>
      </x:c>
      <x:c r="F888" s="6">
        <x:v>1238900</x:v>
      </x:c>
      <x:c r="G888" s="9">
        <x:v>6.8949999999999997E-2</x:v>
      </x:c>
    </x:row>
    <x:row r="889">
      <x:c r="A889" s="5">
        <x:v>2023</x:v>
      </x:c>
      <x:c r="B889" s="15" t="s">
        <x:v>762</x:v>
      </x:c>
      <x:c r="C889" s="15" t="s">
        <x:v>763</x:v>
      </x:c>
      <x:c r="D889" s="15" t="s">
        <x:v>670</x:v>
      </x:c>
      <x:c r="E889" s="6">
        <x:v>90160</x:v>
      </x:c>
      <x:c r="F889" s="6">
        <x:v>1435150</x:v>
      </x:c>
      <x:c r="G889" s="9">
        <x:v>6.2820000000000001E-2</x:v>
      </x:c>
    </x:row>
    <x:row r="890">
      <x:c r="A890" s="5">
        <x:v>2023</x:v>
      </x:c>
      <x:c r="B890" s="15" t="s">
        <x:v>805</x:v>
      </x:c>
      <x:c r="C890" s="15" t="s">
        <x:v>806</x:v>
      </x:c>
      <x:c r="D890" s="15" t="s">
        <x:v>670</x:v>
      </x:c>
      <x:c r="E890" s="6">
        <x:v>76060</x:v>
      </x:c>
      <x:c r="F890" s="6">
        <x:v>1478120</x:v>
      </x:c>
      <x:c r="G890" s="9">
        <x:v>5.1459999999999999E-2</x:v>
      </x:c>
    </x:row>
    <x:row r="891">
      <x:c r="A891" s="5">
        <x:v>2023</x:v>
      </x:c>
      <x:c r="B891" s="15" t="s">
        <x:v>715</x:v>
      </x:c>
      <x:c r="C891" s="15" t="s">
        <x:v>716</x:v>
      </x:c>
      <x:c r="D891" s="15" t="s">
        <x:v>644</x:v>
      </x:c>
      <x:c r="E891" s="6">
        <x:v>25040</x:v>
      </x:c>
      <x:c r="F891" s="6">
        <x:v>370340</x:v>
      </x:c>
      <x:c r="G891" s="9">
        <x:v>6.762E-2</x:v>
      </x:c>
    </x:row>
    <x:row r="892">
      <x:c r="A892" s="5">
        <x:v>2023</x:v>
      </x:c>
      <x:c r="B892" s="15" t="s">
        <x:v>662</x:v>
      </x:c>
      <x:c r="C892" s="15" t="s">
        <x:v>663</x:v>
      </x:c>
      <x:c r="D892" s="15" t="s">
        <x:v>647</x:v>
      </x:c>
      <x:c r="E892" s="6">
        <x:v>43500</x:v>
      </x:c>
      <x:c r="F892" s="6">
        <x:v>552610</x:v>
      </x:c>
      <x:c r="G892" s="9">
        <x:v>7.8719999999999998E-2</x:v>
      </x:c>
    </x:row>
    <x:row r="893">
      <x:c r="A893" s="5">
        <x:v>2023</x:v>
      </x:c>
      <x:c r="B893" s="15" t="s">
        <x:v>752</x:v>
      </x:c>
      <x:c r="C893" s="15" t="s">
        <x:v>753</x:v>
      </x:c>
      <x:c r="D893" s="15" t="s">
        <x:v>671</x:v>
      </x:c>
      <x:c r="E893" s="6">
        <x:v>25360</x:v>
      </x:c>
      <x:c r="F893" s="6">
        <x:v>396160</x:v>
      </x:c>
      <x:c r="G893" s="9">
        <x:v>6.4000000000000001E-2</x:v>
      </x:c>
    </x:row>
    <x:row r="894">
      <x:c r="A894" s="5">
        <x:v>2023</x:v>
      </x:c>
      <x:c r="B894" s="15" t="s">
        <x:v>756</x:v>
      </x:c>
      <x:c r="C894" s="15" t="s">
        <x:v>757</x:v>
      </x:c>
      <x:c r="D894" s="15" t="s">
        <x:v>671</x:v>
      </x:c>
      <x:c r="E894" s="6">
        <x:v>16970</x:v>
      </x:c>
      <x:c r="F894" s="6">
        <x:v>266880</x:v>
      </x:c>
      <x:c r="G894" s="9">
        <x:v>6.3579999999999998E-2</x:v>
      </x:c>
    </x:row>
    <x:row r="895">
      <x:c r="A895" s="5">
        <x:v>2023</x:v>
      </x:c>
      <x:c r="B895" s="15" t="s">
        <x:v>758</x:v>
      </x:c>
      <x:c r="C895" s="15" t="s">
        <x:v>759</x:v>
      </x:c>
      <x:c r="D895" s="15" t="s">
        <x:v>672</x:v>
      </x:c>
      <x:c r="E895" s="6">
        <x:v>73970</x:v>
      </x:c>
      <x:c r="F895" s="6">
        <x:v>1160260</x:v>
      </x:c>
      <x:c r="G895" s="9">
        <x:v>6.3750000000000001E-2</x:v>
      </x:c>
    </x:row>
    <x:row r="896">
      <x:c r="A896" s="5">
        <x:v>2023</x:v>
      </x:c>
      <x:c r="B896" s="15" t="s">
        <x:v>649</x:v>
      </x:c>
      <x:c r="C896" s="15" t="s">
        <x:v>731</x:v>
      </x:c>
      <x:c r="D896" s="15" t="s">
        <x:v>672</x:v>
      </x:c>
      <x:c r="E896" s="6">
        <x:v>39510</x:v>
      </x:c>
      <x:c r="F896" s="6">
        <x:v>590960</x:v>
      </x:c>
      <x:c r="G896" s="9">
        <x:v>6.6849999999999993E-2</x:v>
      </x:c>
    </x:row>
    <x:row r="897">
      <x:c r="A897" s="5">
        <x:v>2023</x:v>
      </x:c>
      <x:c r="B897" s="15" t="s">
        <x:v>754</x:v>
      </x:c>
      <x:c r="C897" s="15" t="s">
        <x:v>755</x:v>
      </x:c>
      <x:c r="D897" s="15" t="s">
        <x:v>652</x:v>
      </x:c>
      <x:c r="E897" s="6">
        <x:v>45900</x:v>
      </x:c>
      <x:c r="F897" s="6">
        <x:v>716550</x:v>
      </x:c>
      <x:c r="G897" s="9">
        <x:v>6.4049999999999996E-2</x:v>
      </x:c>
    </x:row>
    <x:row r="898">
      <x:c r="A898" s="5">
        <x:v>2023</x:v>
      </x:c>
      <x:c r="B898" s="15" t="s">
        <x:v>750</x:v>
      </x:c>
      <x:c r="C898" s="15" t="s">
        <x:v>751</x:v>
      </x:c>
      <x:c r="D898" s="15" t="s">
        <x:v>644</x:v>
      </x:c>
      <x:c r="E898" s="6">
        <x:v>27070</x:v>
      </x:c>
      <x:c r="F898" s="6">
        <x:v>421870</x:v>
      </x:c>
      <x:c r="G898" s="9">
        <x:v>6.4160000000000009E-2</x:v>
      </x:c>
    </x:row>
    <x:row r="899">
      <x:c r="A899" s="5">
        <x:v>2023</x:v>
      </x:c>
      <x:c r="B899" s="15" t="s">
        <x:v>683</x:v>
      </x:c>
      <x:c r="C899" s="15" t="s">
        <x:v>684</x:v>
      </x:c>
      <x:c r="D899" s="15" t="s">
        <x:v>644</x:v>
      </x:c>
      <x:c r="E899" s="6">
        <x:v>26620</x:v>
      </x:c>
      <x:c r="F899" s="6">
        <x:v>360110</x:v>
      </x:c>
      <x:c r="G899" s="9">
        <x:v>7.3910000000000003E-2</x:v>
      </x:c>
    </x:row>
    <x:row r="900">
      <x:c r="A900" s="5">
        <x:v>2023</x:v>
      </x:c>
      <x:c r="B900" s="15" t="s">
        <x:v>675</x:v>
      </x:c>
      <x:c r="C900" s="15" t="s">
        <x:v>676</x:v>
      </x:c>
      <x:c r="D900" s="15" t="s">
        <x:v>651</x:v>
      </x:c>
      <x:c r="E900" s="6">
        <x:v>27050</x:v>
      </x:c>
      <x:c r="F900" s="6">
        <x:v>357100</x:v>
      </x:c>
      <x:c r="G900" s="9">
        <x:v>7.5749999999999998E-2</x:v>
      </x:c>
    </x:row>
    <x:row r="901">
      <x:c r="A901" s="5">
        <x:v>2023</x:v>
      </x:c>
      <x:c r="B901" s="15" t="s">
        <x:v>655</x:v>
      </x:c>
      <x:c r="C901" s="15" t="s">
        <x:v>42</x:v>
      </x:c>
      <x:c r="D901" s="15" t="s">
        <x:v>640</x:v>
      </x:c>
      <x:c r="E901" s="6">
        <x:v>26470</x:v>
      </x:c>
      <x:c r="F901" s="6">
        <x:v>324590</x:v>
      </x:c>
      <x:c r="G901" s="9">
        <x:v>8.1540000000000001E-2</x:v>
      </x:c>
    </x:row>
    <x:row r="902">
      <x:c r="A902" s="5">
        <x:v>2023</x:v>
      </x:c>
      <x:c r="B902" s="15" t="s">
        <x:v>712</x:v>
      </x:c>
      <x:c r="C902" s="15" t="s">
        <x:v>713</x:v>
      </x:c>
      <x:c r="D902" s="15" t="s">
        <x:v>640</x:v>
      </x:c>
      <x:c r="E902" s="6">
        <x:v>9360</x:v>
      </x:c>
      <x:c r="F902" s="6">
        <x:v>134740</x:v>
      </x:c>
      <x:c r="G902" s="9">
        <x:v>6.948E-2</x:v>
      </x:c>
    </x:row>
    <x:row r="903">
      <x:c r="A903" s="5">
        <x:v>2023</x:v>
      </x:c>
      <x:c r="B903" s="15" t="s">
        <x:v>784</x:v>
      </x:c>
      <x:c r="C903" s="15" t="s">
        <x:v>785</x:v>
      </x:c>
      <x:c r="D903" s="15" t="s">
        <x:v>670</x:v>
      </x:c>
      <x:c r="E903" s="6">
        <x:v>77130</x:v>
      </x:c>
      <x:c r="F903" s="6">
        <x:v>1319040</x:v>
      </x:c>
      <x:c r="G903" s="9">
        <x:v>5.8470000000000001E-2</x:v>
      </x:c>
    </x:row>
    <x:row r="904">
      <x:c r="A904" s="5">
        <x:v>2023</x:v>
      </x:c>
      <x:c r="B904" s="15" t="s">
        <x:v>809</x:v>
      </x:c>
      <x:c r="C904" s="15" t="s">
        <x:v>810</x:v>
      </x:c>
      <x:c r="D904" s="15" t="s">
        <x:v>670</x:v>
      </x:c>
      <x:c r="E904" s="6">
        <x:v>79850</x:v>
      </x:c>
      <x:c r="F904" s="6">
        <x:v>1603900</x:v>
      </x:c>
      <x:c r="G904" s="9">
        <x:v>4.9790000000000001E-2</x:v>
      </x:c>
    </x:row>
    <x:row r="905">
      <x:c r="A905" s="5">
        <x:v>2023</x:v>
      </x:c>
      <x:c r="B905" s="15" t="s">
        <x:v>672</x:v>
      </x:c>
      <x:c r="C905" s="15" t="s">
        <x:v>673</x:v>
      </x:c>
      <x:c r="D905" s="15" t="s">
        <x:v>670</x:v>
      </x:c>
      <x:c r="E905" s="6">
        <x:v>122690</x:v>
      </x:c>
      <x:c r="F905" s="6">
        <x:v>1613140</x:v>
      </x:c>
      <x:c r="G905" s="9">
        <x:v>7.6060000000000003E-2</x:v>
      </x:c>
    </x:row>
    <x:row r="906">
      <x:c r="A906" s="5">
        <x:v>2023</x:v>
      </x:c>
      <x:c r="B906" s="15" t="s">
        <x:v>705</x:v>
      </x:c>
      <x:c r="C906" s="15" t="s">
        <x:v>780</x:v>
      </x:c>
      <x:c r="D906" s="15" t="s">
        <x:v>670</x:v>
      </x:c>
      <x:c r="E906" s="6">
        <x:v>82520</x:v>
      </x:c>
      <x:c r="F906" s="6">
        <x:v>1375820</x:v>
      </x:c>
      <x:c r="G906" s="9">
        <x:v>5.9980000000000006E-2</x:v>
      </x:c>
    </x:row>
    <x:row r="907">
      <x:c r="A907" s="5">
        <x:v>2023</x:v>
      </x:c>
      <x:c r="B907" s="15" t="s">
        <x:v>740</x:v>
      </x:c>
      <x:c r="C907" s="15" t="s">
        <x:v>741</x:v>
      </x:c>
      <x:c r="D907" s="15" t="s">
        <x:v>670</x:v>
      </x:c>
      <x:c r="E907" s="6">
        <x:v>84460</x:v>
      </x:c>
      <x:c r="F907" s="6">
        <x:v>1285770</x:v>
      </x:c>
      <x:c r="G907" s="9">
        <x:v>6.5689999999999998E-2</x:v>
      </x:c>
    </x:row>
    <x:row r="908">
      <x:c r="A908" s="5">
        <x:v>2023</x:v>
      </x:c>
      <x:c r="B908" s="15" t="s">
        <x:v>635</x:v>
      </x:c>
      <x:c r="C908" s="15" t="s">
        <x:v>10</x:v>
      </x:c>
      <x:c r="D908" s="15" t="s">
        <x:v>636</x:v>
      </x:c>
      <x:c r="E908" s="6">
        <x:v>45110</x:v>
      </x:c>
      <x:c r="F908" s="6">
        <x:v>387070</x:v>
      </x:c>
      <x:c r="G908" s="9">
        <x:v>0.11654999999999999</x:v>
      </x:c>
    </x:row>
    <x:row r="909">
      <x:c r="A909" s="5">
        <x:v>2023</x:v>
      </x:c>
      <x:c r="B909" s="15" t="s">
        <x:v>637</x:v>
      </x:c>
      <x:c r="C909" s="15" t="s">
        <x:v>14</x:v>
      </x:c>
      <x:c r="D909" s="15" t="s">
        <x:v>638</x:v>
      </x:c>
      <x:c r="E909" s="6">
        <x:v>39440</x:v>
      </x:c>
      <x:c r="F909" s="6">
        <x:v>360030</x:v>
      </x:c>
      <x:c r="G909" s="9">
        <x:v>0.10954000000000001</x:v>
      </x:c>
    </x:row>
    <x:row r="910">
      <x:c r="A910" s="5">
        <x:v>2023</x:v>
      </x:c>
      <x:c r="B910" s="15" t="s">
        <x:v>749</x:v>
      </x:c>
      <x:c r="C910" s="15" t="s">
        <x:v>67</x:v>
      </x:c>
      <x:c r="D910" s="15" t="s">
        <x:v>648</x:v>
      </x:c>
      <x:c r="E910" s="6">
        <x:v>13110</x:v>
      </x:c>
      <x:c r="F910" s="6">
        <x:v>203460</x:v>
      </x:c>
      <x:c r="G910" s="9">
        <x:v>6.4460000000000003E-2</x:v>
      </x:c>
    </x:row>
    <x:row r="911">
      <x:c r="A911" s="5">
        <x:v>2023</x:v>
      </x:c>
      <x:c r="B911" s="15" t="s">
        <x:v>641</x:v>
      </x:c>
      <x:c r="C911" s="15" t="s">
        <x:v>20</x:v>
      </x:c>
      <x:c r="D911" s="15" t="s">
        <x:v>642</x:v>
      </x:c>
      <x:c r="E911" s="6">
        <x:v>87090</x:v>
      </x:c>
      <x:c r="F911" s="6">
        <x:v>936880</x:v>
      </x:c>
      <x:c r="G911" s="9">
        <x:v>9.2959999999999987E-2</x:v>
      </x:c>
    </x:row>
    <x:row r="912">
      <x:c r="A912" s="5">
        <x:v>2023</x:v>
      </x:c>
      <x:c r="B912" s="15" t="s">
        <x:v>783</x:v>
      </x:c>
      <x:c r="C912" s="15" t="s">
        <x:v>75</x:v>
      </x:c>
      <x:c r="D912" s="15" t="s">
        <x:v>774</x:v>
      </x:c>
      <x:c r="E912" s="6">
        <x:v>7490</x:v>
      </x:c>
      <x:c r="F912" s="6">
        <x:v>131090</x:v>
      </x:c>
      <x:c r="G912" s="9">
        <x:v>5.7110000000000001E-2</x:v>
      </x:c>
    </x:row>
    <x:row r="913">
      <x:c r="A913" s="5">
        <x:v>2024</x:v>
      </x:c>
      <x:c r="B913" s="15" t="s">
        <x:v>636</x:v>
      </x:c>
      <x:c r="C913" s="15" t="s">
        <x:v>786</x:v>
      </x:c>
      <x:c r="D913" s="15" t="s">
        <x:v>649</x:v>
      </x:c>
      <x:c r="E913" s="6">
        <x:v>38040</x:v>
      </x:c>
      <x:c r="F913" s="6">
        <x:v>635420</x:v>
      </x:c>
      <x:c r="G913" s="9">
        <x:v>5.987E-2</x:v>
      </x:c>
    </x:row>
    <x:row r="914">
      <x:c r="A914" s="5">
        <x:v>2024</x:v>
      </x:c>
      <x:c r="B914" s="15" t="s">
        <x:v>638</x:v>
      </x:c>
      <x:c r="C914" s="15" t="s">
        <x:v>50</x:v>
      </x:c>
      <x:c r="D914" s="15" t="s">
        <x:v>647</x:v>
      </x:c>
      <x:c r="E914" s="6">
        <x:v>43930</x:v>
      </x:c>
      <x:c r="F914" s="6">
        <x:v>511150</x:v>
      </x:c>
      <x:c r="G914" s="9">
        <x:v>8.5939999999999989E-2</x:v>
      </x:c>
    </x:row>
    <x:row r="915">
      <x:c r="A915" s="5">
        <x:v>2024</x:v>
      </x:c>
      <x:c r="B915" s="15" t="s">
        <x:v>648</x:v>
      </x:c>
      <x:c r="C915" s="15" t="s">
        <x:v>46</x:v>
      </x:c>
      <x:c r="D915" s="15" t="s">
        <x:v>649</x:v>
      </x:c>
      <x:c r="E915" s="6">
        <x:v>27920</x:v>
      </x:c>
      <x:c r="F915" s="6">
        <x:v>326580</x:v>
      </x:c>
      <x:c r="G915" s="9">
        <x:v>8.5500000000000007E-2</x:v>
      </x:c>
    </x:row>
    <x:row r="916">
      <x:c r="A916" s="5">
        <x:v>2024</x:v>
      </x:c>
      <x:c r="B916" s="15" t="s">
        <x:v>642</x:v>
      </x:c>
      <x:c r="C916" s="15" t="s">
        <x:v>748</x:v>
      </x:c>
      <x:c r="D916" s="15" t="s">
        <x:v>672</x:v>
      </x:c>
      <x:c r="E916" s="6">
        <x:v>11110</x:v>
      </x:c>
      <x:c r="F916" s="6">
        <x:v>167890</x:v>
      </x:c>
      <x:c r="G916" s="9">
        <x:v>6.6170000000000007E-2</x:v>
      </x:c>
    </x:row>
    <x:row r="917">
      <x:c r="A917" s="5">
        <x:v>2024</x:v>
      </x:c>
      <x:c r="B917" s="15" t="s">
        <x:v>800</x:v>
      </x:c>
      <x:c r="C917" s="15" t="s">
        <x:v>801</x:v>
      </x:c>
      <x:c r="D917" s="15" t="s">
        <x:v>672</x:v>
      </x:c>
      <x:c r="E917" s="6">
        <x:v>7930</x:v>
      </x:c>
      <x:c r="F917" s="6">
        <x:v>146080</x:v>
      </x:c>
      <x:c r="G917" s="9">
        <x:v>5.4260000000000003E-2</x:v>
      </x:c>
    </x:row>
    <x:row r="918">
      <x:c r="A918" s="5">
        <x:v>2024</x:v>
      </x:c>
      <x:c r="B918" s="15" t="s">
        <x:v>774</x:v>
      </x:c>
      <x:c r="C918" s="15" t="s">
        <x:v>775</x:v>
      </x:c>
      <x:c r="D918" s="15" t="s">
        <x:v>672</x:v>
      </x:c>
      <x:c r="E918" s="6">
        <x:v>72870</x:v>
      </x:c>
      <x:c r="F918" s="6">
        <x:v>1163540</x:v>
      </x:c>
      <x:c r="G918" s="9">
        <x:v>6.2630000000000005E-2</x:v>
      </x:c>
    </x:row>
    <x:row r="919">
      <x:c r="A919" s="5">
        <x:v>2024</x:v>
      </x:c>
      <x:c r="B919" s="15" t="s">
        <x:v>742</x:v>
      </x:c>
      <x:c r="C919" s="15" t="s">
        <x:v>743</x:v>
      </x:c>
      <x:c r="D919" s="15" t="s">
        <x:v>649</x:v>
      </x:c>
      <x:c r="E919" s="6">
        <x:v>22280</x:v>
      </x:c>
      <x:c r="F919" s="6">
        <x:v>331690</x:v>
      </x:c>
      <x:c r="G919" s="9">
        <x:v>6.7169999999999994E-2</x:v>
      </x:c>
    </x:row>
    <x:row r="920">
      <x:c r="A920" s="5">
        <x:v>2024</x:v>
      </x:c>
      <x:c r="B920" s="15" t="s">
        <x:v>653</x:v>
      </x:c>
      <x:c r="C920" s="15" t="s">
        <x:v>97</x:v>
      </x:c>
      <x:c r="D920" s="15" t="s">
        <x:v>651</x:v>
      </x:c>
      <x:c r="E920" s="6">
        <x:v>21670</x:v>
      </x:c>
      <x:c r="F920" s="6">
        <x:v>256360</x:v>
      </x:c>
      <x:c r="G920" s="9">
        <x:v>8.4540000000000004E-2</x:v>
      </x:c>
    </x:row>
    <x:row r="921">
      <x:c r="A921" s="5">
        <x:v>2024</x:v>
      </x:c>
      <x:c r="B921" s="15" t="s">
        <x:v>717</x:v>
      </x:c>
      <x:c r="C921" s="15" t="s">
        <x:v>718</x:v>
      </x:c>
      <x:c r="D921" s="15" t="s">
        <x:v>671</x:v>
      </x:c>
      <x:c r="E921" s="6">
        <x:v>10740</x:v>
      </x:c>
      <x:c r="F921" s="6">
        <x:v>154080</x:v>
      </x:c>
      <x:c r="G921" s="9">
        <x:v>6.9669999999999996E-2</x:v>
      </x:c>
    </x:row>
    <x:row r="922">
      <x:c r="A922" s="5">
        <x:v>2024</x:v>
      </x:c>
      <x:c r="B922" s="15" t="s">
        <x:v>668</x:v>
      </x:c>
      <x:c r="C922" s="15" t="s">
        <x:v>669</x:v>
      </x:c>
      <x:c r="D922" s="15" t="s">
        <x:v>651</x:v>
      </x:c>
      <x:c r="E922" s="6">
        <x:v>23290</x:v>
      </x:c>
      <x:c r="F922" s="6">
        <x:v>296710</x:v>
      </x:c>
      <x:c r="G922" s="9">
        <x:v>7.85E-2</x:v>
      </x:c>
    </x:row>
    <x:row r="923">
      <x:c r="A923" s="5">
        <x:v>2024</x:v>
      </x:c>
      <x:c r="B923" s="15" t="s">
        <x:v>670</x:v>
      </x:c>
      <x:c r="C923" s="15" t="s">
        <x:v>89</x:v>
      </x:c>
      <x:c r="D923" s="15" t="s">
        <x:v>671</x:v>
      </x:c>
      <x:c r="E923" s="6">
        <x:v>29940</x:v>
      </x:c>
      <x:c r="F923" s="6">
        <x:v>382400</x:v>
      </x:c>
      <x:c r="G923" s="9">
        <x:v>7.8289999999999998E-2</x:v>
      </x:c>
    </x:row>
    <x:row r="924">
      <x:c r="A924" s="5">
        <x:v>2024</x:v>
      </x:c>
      <x:c r="B924" s="15" t="s">
        <x:v>768</x:v>
      </x:c>
      <x:c r="C924" s="15" t="s">
        <x:v>769</x:v>
      </x:c>
      <x:c r="D924" s="15" t="s">
        <x:v>671</x:v>
      </x:c>
      <x:c r="E924" s="6">
        <x:v>17730</x:v>
      </x:c>
      <x:c r="F924" s="6">
        <x:v>275130</x:v>
      </x:c>
      <x:c r="G924" s="9">
        <x:v>6.4430000000000001E-2</x:v>
      </x:c>
    </x:row>
    <x:row r="925">
      <x:c r="A925" s="5">
        <x:v>2024</x:v>
      </x:c>
      <x:c r="B925" s="15" t="s">
        <x:v>744</x:v>
      </x:c>
      <x:c r="C925" s="15" t="s">
        <x:v>745</x:v>
      </x:c>
      <x:c r="D925" s="15" t="s">
        <x:v>672</x:v>
      </x:c>
      <x:c r="E925" s="6">
        <x:v>144580</x:v>
      </x:c>
      <x:c r="F925" s="6">
        <x:v>2160550</x:v>
      </x:c>
      <x:c r="G925" s="9">
        <x:v>6.6920000000000007E-2</x:v>
      </x:c>
    </x:row>
    <x:row r="926">
      <x:c r="A926" s="5">
        <x:v>2024</x:v>
      </x:c>
      <x:c r="B926" s="15" t="s">
        <x:v>772</x:v>
      </x:c>
      <x:c r="C926" s="15" t="s">
        <x:v>773</x:v>
      </x:c>
      <x:c r="D926" s="15" t="s">
        <x:v>689</x:v>
      </x:c>
      <x:c r="E926" s="6">
        <x:v>44110</x:v>
      </x:c>
      <x:c r="F926" s="6">
        <x:v>701340</x:v>
      </x:c>
      <x:c r="G926" s="9">
        <x:v>6.2899999999999998E-2</x:v>
      </x:c>
    </x:row>
    <x:row r="927">
      <x:c r="A927" s="5">
        <x:v>2024</x:v>
      </x:c>
      <x:c r="B927" s="15" t="s">
        <x:v>692</x:v>
      </x:c>
      <x:c r="C927" s="15" t="s">
        <x:v>693</x:v>
      </x:c>
      <x:c r="D927" s="15" t="s">
        <x:v>649</x:v>
      </x:c>
      <x:c r="E927" s="6">
        <x:v>10320</x:v>
      </x:c>
      <x:c r="F927" s="6">
        <x:v>139970</x:v>
      </x:c>
      <x:c r="G927" s="9">
        <x:v>7.3730000000000004E-2</x:v>
      </x:c>
    </x:row>
    <x:row r="928">
      <x:c r="A928" s="5">
        <x:v>2024</x:v>
      </x:c>
      <x:c r="B928" s="15" t="s">
        <x:v>701</x:v>
      </x:c>
      <x:c r="C928" s="15" t="s">
        <x:v>702</x:v>
      </x:c>
      <x:c r="D928" s="15" t="s">
        <x:v>644</x:v>
      </x:c>
      <x:c r="E928" s="6">
        <x:v>24910</x:v>
      </x:c>
      <x:c r="F928" s="6">
        <x:v>344590</x:v>
      </x:c>
      <x:c r="G928" s="9">
        <x:v>7.2300000000000003E-2</x:v>
      </x:c>
    </x:row>
    <x:row r="929">
      <x:c r="A929" s="5">
        <x:v>2024</x:v>
      </x:c>
      <x:c r="B929" s="15" t="s">
        <x:v>727</x:v>
      </x:c>
      <x:c r="C929" s="15" t="s">
        <x:v>728</x:v>
      </x:c>
      <x:c r="D929" s="15" t="s">
        <x:v>644</x:v>
      </x:c>
      <x:c r="E929" s="6">
        <x:v>47510</x:v>
      </x:c>
      <x:c r="F929" s="6">
        <x:v>689650</x:v>
      </x:c>
      <x:c r="G929" s="9">
        <x:v>6.8890000000000007E-2</x:v>
      </x:c>
    </x:row>
    <x:row r="930">
      <x:c r="A930" s="5">
        <x:v>2024</x:v>
      </x:c>
      <x:c r="B930" s="15" t="s">
        <x:v>654</x:v>
      </x:c>
      <x:c r="C930" s="15" t="s">
        <x:v>86</x:v>
      </x:c>
      <x:c r="D930" s="15" t="s">
        <x:v>646</x:v>
      </x:c>
      <x:c r="E930" s="6">
        <x:v>24400</x:v>
      </x:c>
      <x:c r="F930" s="6">
        <x:v>289740</x:v>
      </x:c>
      <x:c r="G930" s="9">
        <x:v>8.4199999999999997E-2</x:v>
      </x:c>
    </x:row>
    <x:row r="931">
      <x:c r="A931" s="5">
        <x:v>2024</x:v>
      </x:c>
      <x:c r="B931" s="15" t="s">
        <x:v>681</x:v>
      </x:c>
      <x:c r="C931" s="15" t="s">
        <x:v>682</x:v>
      </x:c>
      <x:c r="D931" s="15" t="s">
        <x:v>644</x:v>
      </x:c>
      <x:c r="E931" s="6">
        <x:v>17730</x:v>
      </x:c>
      <x:c r="F931" s="6">
        <x:v>235090</x:v>
      </x:c>
      <x:c r="G931" s="9">
        <x:v>7.5420000000000001E-2</x:v>
      </x:c>
    </x:row>
    <x:row r="932">
      <x:c r="A932" s="5">
        <x:v>2024</x:v>
      </x:c>
      <x:c r="B932" s="15" t="s">
        <x:v>746</x:v>
      </x:c>
      <x:c r="C932" s="15" t="s">
        <x:v>747</x:v>
      </x:c>
      <x:c r="D932" s="15" t="s">
        <x:v>640</x:v>
      </x:c>
      <x:c r="E932" s="6">
        <x:v>34550</x:v>
      </x:c>
      <x:c r="F932" s="6">
        <x:v>520310</x:v>
      </x:c>
      <x:c r="G932" s="9">
        <x:v>6.6400000000000001E-2</x:v>
      </x:c>
    </x:row>
    <x:row r="933">
      <x:c r="A933" s="5">
        <x:v>2024</x:v>
      </x:c>
      <x:c r="B933" s="15" t="s">
        <x:v>797</x:v>
      </x:c>
      <x:c r="C933" s="15" t="s">
        <x:v>798</x:v>
      </x:c>
      <x:c r="D933" s="15" t="s">
        <x:v>799</x:v>
      </x:c>
      <x:c r="E933" s="6">
        <x:v>33590</x:v>
      </x:c>
      <x:c r="F933" s="6">
        <x:v>615150</x:v>
      </x:c>
      <x:c r="G933" s="9">
        <x:v>5.4600000000000003E-2</x:v>
      </x:c>
    </x:row>
    <x:row r="934">
      <x:c r="A934" s="5">
        <x:v>2024</x:v>
      </x:c>
      <x:c r="B934" s="15" t="s">
        <x:v>643</x:v>
      </x:c>
      <x:c r="C934" s="15" t="s">
        <x:v>30</x:v>
      </x:c>
      <x:c r="D934" s="15" t="s">
        <x:v>644</x:v>
      </x:c>
      <x:c r="E934" s="6">
        <x:v>10030</x:v>
      </x:c>
      <x:c r="F934" s="6">
        <x:v>108840</x:v>
      </x:c>
      <x:c r="G934" s="9">
        <x:v>9.2159999999999992E-2</x:v>
      </x:c>
    </x:row>
    <x:row r="935">
      <x:c r="A935" s="5">
        <x:v>2024</x:v>
      </x:c>
      <x:c r="B935" s="15" t="s">
        <x:v>646</x:v>
      </x:c>
      <x:c r="C935" s="15" t="s">
        <x:v>674</x:v>
      </x:c>
      <x:c r="D935" s="15" t="s">
        <x:v>644</x:v>
      </x:c>
      <x:c r="E935" s="6">
        <x:v>32070</x:v>
      </x:c>
      <x:c r="F935" s="6">
        <x:v>412530</x:v>
      </x:c>
      <x:c r="G935" s="9">
        <x:v>7.7740000000000004E-2</x:v>
      </x:c>
    </x:row>
    <x:row r="936">
      <x:c r="A936" s="5">
        <x:v>2024</x:v>
      </x:c>
      <x:c r="B936" s="15" t="s">
        <x:v>766</x:v>
      </x:c>
      <x:c r="C936" s="15" t="s">
        <x:v>767</x:v>
      </x:c>
      <x:c r="D936" s="15" t="s">
        <x:v>640</x:v>
      </x:c>
      <x:c r="E936" s="6">
        <x:v>34410</x:v>
      </x:c>
      <x:c r="F936" s="6">
        <x:v>533290</x:v>
      </x:c>
      <x:c r="G936" s="9">
        <x:v>6.4530000000000004E-2</x:v>
      </x:c>
    </x:row>
    <x:row r="937">
      <x:c r="A937" s="5">
        <x:v>2024</x:v>
      </x:c>
      <x:c r="B937" s="15" t="s">
        <x:v>764</x:v>
      </x:c>
      <x:c r="C937" s="15" t="s">
        <x:v>765</x:v>
      </x:c>
      <x:c r="D937" s="15" t="s">
        <x:v>649</x:v>
      </x:c>
      <x:c r="E937" s="6">
        <x:v>34420</x:v>
      </x:c>
      <x:c r="F937" s="6">
        <x:v>532550</x:v>
      </x:c>
      <x:c r="G937" s="9">
        <x:v>6.4630000000000007E-2</x:v>
      </x:c>
    </x:row>
    <x:row r="938">
      <x:c r="A938" s="5">
        <x:v>2024</x:v>
      </x:c>
      <x:c r="B938" s="15" t="s">
        <x:v>640</x:v>
      </x:c>
      <x:c r="C938" s="15" t="s">
        <x:v>724</x:v>
      </x:c>
      <x:c r="D938" s="15" t="s">
        <x:v>689</x:v>
      </x:c>
      <x:c r="E938" s="6">
        <x:v>40980</x:v>
      </x:c>
      <x:c r="F938" s="6">
        <x:v>593600</x:v>
      </x:c>
      <x:c r="G938" s="9">
        <x:v>6.9040000000000004E-2</x:v>
      </x:c>
    </x:row>
    <x:row r="939">
      <x:c r="A939" s="5">
        <x:v>2024</x:v>
      </x:c>
      <x:c r="B939" s="15" t="s">
        <x:v>689</x:v>
      </x:c>
      <x:c r="C939" s="15" t="s">
        <x:v>694</x:v>
      </x:c>
      <x:c r="D939" s="15" t="s">
        <x:v>646</x:v>
      </x:c>
      <x:c r="E939" s="6">
        <x:v>31010</x:v>
      </x:c>
      <x:c r="F939" s="6">
        <x:v>424640</x:v>
      </x:c>
      <x:c r="G939" s="9">
        <x:v>7.3040000000000008E-2</x:v>
      </x:c>
    </x:row>
    <x:row r="940">
      <x:c r="A940" s="5">
        <x:v>2024</x:v>
      </x:c>
      <x:c r="B940" s="15" t="s">
        <x:v>811</x:v>
      </x:c>
      <x:c r="C940" s="15" t="s">
        <x:v>812</x:v>
      </x:c>
      <x:c r="D940" s="15" t="s">
        <x:v>799</x:v>
      </x:c>
      <x:c r="E940" s="6">
        <x:v>47750</x:v>
      </x:c>
      <x:c r="F940" s="6">
        <x:v>934720</x:v>
      </x:c>
      <x:c r="G940" s="9">
        <x:v>5.1079999999999993E-2</x:v>
      </x:c>
    </x:row>
    <x:row r="941">
      <x:c r="A941" s="5">
        <x:v>2024</x:v>
      </x:c>
      <x:c r="B941" s="15" t="s">
        <x:v>719</x:v>
      </x:c>
      <x:c r="C941" s="15" t="s">
        <x:v>720</x:v>
      </x:c>
      <x:c r="D941" s="15" t="s">
        <x:v>705</x:v>
      </x:c>
      <x:c r="E941" s="6">
        <x:v>10490</x:v>
      </x:c>
      <x:c r="F941" s="6">
        <x:v>151370</x:v>
      </x:c>
      <x:c r="G941" s="9">
        <x:v>6.9320000000000007E-2</x:v>
      </x:c>
    </x:row>
    <x:row r="942">
      <x:c r="A942" s="5">
        <x:v>2024</x:v>
      </x:c>
      <x:c r="B942" s="15" t="s">
        <x:v>703</x:v>
      </x:c>
      <x:c r="C942" s="15" t="s">
        <x:v>704</x:v>
      </x:c>
      <x:c r="D942" s="15" t="s">
        <x:v>705</x:v>
      </x:c>
      <x:c r="E942" s="6">
        <x:v>11960</x:v>
      </x:c>
      <x:c r="F942" s="6">
        <x:v>165390</x:v>
      </x:c>
      <x:c r="G942" s="9">
        <x:v>7.2300000000000003E-2</x:v>
      </x:c>
    </x:row>
    <x:row r="943">
      <x:c r="A943" s="5">
        <x:v>2024</x:v>
      </x:c>
      <x:c r="B943" s="15" t="s">
        <x:v>725</x:v>
      </x:c>
      <x:c r="C943" s="15" t="s">
        <x:v>726</x:v>
      </x:c>
      <x:c r="D943" s="15" t="s">
        <x:v>671</x:v>
      </x:c>
      <x:c r="E943" s="6">
        <x:v>53820</x:v>
      </x:c>
      <x:c r="F943" s="6">
        <x:v>781150</x:v>
      </x:c>
      <x:c r="G943" s="9">
        <x:v>6.8900000000000003E-2</x:v>
      </x:c>
    </x:row>
    <x:row r="944">
      <x:c r="A944" s="5">
        <x:v>2024</x:v>
      </x:c>
      <x:c r="B944" s="15" t="s">
        <x:v>813</x:v>
      </x:c>
      <x:c r="C944" s="15" t="s">
        <x:v>814</x:v>
      </x:c>
      <x:c r="D944" s="15" t="s">
        <x:v>671</x:v>
      </x:c>
      <x:c r="E944" s="6">
        <x:v>72940</x:v>
      </x:c>
      <x:c r="F944" s="6">
        <x:v>1440880</x:v>
      </x:c>
      <x:c r="G944" s="9">
        <x:v>5.0620000000000005E-2</x:v>
      </x:c>
    </x:row>
    <x:row r="945">
      <x:c r="A945" s="5">
        <x:v>2024</x:v>
      </x:c>
      <x:c r="B945" s="15" t="s">
        <x:v>647</x:v>
      </x:c>
      <x:c r="C945" s="15" t="s">
        <x:v>721</x:v>
      </x:c>
      <x:c r="D945" s="15" t="s">
        <x:v>671</x:v>
      </x:c>
      <x:c r="E945" s="6">
        <x:v>13190</x:v>
      </x:c>
      <x:c r="F945" s="6">
        <x:v>190840</x:v>
      </x:c>
      <x:c r="G945" s="9">
        <x:v>6.9120000000000001E-2</x:v>
      </x:c>
    </x:row>
    <x:row r="946">
      <x:c r="A946" s="5">
        <x:v>2024</x:v>
      </x:c>
      <x:c r="B946" s="15" t="s">
        <x:v>795</x:v>
      </x:c>
      <x:c r="C946" s="15" t="s">
        <x:v>796</x:v>
      </x:c>
      <x:c r="D946" s="15" t="s">
        <x:v>644</x:v>
      </x:c>
      <x:c r="E946" s="6">
        <x:v>95030</x:v>
      </x:c>
      <x:c r="F946" s="6">
        <x:v>1701940</x:v>
      </x:c>
      <x:c r="G946" s="9">
        <x:v>5.5839999999999994E-2</x:v>
      </x:c>
    </x:row>
    <x:row r="947">
      <x:c r="A947" s="5">
        <x:v>2024</x:v>
      </x:c>
      <x:c r="B947" s="15" t="s">
        <x:v>781</x:v>
      </x:c>
      <x:c r="C947" s="15" t="s">
        <x:v>782</x:v>
      </x:c>
      <x:c r="D947" s="15" t="s">
        <x:v>671</x:v>
      </x:c>
      <x:c r="E947" s="6">
        <x:v>76870</x:v>
      </x:c>
      <x:c r="F947" s="6">
        <x:v>1251170</x:v>
      </x:c>
      <x:c r="G947" s="9">
        <x:v>6.1440000000000002E-2</x:v>
      </x:c>
    </x:row>
    <x:row r="948">
      <x:c r="A948" s="5">
        <x:v>2024</x:v>
      </x:c>
      <x:c r="B948" s="15" t="s">
        <x:v>819</x:v>
      </x:c>
      <x:c r="C948" s="15" t="s">
        <x:v>820</x:v>
      </x:c>
      <x:c r="D948" s="15" t="s">
        <x:v>799</x:v>
      </x:c>
      <x:c r="E948" s="6">
        <x:v>46610</x:v>
      </x:c>
      <x:c r="F948" s="6">
        <x:v>1108760</x:v>
      </x:c>
      <x:c r="G948" s="9">
        <x:v>4.2039999999999994E-2</x:v>
      </x:c>
    </x:row>
    <x:row r="949">
      <x:c r="A949" s="5">
        <x:v>2024</x:v>
      </x:c>
      <x:c r="B949" s="15" t="s">
        <x:v>645</x:v>
      </x:c>
      <x:c r="C949" s="15" t="s">
        <x:v>34</x:v>
      </x:c>
      <x:c r="D949" s="15" t="s">
        <x:v>646</x:v>
      </x:c>
      <x:c r="E949" s="6">
        <x:v>18260</x:v>
      </x:c>
      <x:c r="F949" s="6">
        <x:v>207550</x:v>
      </x:c>
      <x:c r="G949" s="9">
        <x:v>8.8000000000000009E-2</x:v>
      </x:c>
    </x:row>
    <x:row r="950">
      <x:c r="A950" s="5">
        <x:v>2024</x:v>
      </x:c>
      <x:c r="B950" s="15" t="s">
        <x:v>778</x:v>
      </x:c>
      <x:c r="C950" s="15" t="s">
        <x:v>779</x:v>
      </x:c>
      <x:c r="D950" s="15" t="s">
        <x:v>646</x:v>
      </x:c>
      <x:c r="E950" s="6">
        <x:v>38240</x:v>
      </x:c>
      <x:c r="F950" s="6">
        <x:v>617070</x:v>
      </x:c>
      <x:c r="G950" s="9">
        <x:v>6.1969999999999997E-2</x:v>
      </x:c>
    </x:row>
    <x:row r="951">
      <x:c r="A951" s="5">
        <x:v>2024</x:v>
      </x:c>
      <x:c r="B951" s="15" t="s">
        <x:v>787</x:v>
      </x:c>
      <x:c r="C951" s="15" t="s">
        <x:v>788</x:v>
      </x:c>
      <x:c r="D951" s="15" t="s">
        <x:v>649</x:v>
      </x:c>
      <x:c r="E951" s="6">
        <x:v>77610</x:v>
      </x:c>
      <x:c r="F951" s="6">
        <x:v>1305820</x:v>
      </x:c>
      <x:c r="G951" s="9">
        <x:v>5.9429999999999997E-2</x:v>
      </x:c>
    </x:row>
    <x:row r="952">
      <x:c r="A952" s="5">
        <x:v>2024</x:v>
      </x:c>
      <x:c r="B952" s="15" t="s">
        <x:v>729</x:v>
      </x:c>
      <x:c r="C952" s="15" t="s">
        <x:v>730</x:v>
      </x:c>
      <x:c r="D952" s="15" t="s">
        <x:v>640</x:v>
      </x:c>
      <x:c r="E952" s="6">
        <x:v>17540</x:v>
      </x:c>
      <x:c r="F952" s="6">
        <x:v>255390</x:v>
      </x:c>
      <x:c r="G952" s="9">
        <x:v>6.8659999999999999E-2</x:v>
      </x:c>
    </x:row>
    <x:row r="953">
      <x:c r="A953" s="5">
        <x:v>2024</x:v>
      </x:c>
      <x:c r="B953" s="15" t="s">
        <x:v>738</x:v>
      </x:c>
      <x:c r="C953" s="15" t="s">
        <x:v>739</x:v>
      </x:c>
      <x:c r="D953" s="15" t="s">
        <x:v>644</x:v>
      </x:c>
      <x:c r="E953" s="6">
        <x:v>30460</x:v>
      </x:c>
      <x:c r="F953" s="6">
        <x:v>450350</x:v>
      </x:c>
      <x:c r="G953" s="9">
        <x:v>6.7629999999999996E-2</x:v>
      </x:c>
    </x:row>
    <x:row r="954">
      <x:c r="A954" s="5">
        <x:v>2024</x:v>
      </x:c>
      <x:c r="B954" s="15" t="s">
        <x:v>666</x:v>
      </x:c>
      <x:c r="C954" s="15" t="s">
        <x:v>667</x:v>
      </x:c>
      <x:c r="D954" s="15" t="s">
        <x:v>646</x:v>
      </x:c>
      <x:c r="E954" s="6">
        <x:v>25970</x:v>
      </x:c>
      <x:c r="F954" s="6">
        <x:v>325440</x:v>
      </x:c>
      <x:c r="G954" s="9">
        <x:v>7.980000000000001E-2</x:v>
      </x:c>
    </x:row>
    <x:row r="955">
      <x:c r="A955" s="5">
        <x:v>2024</x:v>
      </x:c>
      <x:c r="B955" s="15" t="s">
        <x:v>722</x:v>
      </x:c>
      <x:c r="C955" s="15" t="s">
        <x:v>723</x:v>
      </x:c>
      <x:c r="D955" s="15" t="s">
        <x:v>649</x:v>
      </x:c>
      <x:c r="E955" s="6">
        <x:v>52870</x:v>
      </x:c>
      <x:c r="F955" s="6">
        <x:v>765670</x:v>
      </x:c>
      <x:c r="G955" s="9">
        <x:v>6.905E-2</x:v>
      </x:c>
    </x:row>
    <x:row r="956">
      <x:c r="A956" s="5">
        <x:v>2024</x:v>
      </x:c>
      <x:c r="B956" s="15" t="s">
        <x:v>736</x:v>
      </x:c>
      <x:c r="C956" s="15" t="s">
        <x:v>737</x:v>
      </x:c>
      <x:c r="D956" s="15" t="s">
        <x:v>649</x:v>
      </x:c>
      <x:c r="E956" s="6">
        <x:v>15430</x:v>
      </x:c>
      <x:c r="F956" s="6">
        <x:v>228010</x:v>
      </x:c>
      <x:c r="G956" s="9">
        <x:v>6.7670000000000008E-2</x:v>
      </x:c>
    </x:row>
    <x:row r="957">
      <x:c r="A957" s="5">
        <x:v>2024</x:v>
      </x:c>
      <x:c r="B957" s="15" t="s">
        <x:v>651</x:v>
      </x:c>
      <x:c r="C957" s="15" t="s">
        <x:v>816</x:v>
      </x:c>
      <x:c r="D957" s="15" t="s">
        <x:v>652</x:v>
      </x:c>
      <x:c r="E957" s="6">
        <x:v>71100</x:v>
      </x:c>
      <x:c r="F957" s="6">
        <x:v>1491970</x:v>
      </x:c>
      <x:c r="G957" s="9">
        <x:v>4.7649999999999998E-2</x:v>
      </x:c>
    </x:row>
    <x:row r="958">
      <x:c r="A958" s="5">
        <x:v>2024</x:v>
      </x:c>
      <x:c r="B958" s="15" t="s">
        <x:v>697</x:v>
      </x:c>
      <x:c r="C958" s="15" t="s">
        <x:v>698</x:v>
      </x:c>
      <x:c r="D958" s="15" t="s">
        <x:v>646</x:v>
      </x:c>
      <x:c r="E958" s="6">
        <x:v>49200</x:v>
      </x:c>
      <x:c r="F958" s="6">
        <x:v>677410</x:v>
      </x:c>
      <x:c r="G958" s="9">
        <x:v>7.263E-2</x:v>
      </x:c>
    </x:row>
    <x:row r="959">
      <x:c r="A959" s="5">
        <x:v>2024</x:v>
      </x:c>
      <x:c r="B959" s="15" t="s">
        <x:v>706</x:v>
      </x:c>
      <x:c r="C959" s="15" t="s">
        <x:v>707</x:v>
      </x:c>
      <x:c r="D959" s="15" t="s">
        <x:v>671</x:v>
      </x:c>
      <x:c r="E959" s="6">
        <x:v>12430</x:v>
      </x:c>
      <x:c r="F959" s="6">
        <x:v>173280</x:v>
      </x:c>
      <x:c r="G959" s="9">
        <x:v>7.1719999999999992E-2</x:v>
      </x:c>
    </x:row>
    <x:row r="960">
      <x:c r="A960" s="5">
        <x:v>2024</x:v>
      </x:c>
      <x:c r="B960" s="15" t="s">
        <x:v>710</x:v>
      </x:c>
      <x:c r="C960" s="15" t="s">
        <x:v>711</x:v>
      </x:c>
      <x:c r="D960" s="15" t="s">
        <x:v>644</x:v>
      </x:c>
      <x:c r="E960" s="6">
        <x:v>23640</x:v>
      </x:c>
      <x:c r="F960" s="6">
        <x:v>331800</x:v>
      </x:c>
      <x:c r="G960" s="9">
        <x:v>7.1230000000000002E-2</x:v>
      </x:c>
    </x:row>
    <x:row r="961">
      <x:c r="A961" s="5">
        <x:v>2024</x:v>
      </x:c>
      <x:c r="B961" s="15" t="s">
        <x:v>776</x:v>
      </x:c>
      <x:c r="C961" s="15" t="s">
        <x:v>777</x:v>
      </x:c>
      <x:c r="D961" s="15" t="s">
        <x:v>671</x:v>
      </x:c>
      <x:c r="E961" s="6">
        <x:v>4550</x:v>
      </x:c>
      <x:c r="F961" s="6">
        <x:v>72720</x:v>
      </x:c>
      <x:c r="G961" s="9">
        <x:v>6.25E-2</x:v>
      </x:c>
    </x:row>
    <x:row r="962">
      <x:c r="A962" s="5">
        <x:v>2024</x:v>
      </x:c>
      <x:c r="B962" s="15" t="s">
        <x:v>793</x:v>
      </x:c>
      <x:c r="C962" s="15" t="s">
        <x:v>794</x:v>
      </x:c>
      <x:c r="D962" s="15" t="s">
        <x:v>652</x:v>
      </x:c>
      <x:c r="E962" s="6">
        <x:v>46310</x:v>
      </x:c>
      <x:c r="F962" s="6">
        <x:v>828250</x:v>
      </x:c>
      <x:c r="G962" s="9">
        <x:v>5.5910000000000001E-2</x:v>
      </x:c>
    </x:row>
    <x:row r="963">
      <x:c r="A963" s="5">
        <x:v>2024</x:v>
      </x:c>
      <x:c r="B963" s="15" t="s">
        <x:v>770</x:v>
      </x:c>
      <x:c r="C963" s="15" t="s">
        <x:v>771</x:v>
      </x:c>
      <x:c r="D963" s="15" t="s">
        <x:v>689</x:v>
      </x:c>
      <x:c r="E963" s="6">
        <x:v>31660</x:v>
      </x:c>
      <x:c r="F963" s="6">
        <x:v>493320</x:v>
      </x:c>
      <x:c r="G963" s="9">
        <x:v>6.4180000000000001E-2</x:v>
      </x:c>
    </x:row>
    <x:row r="964">
      <x:c r="A964" s="5">
        <x:v>2024</x:v>
      </x:c>
      <x:c r="B964" s="15" t="s">
        <x:v>679</x:v>
      </x:c>
      <x:c r="C964" s="15" t="s">
        <x:v>680</x:v>
      </x:c>
      <x:c r="D964" s="15" t="s">
        <x:v>651</x:v>
      </x:c>
      <x:c r="E964" s="6">
        <x:v>41710</x:v>
      </x:c>
      <x:c r="F964" s="6">
        <x:v>551010</x:v>
      </x:c>
      <x:c r="G964" s="9">
        <x:v>7.5689999999999993E-2</x:v>
      </x:c>
    </x:row>
    <x:row r="965">
      <x:c r="A965" s="5">
        <x:v>2024</x:v>
      </x:c>
      <x:c r="B965" s="15" t="s">
        <x:v>652</x:v>
      </x:c>
      <x:c r="C965" s="15" t="s">
        <x:v>182</x:v>
      </x:c>
      <x:c r="D965" s="15" t="s">
        <x:v>651</x:v>
      </x:c>
      <x:c r="E965" s="6">
        <x:v>13870</x:v>
      </x:c>
      <x:c r="F965" s="6">
        <x:v>163850</x:v>
      </x:c>
      <x:c r="G965" s="9">
        <x:v>8.4629999999999997E-2</x:v>
      </x:c>
    </x:row>
    <x:row r="966">
      <x:c r="A966" s="5">
        <x:v>2024</x:v>
      </x:c>
      <x:c r="B966" s="15" t="s">
        <x:v>799</x:v>
      </x:c>
      <x:c r="C966" s="15" t="s">
        <x:v>804</x:v>
      </x:c>
      <x:c r="D966" s="15" t="s">
        <x:v>652</x:v>
      </x:c>
      <x:c r="E966" s="6">
        <x:v>16220</x:v>
      </x:c>
      <x:c r="F966" s="6">
        <x:v>302000</x:v>
      </x:c>
      <x:c r="G966" s="9">
        <x:v>5.3699999999999998E-2</x:v>
      </x:c>
    </x:row>
    <x:row r="967">
      <x:c r="A967" s="5">
        <x:v>2024</x:v>
      </x:c>
      <x:c r="B967" s="15" t="s">
        <x:v>685</x:v>
      </x:c>
      <x:c r="C967" s="15" t="s">
        <x:v>686</x:v>
      </x:c>
      <x:c r="D967" s="15" t="s">
        <x:v>651</x:v>
      </x:c>
      <x:c r="E967" s="6">
        <x:v>49690</x:v>
      </x:c>
      <x:c r="F967" s="6">
        <x:v>662310</x:v>
      </x:c>
      <x:c r="G967" s="9">
        <x:v>7.5020000000000003E-2</x:v>
      </x:c>
    </x:row>
    <x:row r="968">
      <x:c r="A968" s="5">
        <x:v>2024</x:v>
      </x:c>
      <x:c r="B968" s="15" t="s">
        <x:v>656</x:v>
      </x:c>
      <x:c r="C968" s="15" t="s">
        <x:v>657</x:v>
      </x:c>
      <x:c r="D968" s="15" t="s">
        <x:v>651</x:v>
      </x:c>
      <x:c r="E968" s="6">
        <x:v>14050</x:v>
      </x:c>
      <x:c r="F968" s="6">
        <x:v>171340</x:v>
      </x:c>
      <x:c r="G968" s="9">
        <x:v>8.1989999999999993E-2</x:v>
      </x:c>
    </x:row>
    <x:row r="969">
      <x:c r="A969" s="5">
        <x:v>2024</x:v>
      </x:c>
      <x:c r="B969" s="15" t="s">
        <x:v>802</x:v>
      </x:c>
      <x:c r="C969" s="15" t="s">
        <x:v>803</x:v>
      </x:c>
      <x:c r="D969" s="15" t="s">
        <x:v>799</x:v>
      </x:c>
      <x:c r="E969" s="6">
        <x:v>42780</x:v>
      </x:c>
      <x:c r="F969" s="6">
        <x:v>796340</x:v>
      </x:c>
      <x:c r="G969" s="9">
        <x:v>5.3719999999999997E-2</x:v>
      </x:c>
    </x:row>
    <x:row r="970">
      <x:c r="A970" s="5">
        <x:v>2024</x:v>
      </x:c>
      <x:c r="B970" s="15" t="s">
        <x:v>650</x:v>
      </x:c>
      <x:c r="C970" s="15" t="s">
        <x:v>38</x:v>
      </x:c>
      <x:c r="D970" s="15" t="s">
        <x:v>651</x:v>
      </x:c>
      <x:c r="E970" s="6">
        <x:v>76780</x:v>
      </x:c>
      <x:c r="F970" s="6">
        <x:v>901060</x:v>
      </x:c>
      <x:c r="G970" s="9">
        <x:v>8.5210000000000008E-2</x:v>
      </x:c>
    </x:row>
    <x:row r="971">
      <x:c r="A971" s="5">
        <x:v>2024</x:v>
      </x:c>
      <x:c r="B971" s="15" t="s">
        <x:v>639</x:v>
      </x:c>
      <x:c r="C971" s="15" t="s">
        <x:v>19</x:v>
      </x:c>
      <x:c r="D971" s="15" t="s">
        <x:v>640</x:v>
      </x:c>
      <x:c r="E971" s="6">
        <x:v>19170</x:v>
      </x:c>
      <x:c r="F971" s="6">
        <x:v>191990</x:v>
      </x:c>
      <x:c r="G971" s="9">
        <x:v>9.9819999999999992E-2</x:v>
      </x:c>
    </x:row>
    <x:row r="972">
      <x:c r="A972" s="5">
        <x:v>2024</x:v>
      </x:c>
      <x:c r="B972" s="15" t="s">
        <x:v>690</x:v>
      </x:c>
      <x:c r="C972" s="15" t="s">
        <x:v>691</x:v>
      </x:c>
      <x:c r="D972" s="15" t="s">
        <x:v>647</x:v>
      </x:c>
      <x:c r="E972" s="6">
        <x:v>187060</x:v>
      </x:c>
      <x:c r="F972" s="6">
        <x:v>2533180</x:v>
      </x:c>
      <x:c r="G972" s="9">
        <x:v>7.3849999999999999E-2</x:v>
      </x:c>
    </x:row>
    <x:row r="973">
      <x:c r="A973" s="5">
        <x:v>2024</x:v>
      </x:c>
      <x:c r="B973" s="15" t="s">
        <x:v>708</x:v>
      </x:c>
      <x:c r="C973" s="15" t="s">
        <x:v>709</x:v>
      </x:c>
      <x:c r="D973" s="15" t="s">
        <x:v>647</x:v>
      </x:c>
      <x:c r="E973" s="6">
        <x:v>58220</x:v>
      </x:c>
      <x:c r="F973" s="6">
        <x:v>816660</x:v>
      </x:c>
      <x:c r="G973" s="9">
        <x:v>7.1289999999999992E-2</x:v>
      </x:c>
    </x:row>
    <x:row r="974">
      <x:c r="A974" s="5">
        <x:v>2024</x:v>
      </x:c>
      <x:c r="B974" s="15" t="s">
        <x:v>687</x:v>
      </x:c>
      <x:c r="C974" s="15" t="s">
        <x:v>688</x:v>
      </x:c>
      <x:c r="D974" s="15" t="s">
        <x:v>689</x:v>
      </x:c>
      <x:c r="E974" s="6">
        <x:v>19840</x:v>
      </x:c>
      <x:c r="F974" s="6">
        <x:v>264770</x:v>
      </x:c>
      <x:c r="G974" s="9">
        <x:v>7.4939999999999993E-2</x:v>
      </x:c>
    </x:row>
    <x:row r="975">
      <x:c r="A975" s="5">
        <x:v>2024</x:v>
      </x:c>
      <x:c r="B975" s="15" t="s">
        <x:v>658</x:v>
      </x:c>
      <x:c r="C975" s="15" t="s">
        <x:v>659</x:v>
      </x:c>
      <x:c r="D975" s="15" t="s">
        <x:v>647</x:v>
      </x:c>
      <x:c r="E975" s="6">
        <x:v>117660</x:v>
      </x:c>
      <x:c r="F975" s="6">
        <x:v>1440960</x:v>
      </x:c>
      <x:c r="G975" s="9">
        <x:v>8.166000000000001E-2</x:v>
      </x:c>
    </x:row>
    <x:row r="976">
      <x:c r="A976" s="5">
        <x:v>2024</x:v>
      </x:c>
      <x:c r="B976" s="15" t="s">
        <x:v>760</x:v>
      </x:c>
      <x:c r="C976" s="15" t="s">
        <x:v>761</x:v>
      </x:c>
      <x:c r="D976" s="15" t="s">
        <x:v>649</x:v>
      </x:c>
      <x:c r="E976" s="6">
        <x:v>42470</x:v>
      </x:c>
      <x:c r="F976" s="6">
        <x:v>653400</x:v>
      </x:c>
      <x:c r="G976" s="9">
        <x:v>6.4989999999999992E-2</x:v>
      </x:c>
    </x:row>
    <x:row r="977">
      <x:c r="A977" s="5">
        <x:v>2024</x:v>
      </x:c>
      <x:c r="B977" s="15" t="s">
        <x:v>789</x:v>
      </x:c>
      <x:c r="C977" s="15" t="s">
        <x:v>790</x:v>
      </x:c>
      <x:c r="D977" s="15" t="s">
        <x:v>644</x:v>
      </x:c>
      <x:c r="E977" s="6">
        <x:v>41300</x:v>
      </x:c>
      <x:c r="F977" s="6">
        <x:v>707330</x:v>
      </x:c>
      <x:c r="G977" s="9">
        <x:v>5.8390000000000004E-2</x:v>
      </x:c>
    </x:row>
    <x:row r="978">
      <x:c r="A978" s="5">
        <x:v>2024</x:v>
      </x:c>
      <x:c r="B978" s="15" t="s">
        <x:v>734</x:v>
      </x:c>
      <x:c r="C978" s="15" t="s">
        <x:v>735</x:v>
      </x:c>
      <x:c r="D978" s="15" t="s">
        <x:v>671</x:v>
      </x:c>
      <x:c r="E978" s="6">
        <x:v>15740</x:v>
      </x:c>
      <x:c r="F978" s="6">
        <x:v>231640</x:v>
      </x:c>
      <x:c r="G978" s="9">
        <x:v>6.7960000000000007E-2</x:v>
      </x:c>
    </x:row>
    <x:row r="979">
      <x:c r="A979" s="5">
        <x:v>2024</x:v>
      </x:c>
      <x:c r="B979" s="15" t="s">
        <x:v>695</x:v>
      </x:c>
      <x:c r="C979" s="15" t="s">
        <x:v>696</x:v>
      </x:c>
      <x:c r="D979" s="15" t="s">
        <x:v>671</x:v>
      </x:c>
      <x:c r="E979" s="6">
        <x:v>37300</x:v>
      </x:c>
      <x:c r="F979" s="6">
        <x:v>513220</x:v>
      </x:c>
      <x:c r="G979" s="9">
        <x:v>7.2669999999999998E-2</x:v>
      </x:c>
    </x:row>
    <x:row r="980">
      <x:c r="A980" s="5">
        <x:v>2024</x:v>
      </x:c>
      <x:c r="B980" s="15" t="s">
        <x:v>699</x:v>
      </x:c>
      <x:c r="C980" s="15" t="s">
        <x:v>700</x:v>
      </x:c>
      <x:c r="D980" s="15" t="s">
        <x:v>651</x:v>
      </x:c>
      <x:c r="E980" s="6">
        <x:v>83030</x:v>
      </x:c>
      <x:c r="F980" s="6">
        <x:v>1144500</x:v>
      </x:c>
      <x:c r="G980" s="9">
        <x:v>7.2539999999999993E-2</x:v>
      </x:c>
    </x:row>
    <x:row r="981">
      <x:c r="A981" s="5">
        <x:v>2024</x:v>
      </x:c>
      <x:c r="B981" s="15" t="s">
        <x:v>677</x:v>
      </x:c>
      <x:c r="C981" s="15" t="s">
        <x:v>678</x:v>
      </x:c>
      <x:c r="D981" s="15" t="s">
        <x:v>651</x:v>
      </x:c>
      <x:c r="E981" s="6">
        <x:v>56340</x:v>
      </x:c>
      <x:c r="F981" s="6">
        <x:v>735400</x:v>
      </x:c>
      <x:c r="G981" s="9">
        <x:v>7.6609999999999998E-2</x:v>
      </x:c>
    </x:row>
    <x:row r="982">
      <x:c r="A982" s="5">
        <x:v>2024</x:v>
      </x:c>
      <x:c r="B982" s="15" t="s">
        <x:v>791</x:v>
      </x:c>
      <x:c r="C982" s="15" t="s">
        <x:v>792</x:v>
      </x:c>
      <x:c r="D982" s="15" t="s">
        <x:v>649</x:v>
      </x:c>
      <x:c r="E982" s="6">
        <x:v>106840</x:v>
      </x:c>
      <x:c r="F982" s="6">
        <x:v>1904880</x:v>
      </x:c>
      <x:c r="G982" s="9">
        <x:v>5.6090000000000001E-2</x:v>
      </x:c>
    </x:row>
    <x:row r="983">
      <x:c r="A983" s="5">
        <x:v>2024</x:v>
      </x:c>
      <x:c r="B983" s="15" t="s">
        <x:v>664</x:v>
      </x:c>
      <x:c r="C983" s="15" t="s">
        <x:v>665</x:v>
      </x:c>
      <x:c r="D983" s="15" t="s">
        <x:v>640</x:v>
      </x:c>
      <x:c r="E983" s="6">
        <x:v>18320</x:v>
      </x:c>
      <x:c r="F983" s="6">
        <x:v>228890</x:v>
      </x:c>
      <x:c r="G983" s="9">
        <x:v>8.0030000000000004E-2</x:v>
      </x:c>
    </x:row>
    <x:row r="984">
      <x:c r="A984" s="5">
        <x:v>2024</x:v>
      </x:c>
      <x:c r="B984" s="15" t="s">
        <x:v>660</x:v>
      </x:c>
      <x:c r="C984" s="15" t="s">
        <x:v>661</x:v>
      </x:c>
      <x:c r="D984" s="15" t="s">
        <x:v>640</x:v>
      </x:c>
      <x:c r="E984" s="6">
        <x:v>43850</x:v>
      </x:c>
      <x:c r="F984" s="6">
        <x:v>541060</x:v>
      </x:c>
      <x:c r="G984" s="9">
        <x:v>8.1039999999999987E-2</x:v>
      </x:c>
    </x:row>
    <x:row r="985">
      <x:c r="A985" s="5">
        <x:v>2024</x:v>
      </x:c>
      <x:c r="B985" s="15" t="s">
        <x:v>732</x:v>
      </x:c>
      <x:c r="C985" s="15" t="s">
        <x:v>733</x:v>
      </x:c>
      <x:c r="D985" s="15" t="s">
        <x:v>652</x:v>
      </x:c>
      <x:c r="E985" s="6">
        <x:v>37960</x:v>
      </x:c>
      <x:c r="F985" s="6">
        <x:v>556380</x:v>
      </x:c>
      <x:c r="G985" s="9">
        <x:v>6.8229999999999999E-2</x:v>
      </x:c>
    </x:row>
    <x:row r="986">
      <x:c r="A986" s="5">
        <x:v>2024</x:v>
      </x:c>
      <x:c r="B986" s="15" t="s">
        <x:v>807</x:v>
      </x:c>
      <x:c r="C986" s="15" t="s">
        <x:v>808</x:v>
      </x:c>
      <x:c r="D986" s="15" t="s">
        <x:v>649</x:v>
      </x:c>
      <x:c r="E986" s="6">
        <x:v>23740</x:v>
      </x:c>
      <x:c r="F986" s="6">
        <x:v>450080</x:v>
      </x:c>
      <x:c r="G986" s="9">
        <x:v>5.2750000000000005E-2</x:v>
      </x:c>
    </x:row>
    <x:row r="987">
      <x:c r="A987" s="5">
        <x:v>2024</x:v>
      </x:c>
      <x:c r="B987" s="15" t="s">
        <x:v>817</x:v>
      </x:c>
      <x:c r="C987" s="15" t="s">
        <x:v>818</x:v>
      </x:c>
      <x:c r="D987" s="15" t="s">
        <x:v>649</x:v>
      </x:c>
      <x:c r="E987" s="6">
        <x:v>38730</x:v>
      </x:c>
      <x:c r="F987" s="6">
        <x:v>820260</x:v>
      </x:c>
      <x:c r="G987" s="9">
        <x:v>4.7210000000000002E-2</x:v>
      </x:c>
    </x:row>
    <x:row r="988">
      <x:c r="A988" s="5">
        <x:v>2024</x:v>
      </x:c>
      <x:c r="B988" s="15" t="s">
        <x:v>644</x:v>
      </x:c>
      <x:c r="C988" s="15" t="s">
        <x:v>815</x:v>
      </x:c>
      <x:c r="D988" s="15" t="s">
        <x:v>670</x:v>
      </x:c>
      <x:c r="E988" s="6">
        <x:v>104110</x:v>
      </x:c>
      <x:c r="F988" s="6">
        <x:v>2068810</x:v>
      </x:c>
      <x:c r="G988" s="9">
        <x:v>5.0320000000000004E-2</x:v>
      </x:c>
    </x:row>
    <x:row r="989">
      <x:c r="A989" s="5">
        <x:v>2024</x:v>
      </x:c>
      <x:c r="B989" s="15" t="s">
        <x:v>671</x:v>
      </x:c>
      <x:c r="C989" s="15" t="s">
        <x:v>714</x:v>
      </x:c>
      <x:c r="D989" s="15" t="s">
        <x:v>689</x:v>
      </x:c>
      <x:c r="E989" s="6">
        <x:v>87620</x:v>
      </x:c>
      <x:c r="F989" s="6">
        <x:v>1242140</x:v>
      </x:c>
      <x:c r="G989" s="9">
        <x:v>7.0540000000000005E-2</x:v>
      </x:c>
    </x:row>
    <x:row r="990">
      <x:c r="A990" s="5">
        <x:v>2024</x:v>
      </x:c>
      <x:c r="B990" s="15" t="s">
        <x:v>762</x:v>
      </x:c>
      <x:c r="C990" s="15" t="s">
        <x:v>763</x:v>
      </x:c>
      <x:c r="D990" s="15" t="s">
        <x:v>670</x:v>
      </x:c>
      <x:c r="E990" s="6">
        <x:v>93930</x:v>
      </x:c>
      <x:c r="F990" s="6">
        <x:v>1450940</x:v>
      </x:c>
      <x:c r="G990" s="9">
        <x:v>6.4740000000000006E-2</x:v>
      </x:c>
    </x:row>
    <x:row r="991">
      <x:c r="A991" s="5">
        <x:v>2024</x:v>
      </x:c>
      <x:c r="B991" s="15" t="s">
        <x:v>805</x:v>
      </x:c>
      <x:c r="C991" s="15" t="s">
        <x:v>806</x:v>
      </x:c>
      <x:c r="D991" s="15" t="s">
        <x:v>670</x:v>
      </x:c>
      <x:c r="E991" s="6">
        <x:v>78590</x:v>
      </x:c>
      <x:c r="F991" s="6">
        <x:v>1487110</x:v>
      </x:c>
      <x:c r="G991" s="9">
        <x:v>5.2850000000000001E-2</x:v>
      </x:c>
    </x:row>
    <x:row r="992">
      <x:c r="A992" s="5">
        <x:v>2024</x:v>
      </x:c>
      <x:c r="B992" s="15" t="s">
        <x:v>715</x:v>
      </x:c>
      <x:c r="C992" s="15" t="s">
        <x:v>716</x:v>
      </x:c>
      <x:c r="D992" s="15" t="s">
        <x:v>644</x:v>
      </x:c>
      <x:c r="E992" s="6">
        <x:v>25830</x:v>
      </x:c>
      <x:c r="F992" s="6">
        <x:v>370440</x:v>
      </x:c>
      <x:c r="G992" s="9">
        <x:v>6.9720000000000004E-2</x:v>
      </x:c>
    </x:row>
    <x:row r="993">
      <x:c r="A993" s="5">
        <x:v>2024</x:v>
      </x:c>
      <x:c r="B993" s="15" t="s">
        <x:v>662</x:v>
      </x:c>
      <x:c r="C993" s="15" t="s">
        <x:v>663</x:v>
      </x:c>
      <x:c r="D993" s="15" t="s">
        <x:v>647</x:v>
      </x:c>
      <x:c r="E993" s="6">
        <x:v>44590</x:v>
      </x:c>
      <x:c r="F993" s="6">
        <x:v>553040</x:v>
      </x:c>
      <x:c r="G993" s="9">
        <x:v>8.0619999999999997E-2</x:v>
      </x:c>
    </x:row>
    <x:row r="994">
      <x:c r="A994" s="5">
        <x:v>2024</x:v>
      </x:c>
      <x:c r="B994" s="15" t="s">
        <x:v>752</x:v>
      </x:c>
      <x:c r="C994" s="15" t="s">
        <x:v>753</x:v>
      </x:c>
      <x:c r="D994" s="15" t="s">
        <x:v>671</x:v>
      </x:c>
      <x:c r="E994" s="6">
        <x:v>26120</x:v>
      </x:c>
      <x:c r="F994" s="6">
        <x:v>397210</x:v>
      </x:c>
      <x:c r="G994" s="9">
        <x:v>6.5759999999999999E-2</x:v>
      </x:c>
    </x:row>
    <x:row r="995">
      <x:c r="A995" s="5">
        <x:v>2024</x:v>
      </x:c>
      <x:c r="B995" s="15" t="s">
        <x:v>756</x:v>
      </x:c>
      <x:c r="C995" s="15" t="s">
        <x:v>757</x:v>
      </x:c>
      <x:c r="D995" s="15" t="s">
        <x:v>671</x:v>
      </x:c>
      <x:c r="E995" s="6">
        <x:v>17540</x:v>
      </x:c>
      <x:c r="F995" s="6">
        <x:v>267780</x:v>
      </x:c>
      <x:c r="G995" s="9">
        <x:v>6.5509999999999999E-2</x:v>
      </x:c>
    </x:row>
    <x:row r="996">
      <x:c r="A996" s="5">
        <x:v>2024</x:v>
      </x:c>
      <x:c r="B996" s="15" t="s">
        <x:v>758</x:v>
      </x:c>
      <x:c r="C996" s="15" t="s">
        <x:v>759</x:v>
      </x:c>
      <x:c r="D996" s="15" t="s">
        <x:v>672</x:v>
      </x:c>
      <x:c r="E996" s="6">
        <x:v>76010</x:v>
      </x:c>
      <x:c r="F996" s="6">
        <x:v>1169180</x:v>
      </x:c>
      <x:c r="G996" s="9">
        <x:v>6.5009999999999998E-2</x:v>
      </x:c>
    </x:row>
    <x:row r="997">
      <x:c r="A997" s="5">
        <x:v>2024</x:v>
      </x:c>
      <x:c r="B997" s="15" t="s">
        <x:v>649</x:v>
      </x:c>
      <x:c r="C997" s="15" t="s">
        <x:v>731</x:v>
      </x:c>
      <x:c r="D997" s="15" t="s">
        <x:v>672</x:v>
      </x:c>
      <x:c r="E997" s="6">
        <x:v>40560</x:v>
      </x:c>
      <x:c r="F997" s="6">
        <x:v>594310</x:v>
      </x:c>
      <x:c r="G997" s="9">
        <x:v>6.8239999999999995E-2</x:v>
      </x:c>
    </x:row>
    <x:row r="998">
      <x:c r="A998" s="5">
        <x:v>2024</x:v>
      </x:c>
      <x:c r="B998" s="15" t="s">
        <x:v>754</x:v>
      </x:c>
      <x:c r="C998" s="15" t="s">
        <x:v>755</x:v>
      </x:c>
      <x:c r="D998" s="15" t="s">
        <x:v>652</x:v>
      </x:c>
      <x:c r="E998" s="6">
        <x:v>47290</x:v>
      </x:c>
      <x:c r="F998" s="6">
        <x:v>721420</x:v>
      </x:c>
      <x:c r="G998" s="9">
        <x:v>6.5549999999999997E-2</x:v>
      </x:c>
    </x:row>
    <x:row r="999">
      <x:c r="A999" s="5">
        <x:v>2024</x:v>
      </x:c>
      <x:c r="B999" s="15" t="s">
        <x:v>750</x:v>
      </x:c>
      <x:c r="C999" s="15" t="s">
        <x:v>751</x:v>
      </x:c>
      <x:c r="D999" s="15" t="s">
        <x:v>644</x:v>
      </x:c>
      <x:c r="E999" s="6">
        <x:v>27830</x:v>
      </x:c>
      <x:c r="F999" s="6">
        <x:v>422620</x:v>
      </x:c>
      <x:c r="G999" s="9">
        <x:v>6.5860000000000002E-2</x:v>
      </x:c>
    </x:row>
    <x:row r="1000">
      <x:c r="A1000" s="5">
        <x:v>2024</x:v>
      </x:c>
      <x:c r="B1000" s="15" t="s">
        <x:v>683</x:v>
      </x:c>
      <x:c r="C1000" s="15" t="s">
        <x:v>684</x:v>
      </x:c>
      <x:c r="D1000" s="15" t="s">
        <x:v>644</x:v>
      </x:c>
      <x:c r="E1000" s="6">
        <x:v>26990</x:v>
      </x:c>
      <x:c r="F1000" s="6">
        <x:v>359730</x:v>
      </x:c>
      <x:c r="G1000" s="9">
        <x:v>7.5029999999999999E-2</x:v>
      </x:c>
    </x:row>
    <x:row r="1001">
      <x:c r="A1001" s="5">
        <x:v>2024</x:v>
      </x:c>
      <x:c r="B1001" s="15" t="s">
        <x:v>675</x:v>
      </x:c>
      <x:c r="C1001" s="15" t="s">
        <x:v>676</x:v>
      </x:c>
      <x:c r="D1001" s="15" t="s">
        <x:v>651</x:v>
      </x:c>
      <x:c r="E1001" s="6">
        <x:v>27700</x:v>
      </x:c>
      <x:c r="F1001" s="6">
        <x:v>356430</x:v>
      </x:c>
      <x:c r="G1001" s="9">
        <x:v>7.7710000000000001E-2</x:v>
      </x:c>
    </x:row>
    <x:row r="1002">
      <x:c r="A1002" s="5">
        <x:v>2024</x:v>
      </x:c>
      <x:c r="B1002" s="15" t="s">
        <x:v>655</x:v>
      </x:c>
      <x:c r="C1002" s="15" t="s">
        <x:v>42</x:v>
      </x:c>
      <x:c r="D1002" s="15" t="s">
        <x:v>640</x:v>
      </x:c>
      <x:c r="E1002" s="6">
        <x:v>27150</x:v>
      </x:c>
      <x:c r="F1002" s="6">
        <x:v>324290</x:v>
      </x:c>
      <x:c r="G1002" s="9">
        <x:v>8.3720000000000003E-2</x:v>
      </x:c>
    </x:row>
    <x:row r="1003">
      <x:c r="A1003" s="5">
        <x:v>2024</x:v>
      </x:c>
      <x:c r="B1003" s="15" t="s">
        <x:v>712</x:v>
      </x:c>
      <x:c r="C1003" s="15" t="s">
        <x:v>713</x:v>
      </x:c>
      <x:c r="D1003" s="15" t="s">
        <x:v>640</x:v>
      </x:c>
      <x:c r="E1003" s="6">
        <x:v>9560</x:v>
      </x:c>
      <x:c r="F1003" s="6">
        <x:v>134660</x:v>
      </x:c>
      <x:c r="G1003" s="9">
        <x:v>7.0999999999999994E-2</x:v>
      </x:c>
    </x:row>
    <x:row r="1004">
      <x:c r="A1004" s="5">
        <x:v>2024</x:v>
      </x:c>
      <x:c r="B1004" s="15" t="s">
        <x:v>784</x:v>
      </x:c>
      <x:c r="C1004" s="15" t="s">
        <x:v>785</x:v>
      </x:c>
      <x:c r="D1004" s="15" t="s">
        <x:v>670</x:v>
      </x:c>
      <x:c r="E1004" s="6">
        <x:v>80230</x:v>
      </x:c>
      <x:c r="F1004" s="6">
        <x:v>1331090</x:v>
      </x:c>
      <x:c r="G1004" s="9">
        <x:v>6.0279999999999993E-2</x:v>
      </x:c>
    </x:row>
    <x:row r="1005">
      <x:c r="A1005" s="5">
        <x:v>2024</x:v>
      </x:c>
      <x:c r="B1005" s="15" t="s">
        <x:v>809</x:v>
      </x:c>
      <x:c r="C1005" s="15" t="s">
        <x:v>810</x:v>
      </x:c>
      <x:c r="D1005" s="15" t="s">
        <x:v>670</x:v>
      </x:c>
      <x:c r="E1005" s="6">
        <x:v>82860</x:v>
      </x:c>
      <x:c r="F1005" s="6">
        <x:v>1619670</x:v>
      </x:c>
      <x:c r="G1005" s="9">
        <x:v>5.1159999999999997E-2</x:v>
      </x:c>
    </x:row>
    <x:row r="1006">
      <x:c r="A1006" s="5">
        <x:v>2024</x:v>
      </x:c>
      <x:c r="B1006" s="15" t="s">
        <x:v>672</x:v>
      </x:c>
      <x:c r="C1006" s="15" t="s">
        <x:v>673</x:v>
      </x:c>
      <x:c r="D1006" s="15" t="s">
        <x:v>670</x:v>
      </x:c>
      <x:c r="E1006" s="6">
        <x:v>127120</x:v>
      </x:c>
      <x:c r="F1006" s="6">
        <x:v>1625070</x:v>
      </x:c>
      <x:c r="G1006" s="9">
        <x:v>7.8219999999999998E-2</x:v>
      </x:c>
    </x:row>
    <x:row r="1007">
      <x:c r="A1007" s="5">
        <x:v>2024</x:v>
      </x:c>
      <x:c r="B1007" s="15" t="s">
        <x:v>705</x:v>
      </x:c>
      <x:c r="C1007" s="15" t="s">
        <x:v>780</x:v>
      </x:c>
      <x:c r="D1007" s="15" t="s">
        <x:v>670</x:v>
      </x:c>
      <x:c r="E1007" s="6">
        <x:v>85210</x:v>
      </x:c>
      <x:c r="F1007" s="6">
        <x:v>1380860</x:v>
      </x:c>
      <x:c r="G1007" s="9">
        <x:v>6.1710000000000001E-2</x:v>
      </x:c>
    </x:row>
    <x:row r="1008">
      <x:c r="A1008" s="5">
        <x:v>2024</x:v>
      </x:c>
      <x:c r="B1008" s="15" t="s">
        <x:v>740</x:v>
      </x:c>
      <x:c r="C1008" s="15" t="s">
        <x:v>741</x:v>
      </x:c>
      <x:c r="D1008" s="15" t="s">
        <x:v>670</x:v>
      </x:c>
      <x:c r="E1008" s="6">
        <x:v>87620</x:v>
      </x:c>
      <x:c r="F1008" s="6">
        <x:v>1298030</x:v>
      </x:c>
      <x:c r="G1008" s="9">
        <x:v>6.7500000000000004E-2</x:v>
      </x:c>
    </x:row>
    <x:row r="1009">
      <x:c r="A1009" s="5">
        <x:v>2024</x:v>
      </x:c>
      <x:c r="B1009" s="15" t="s">
        <x:v>635</x:v>
      </x:c>
      <x:c r="C1009" s="15" t="s">
        <x:v>10</x:v>
      </x:c>
      <x:c r="D1009" s="15" t="s">
        <x:v>636</x:v>
      </x:c>
      <x:c r="E1009" s="6">
        <x:v>45900</x:v>
      </x:c>
      <x:c r="F1009" s="6">
        <x:v>387350</x:v>
      </x:c>
      <x:c r="G1009" s="9">
        <x:v>0.11849999999999999</x:v>
      </x:c>
    </x:row>
    <x:row r="1010">
      <x:c r="A1010" s="5">
        <x:v>2024</x:v>
      </x:c>
      <x:c r="B1010" s="15" t="s">
        <x:v>637</x:v>
      </x:c>
      <x:c r="C1010" s="15" t="s">
        <x:v>14</x:v>
      </x:c>
      <x:c r="D1010" s="15" t="s">
        <x:v>638</x:v>
      </x:c>
      <x:c r="E1010" s="6">
        <x:v>40200</x:v>
      </x:c>
      <x:c r="F1010" s="6">
        <x:v>360720</x:v>
      </x:c>
      <x:c r="G1010" s="9">
        <x:v>0.11144999999999999</x:v>
      </x:c>
    </x:row>
    <x:row r="1011">
      <x:c r="A1011" s="5">
        <x:v>2024</x:v>
      </x:c>
      <x:c r="B1011" s="15" t="s">
        <x:v>749</x:v>
      </x:c>
      <x:c r="C1011" s="15" t="s">
        <x:v>67</x:v>
      </x:c>
      <x:c r="D1011" s="15" t="s">
        <x:v>648</x:v>
      </x:c>
      <x:c r="E1011" s="6">
        <x:v>13600</x:v>
      </x:c>
      <x:c r="F1011" s="6">
        <x:v>205970</x:v>
      </x:c>
      <x:c r="G1011" s="9">
        <x:v>6.6009999999999999E-2</x:v>
      </x:c>
    </x:row>
    <x:row r="1012">
      <x:c r="A1012" s="5">
        <x:v>2024</x:v>
      </x:c>
      <x:c r="B1012" s="15" t="s">
        <x:v>641</x:v>
      </x:c>
      <x:c r="C1012" s="15" t="s">
        <x:v>20</x:v>
      </x:c>
      <x:c r="D1012" s="15" t="s">
        <x:v>642</x:v>
      </x:c>
      <x:c r="E1012" s="6">
        <x:v>89860</x:v>
      </x:c>
      <x:c r="F1012" s="6">
        <x:v>942430</x:v>
      </x:c>
      <x:c r="G1012" s="9">
        <x:v>9.5350000000000004E-2</x:v>
      </x:c>
    </x:row>
    <x:row r="1013">
      <x:c r="A1013" s="10">
        <x:v>2024</x:v>
      </x:c>
      <x:c r="B1013" s="16" t="s">
        <x:v>783</x:v>
      </x:c>
      <x:c r="C1013" s="16" t="s">
        <x:v>75</x:v>
      </x:c>
      <x:c r="D1013" s="16" t="s">
        <x:v>774</x:v>
      </x:c>
      <x:c r="E1013" s="11">
        <x:v>7770</x:v>
      </x:c>
      <x:c r="F1013" s="11">
        <x:v>127450</x:v>
      </x:c>
      <x:c r="G1013" s="14">
        <x:v>6.0940000000000001E-2</x:v>
      </x:c>
    </x:row>
  </x:sheetData>
  <x:mergeCells>
    <x:mergeCell ref="A1:G1"/>
  </x:mergeCells>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baseColWidth="10" defaultColWidth="8.88671875" defaultRowHeight="14.399999618530273"/>
  <x:cols>
    <x:col min="1" max="1" width="17" customWidth="1"/>
    <x:col min="2" max="2" width="20" customWidth="1"/>
    <x:col min="3" max="7" width="17" customWidth="1"/>
  </x:cols>
  <x:sheetData>
    <x:row r="1" ht="25.799999237060547">
      <x:c r="A1" s="58" t="s">
        <x:v>823</x:v>
      </x:c>
      <x:c r="B1" s="58"/>
      <x:c r="C1" s="58"/>
      <x:c r="D1" s="58"/>
      <x:c r="E1" s="58"/>
      <x:c r="F1" s="58"/>
      <x:c r="G1" s="58"/>
    </x:row>
    <x:row r="2">
      <x:c r="A2" s="1"/>
      <x:c r="B2" s="1"/>
      <x:c r="C2" s="1"/>
      <x:c r="D2" s="1"/>
      <x:c r="E2" s="1"/>
      <x:c r="F2" s="1"/>
      <x:c r="G2" s="1"/>
    </x:row>
    <x:row r="3">
      <x:c r="A3" s="2" t="s">
        <x:v>1</x:v>
      </x:c>
      <x:c r="B3" s="3" t="s">
        <x:v>2</x:v>
      </x:c>
      <x:c r="C3" s="3" t="s">
        <x:v>622</x:v>
      </x:c>
      <x:c r="D3" s="3" t="s">
        <x:v>15</x:v>
      </x:c>
      <x:c r="E3" s="3" t="s">
        <x:v>6</x:v>
      </x:c>
      <x:c r="F3" s="3" t="s">
        <x:v>617</x:v>
      </x:c>
      <x:c r="G3" s="4" t="s">
        <x:v>5</x:v>
      </x:c>
    </x:row>
    <x:row r="4">
      <x:c r="A4" s="5">
        <x:v>2015</x:v>
      </x:c>
      <x:c r="B4" s="15" t="s">
        <x:v>8</x:v>
      </x:c>
      <x:c r="C4" s="15" t="s">
        <x:v>623</x:v>
      </x:c>
      <x:c r="D4" s="15" t="s">
        <x:v>624</x:v>
      </x:c>
      <x:c r="E4" s="6">
        <x:v>610</x:v>
      </x:c>
      <x:c r="F4" s="6">
        <x:v>1982970</x:v>
      </x:c>
      <x:c r="G4" s="9">
        <x:v>3.1E-4</x:v>
      </x:c>
    </x:row>
    <x:row r="5">
      <x:c r="A5" s="5">
        <x:v>2015</x:v>
      </x:c>
      <x:c r="B5" s="15" t="s">
        <x:v>8</x:v>
      </x:c>
      <x:c r="C5" s="15" t="s">
        <x:v>625</x:v>
      </x:c>
      <x:c r="D5" s="15" t="s">
        <x:v>16</x:v>
      </x:c>
      <x:c r="E5" s="6">
        <x:v>540</x:v>
      </x:c>
      <x:c r="F5" s="6">
        <x:v>1887420</x:v>
      </x:c>
      <x:c r="G5" s="9">
        <x:v>2.9E-4</x:v>
      </x:c>
    </x:row>
    <x:row r="6">
      <x:c r="A6" s="5">
        <x:v>2015</x:v>
      </x:c>
      <x:c r="B6" s="15" t="s">
        <x:v>8</x:v>
      </x:c>
      <x:c r="C6" s="15" t="s">
        <x:v>626</x:v>
      </x:c>
      <x:c r="D6" s="15" t="s">
        <x:v>627</x:v>
      </x:c>
      <x:c r="E6" s="6">
        <x:v>1150</x:v>
      </x:c>
      <x:c r="F6" s="6">
        <x:v>3870380</x:v>
      </x:c>
      <x:c r="G6" s="9">
        <x:v>2.9999999999999997E-4</x:v>
      </x:c>
    </x:row>
    <x:row r="7">
      <x:c r="A7" s="5">
        <x:v>2015</x:v>
      </x:c>
      <x:c r="B7" s="15" t="s">
        <x:v>12</x:v>
      </x:c>
      <x:c r="C7" s="15" t="s">
        <x:v>623</x:v>
      </x:c>
      <x:c r="D7" s="15" t="s">
        <x:v>624</x:v>
      </x:c>
      <x:c r="E7" s="6">
        <x:v>2400</x:v>
      </x:c>
      <x:c r="F7" s="6">
        <x:v>2037070</x:v>
      </x:c>
      <x:c r="G7" s="9">
        <x:v>1.1799999999999998E-3</x:v>
      </x:c>
    </x:row>
    <x:row r="8">
      <x:c r="A8" s="5">
        <x:v>2015</x:v>
      </x:c>
      <x:c r="B8" s="15" t="s">
        <x:v>12</x:v>
      </x:c>
      <x:c r="C8" s="15" t="s">
        <x:v>625</x:v>
      </x:c>
      <x:c r="D8" s="15" t="s">
        <x:v>16</x:v>
      </x:c>
      <x:c r="E8" s="6">
        <x:v>2080</x:v>
      </x:c>
      <x:c r="F8" s="6">
        <x:v>1934750</x:v>
      </x:c>
      <x:c r="G8" s="9">
        <x:v>1.08E-3</x:v>
      </x:c>
    </x:row>
    <x:row r="9">
      <x:c r="A9" s="5">
        <x:v>2015</x:v>
      </x:c>
      <x:c r="B9" s="15" t="s">
        <x:v>12</x:v>
      </x:c>
      <x:c r="C9" s="15" t="s">
        <x:v>626</x:v>
      </x:c>
      <x:c r="D9" s="15" t="s">
        <x:v>627</x:v>
      </x:c>
      <x:c r="E9" s="6">
        <x:v>4480</x:v>
      </x:c>
      <x:c r="F9" s="6">
        <x:v>3971820</x:v>
      </x:c>
      <x:c r="G9" s="9">
        <x:v>1.1299999999999999E-3</x:v>
      </x:c>
    </x:row>
    <x:row r="10">
      <x:c r="A10" s="5">
        <x:v>2015</x:v>
      </x:c>
      <x:c r="B10" s="15" t="s">
        <x:v>17</x:v>
      </x:c>
      <x:c r="C10" s="15" t="s">
        <x:v>623</x:v>
      </x:c>
      <x:c r="D10" s="15" t="s">
        <x:v>624</x:v>
      </x:c>
      <x:c r="E10" s="6">
        <x:v>4360</x:v>
      </x:c>
      <x:c r="F10" s="6">
        <x:v>1973040</x:v>
      </x:c>
      <x:c r="G10" s="9">
        <x:v>2.2100000000000002E-3</x:v>
      </x:c>
    </x:row>
    <x:row r="11">
      <x:c r="A11" s="5">
        <x:v>2015</x:v>
      </x:c>
      <x:c r="B11" s="15" t="s">
        <x:v>17</x:v>
      </x:c>
      <x:c r="C11" s="15" t="s">
        <x:v>625</x:v>
      </x:c>
      <x:c r="D11" s="15" t="s">
        <x:v>16</x:v>
      </x:c>
      <x:c r="E11" s="6">
        <x:v>4090</x:v>
      </x:c>
      <x:c r="F11" s="6">
        <x:v>1883250</x:v>
      </x:c>
      <x:c r="G11" s="9">
        <x:v>2.1700000000000001E-3</x:v>
      </x:c>
    </x:row>
    <x:row r="12">
      <x:c r="A12" s="5">
        <x:v>2015</x:v>
      </x:c>
      <x:c r="B12" s="15" t="s">
        <x:v>17</x:v>
      </x:c>
      <x:c r="C12" s="15" t="s">
        <x:v>626</x:v>
      </x:c>
      <x:c r="D12" s="15" t="s">
        <x:v>627</x:v>
      </x:c>
      <x:c r="E12" s="6">
        <x:v>8450</x:v>
      </x:c>
      <x:c r="F12" s="6">
        <x:v>3856300</x:v>
      </x:c>
      <x:c r="G12" s="9">
        <x:v>2.1900000000000001E-3</x:v>
      </x:c>
    </x:row>
    <x:row r="13">
      <x:c r="A13" s="5">
        <x:v>2015</x:v>
      </x:c>
      <x:c r="B13" s="15" t="s">
        <x:v>25</x:v>
      </x:c>
      <x:c r="C13" s="15" t="s">
        <x:v>623</x:v>
      </x:c>
      <x:c r="D13" s="15" t="s">
        <x:v>624</x:v>
      </x:c>
      <x:c r="E13" s="6">
        <x:v>5820</x:v>
      </x:c>
      <x:c r="F13" s="6">
        <x:v>1873660</x:v>
      </x:c>
      <x:c r="G13" s="9">
        <x:v>3.1099999999999999E-3</x:v>
      </x:c>
    </x:row>
    <x:row r="14">
      <x:c r="A14" s="5">
        <x:v>2015</x:v>
      </x:c>
      <x:c r="B14" s="15" t="s">
        <x:v>25</x:v>
      </x:c>
      <x:c r="C14" s="15" t="s">
        <x:v>625</x:v>
      </x:c>
      <x:c r="D14" s="15" t="s">
        <x:v>16</x:v>
      </x:c>
      <x:c r="E14" s="6">
        <x:v>5680</x:v>
      </x:c>
      <x:c r="F14" s="6">
        <x:v>1859550</x:v>
      </x:c>
      <x:c r="G14" s="9">
        <x:v>3.0499999999999998E-3</x:v>
      </x:c>
    </x:row>
    <x:row r="15">
      <x:c r="A15" s="5">
        <x:v>2015</x:v>
      </x:c>
      <x:c r="B15" s="15" t="s">
        <x:v>25</x:v>
      </x:c>
      <x:c r="C15" s="15" t="s">
        <x:v>626</x:v>
      </x:c>
      <x:c r="D15" s="15" t="s">
        <x:v>627</x:v>
      </x:c>
      <x:c r="E15" s="6">
        <x:v>11500</x:v>
      </x:c>
      <x:c r="F15" s="6">
        <x:v>3733210</x:v>
      </x:c>
      <x:c r="G15" s="9">
        <x:v>3.0799999999999998E-3</x:v>
      </x:c>
    </x:row>
    <x:row r="16">
      <x:c r="A16" s="5">
        <x:v>2015</x:v>
      </x:c>
      <x:c r="B16" s="15" t="s">
        <x:v>28</x:v>
      </x:c>
      <x:c r="C16" s="15" t="s">
        <x:v>623</x:v>
      </x:c>
      <x:c r="D16" s="15" t="s">
        <x:v>624</x:v>
      </x:c>
      <x:c r="E16" s="6">
        <x:v>6800</x:v>
      </x:c>
      <x:c r="F16" s="6">
        <x:v>1675520</x:v>
      </x:c>
      <x:c r="G16" s="9">
        <x:v>4.0600000000000002E-3</x:v>
      </x:c>
    </x:row>
    <x:row r="17">
      <x:c r="A17" s="5">
        <x:v>2015</x:v>
      </x:c>
      <x:c r="B17" s="15" t="s">
        <x:v>28</x:v>
      </x:c>
      <x:c r="C17" s="15" t="s">
        <x:v>625</x:v>
      </x:c>
      <x:c r="D17" s="15" t="s">
        <x:v>16</x:v>
      </x:c>
      <x:c r="E17" s="6">
        <x:v>7310</x:v>
      </x:c>
      <x:c r="F17" s="6">
        <x:v>1865930</x:v>
      </x:c>
      <x:c r="G17" s="9">
        <x:v>3.9199999999999999E-3</x:v>
      </x:c>
    </x:row>
    <x:row r="18">
      <x:c r="A18" s="5">
        <x:v>2015</x:v>
      </x:c>
      <x:c r="B18" s="15" t="s">
        <x:v>28</x:v>
      </x:c>
      <x:c r="C18" s="15" t="s">
        <x:v>626</x:v>
      </x:c>
      <x:c r="D18" s="15" t="s">
        <x:v>627</x:v>
      </x:c>
      <x:c r="E18" s="6">
        <x:v>14110</x:v>
      </x:c>
      <x:c r="F18" s="6">
        <x:v>3541450</x:v>
      </x:c>
      <x:c r="G18" s="9">
        <x:v>3.98E-3</x:v>
      </x:c>
    </x:row>
    <x:row r="19">
      <x:c r="A19" s="5">
        <x:v>2015</x:v>
      </x:c>
      <x:c r="B19" s="15" t="s">
        <x:v>32</x:v>
      </x:c>
      <x:c r="C19" s="15" t="s">
        <x:v>623</x:v>
      </x:c>
      <x:c r="D19" s="15" t="s">
        <x:v>624</x:v>
      </x:c>
      <x:c r="E19" s="6">
        <x:v>9420</x:v>
      </x:c>
      <x:c r="F19" s="6">
        <x:v>1796290</x:v>
      </x:c>
      <x:c r="G19" s="9">
        <x:v>5.2399999999999999E-3</x:v>
      </x:c>
    </x:row>
    <x:row r="20">
      <x:c r="A20" s="5">
        <x:v>2015</x:v>
      </x:c>
      <x:c r="B20" s="15" t="s">
        <x:v>32</x:v>
      </x:c>
      <x:c r="C20" s="15" t="s">
        <x:v>625</x:v>
      </x:c>
      <x:c r="D20" s="15" t="s">
        <x:v>16</x:v>
      </x:c>
      <x:c r="E20" s="6">
        <x:v>11550</x:v>
      </x:c>
      <x:c r="F20" s="6">
        <x:v>2052590</x:v>
      </x:c>
      <x:c r="G20" s="9">
        <x:v>5.6299999999999996E-3</x:v>
      </x:c>
    </x:row>
    <x:row r="21">
      <x:c r="A21" s="5">
        <x:v>2015</x:v>
      </x:c>
      <x:c r="B21" s="15" t="s">
        <x:v>32</x:v>
      </x:c>
      <x:c r="C21" s="15" t="s">
        <x:v>626</x:v>
      </x:c>
      <x:c r="D21" s="15" t="s">
        <x:v>627</x:v>
      </x:c>
      <x:c r="E21" s="6">
        <x:v>20970</x:v>
      </x:c>
      <x:c r="F21" s="6">
        <x:v>3848880</x:v>
      </x:c>
      <x:c r="G21" s="9">
        <x:v>5.45E-3</x:v>
      </x:c>
    </x:row>
    <x:row r="22">
      <x:c r="A22" s="5">
        <x:v>2015</x:v>
      </x:c>
      <x:c r="B22" s="15" t="s">
        <x:v>36</x:v>
      </x:c>
      <x:c r="C22" s="15" t="s">
        <x:v>623</x:v>
      </x:c>
      <x:c r="D22" s="15" t="s">
        <x:v>624</x:v>
      </x:c>
      <x:c r="E22" s="6">
        <x:v>13920</x:v>
      </x:c>
      <x:c r="F22" s="6">
        <x:v>1886490</x:v>
      </x:c>
      <x:c r="G22" s="9">
        <x:v>7.3800000000000003E-3</x:v>
      </x:c>
    </x:row>
    <x:row r="23">
      <x:c r="A23" s="5">
        <x:v>2015</x:v>
      </x:c>
      <x:c r="B23" s="15" t="s">
        <x:v>36</x:v>
      </x:c>
      <x:c r="C23" s="15" t="s">
        <x:v>625</x:v>
      </x:c>
      <x:c r="D23" s="15" t="s">
        <x:v>16</x:v>
      </x:c>
      <x:c r="E23" s="6">
        <x:v>17470</x:v>
      </x:c>
      <x:c r="F23" s="6">
        <x:v>2113370</x:v>
      </x:c>
      <x:c r="G23" s="9">
        <x:v>8.2699999999999996E-3</x:v>
      </x:c>
    </x:row>
    <x:row r="24">
      <x:c r="A24" s="5">
        <x:v>2015</x:v>
      </x:c>
      <x:c r="B24" s="15" t="s">
        <x:v>36</x:v>
      </x:c>
      <x:c r="C24" s="15" t="s">
        <x:v>626</x:v>
      </x:c>
      <x:c r="D24" s="15" t="s">
        <x:v>627</x:v>
      </x:c>
      <x:c r="E24" s="6">
        <x:v>31390</x:v>
      </x:c>
      <x:c r="F24" s="6">
        <x:v>3999860</x:v>
      </x:c>
      <x:c r="G24" s="9">
        <x:v>7.8500000000000011E-3</x:v>
      </x:c>
    </x:row>
    <x:row r="25">
      <x:c r="A25" s="5">
        <x:v>2015</x:v>
      </x:c>
      <x:c r="B25" s="15" t="s">
        <x:v>40</x:v>
      </x:c>
      <x:c r="C25" s="15" t="s">
        <x:v>623</x:v>
      </x:c>
      <x:c r="D25" s="15" t="s">
        <x:v>624</x:v>
      </x:c>
      <x:c r="E25" s="6">
        <x:v>23020</x:v>
      </x:c>
      <x:c r="F25" s="6">
        <x:v>1891440</x:v>
      </x:c>
      <x:c r="G25" s="9">
        <x:v>1.217E-2</x:v>
      </x:c>
    </x:row>
    <x:row r="26">
      <x:c r="A26" s="5">
        <x:v>2015</x:v>
      </x:c>
      <x:c r="B26" s="15" t="s">
        <x:v>40</x:v>
      </x:c>
      <x:c r="C26" s="15" t="s">
        <x:v>625</x:v>
      </x:c>
      <x:c r="D26" s="15" t="s">
        <x:v>16</x:v>
      </x:c>
      <x:c r="E26" s="6">
        <x:v>23970</x:v>
      </x:c>
      <x:c r="F26" s="6">
        <x:v>2058890</x:v>
      </x:c>
      <x:c r="G26" s="9">
        <x:v>1.1639999999999999E-2</x:v>
      </x:c>
    </x:row>
    <x:row r="27">
      <x:c r="A27" s="5">
        <x:v>2015</x:v>
      </x:c>
      <x:c r="B27" s="15" t="s">
        <x:v>40</x:v>
      </x:c>
      <x:c r="C27" s="15" t="s">
        <x:v>626</x:v>
      </x:c>
      <x:c r="D27" s="15" t="s">
        <x:v>627</x:v>
      </x:c>
      <x:c r="E27" s="6">
        <x:v>46990</x:v>
      </x:c>
      <x:c r="F27" s="6">
        <x:v>3950320</x:v>
      </x:c>
      <x:c r="G27" s="9">
        <x:v>1.1899999999999999E-2</x:v>
      </x:c>
    </x:row>
    <x:row r="28">
      <x:c r="A28" s="5">
        <x:v>2015</x:v>
      </x:c>
      <x:c r="B28" s="15" t="s">
        <x:v>44</x:v>
      </x:c>
      <x:c r="C28" s="15" t="s">
        <x:v>623</x:v>
      </x:c>
      <x:c r="D28" s="15" t="s">
        <x:v>624</x:v>
      </x:c>
      <x:c r="E28" s="6">
        <x:v>43580</x:v>
      </x:c>
      <x:c r="F28" s="6">
        <x:v>2072270</x:v>
      </x:c>
      <x:c r="G28" s="9">
        <x:v>2.1030000000000004E-2</x:v>
      </x:c>
    </x:row>
    <x:row r="29">
      <x:c r="A29" s="5">
        <x:v>2015</x:v>
      </x:c>
      <x:c r="B29" s="15" t="s">
        <x:v>44</x:v>
      </x:c>
      <x:c r="C29" s="15" t="s">
        <x:v>625</x:v>
      </x:c>
      <x:c r="D29" s="15" t="s">
        <x:v>16</x:v>
      </x:c>
      <x:c r="E29" s="6">
        <x:v>36750</x:v>
      </x:c>
      <x:c r="F29" s="6">
        <x:v>2200070</x:v>
      </x:c>
      <x:c r="G29" s="9">
        <x:v>1.67E-2</x:v>
      </x:c>
    </x:row>
    <x:row r="30">
      <x:c r="A30" s="5">
        <x:v>2015</x:v>
      </x:c>
      <x:c r="B30" s="15" t="s">
        <x:v>44</x:v>
      </x:c>
      <x:c r="C30" s="15" t="s">
        <x:v>626</x:v>
      </x:c>
      <x:c r="D30" s="15" t="s">
        <x:v>627</x:v>
      </x:c>
      <x:c r="E30" s="6">
        <x:v>80330</x:v>
      </x:c>
      <x:c r="F30" s="6">
        <x:v>4272340</x:v>
      </x:c>
      <x:c r="G30" s="9">
        <x:v>1.8799999999999997E-2</x:v>
      </x:c>
    </x:row>
    <x:row r="31">
      <x:c r="A31" s="5">
        <x:v>2015</x:v>
      </x:c>
      <x:c r="B31" s="15" t="s">
        <x:v>48</x:v>
      </x:c>
      <x:c r="C31" s="15" t="s">
        <x:v>623</x:v>
      </x:c>
      <x:c r="D31" s="15" t="s">
        <x:v>624</x:v>
      </x:c>
      <x:c r="E31" s="6">
        <x:v>78760</x:v>
      </x:c>
      <x:c r="F31" s="6">
        <x:v>2096710</x:v>
      </x:c>
      <x:c r="G31" s="9">
        <x:v>3.7559999999999996E-2</x:v>
      </x:c>
    </x:row>
    <x:row r="32">
      <x:c r="A32" s="5">
        <x:v>2015</x:v>
      </x:c>
      <x:c r="B32" s="15" t="s">
        <x:v>48</x:v>
      </x:c>
      <x:c r="C32" s="15" t="s">
        <x:v>625</x:v>
      </x:c>
      <x:c r="D32" s="15" t="s">
        <x:v>16</x:v>
      </x:c>
      <x:c r="E32" s="6">
        <x:v>60040</x:v>
      </x:c>
      <x:c r="F32" s="6">
        <x:v>2214300</x:v>
      </x:c>
      <x:c r="G32" s="9">
        <x:v>2.7109999999999999E-2</x:v>
      </x:c>
    </x:row>
    <x:row r="33">
      <x:c r="A33" s="5">
        <x:v>2015</x:v>
      </x:c>
      <x:c r="B33" s="15" t="s">
        <x:v>48</x:v>
      </x:c>
      <x:c r="C33" s="15" t="s">
        <x:v>626</x:v>
      </x:c>
      <x:c r="D33" s="15" t="s">
        <x:v>627</x:v>
      </x:c>
      <x:c r="E33" s="6">
        <x:v>138800</x:v>
      </x:c>
      <x:c r="F33" s="6">
        <x:v>4311010</x:v>
      </x:c>
      <x:c r="G33" s="9">
        <x:v>3.2199999999999999E-2</x:v>
      </x:c>
    </x:row>
    <x:row r="34">
      <x:c r="A34" s="5">
        <x:v>2015</x:v>
      </x:c>
      <x:c r="B34" s="15" t="s">
        <x:v>52</x:v>
      </x:c>
      <x:c r="C34" s="15" t="s">
        <x:v>623</x:v>
      </x:c>
      <x:c r="D34" s="15" t="s">
        <x:v>624</x:v>
      </x:c>
      <x:c r="E34" s="6">
        <x:v>135870</x:v>
      </x:c>
      <x:c r="F34" s="6">
        <x:v>2091340</x:v>
      </x:c>
      <x:c r="G34" s="9">
        <x:v>6.497E-2</x:v>
      </x:c>
    </x:row>
    <x:row r="35">
      <x:c r="A35" s="5">
        <x:v>2015</x:v>
      </x:c>
      <x:c r="B35" s="15" t="s">
        <x:v>52</x:v>
      </x:c>
      <x:c r="C35" s="15" t="s">
        <x:v>625</x:v>
      </x:c>
      <x:c r="D35" s="15" t="s">
        <x:v>16</x:v>
      </x:c>
      <x:c r="E35" s="6">
        <x:v>98390</x:v>
      </x:c>
      <x:c r="F35" s="6">
        <x:v>2224770</x:v>
      </x:c>
      <x:c r="G35" s="9">
        <x:v>4.4219999999999995E-2</x:v>
      </x:c>
    </x:row>
    <x:row r="36">
      <x:c r="A36" s="5">
        <x:v>2015</x:v>
      </x:c>
      <x:c r="B36" s="15" t="s">
        <x:v>52</x:v>
      </x:c>
      <x:c r="C36" s="15" t="s">
        <x:v>626</x:v>
      </x:c>
      <x:c r="D36" s="15" t="s">
        <x:v>627</x:v>
      </x:c>
      <x:c r="E36" s="6">
        <x:v>234250</x:v>
      </x:c>
      <x:c r="F36" s="6">
        <x:v>4316110</x:v>
      </x:c>
      <x:c r="G36" s="9">
        <x:v>5.4269999999999999E-2</x:v>
      </x:c>
    </x:row>
    <x:row r="37">
      <x:c r="A37" s="5">
        <x:v>2015</x:v>
      </x:c>
      <x:c r="B37" s="15" t="s">
        <x:v>56</x:v>
      </x:c>
      <x:c r="C37" s="15" t="s">
        <x:v>623</x:v>
      </x:c>
      <x:c r="D37" s="15" t="s">
        <x:v>624</x:v>
      </x:c>
      <x:c r="E37" s="6">
        <x:v>206340</x:v>
      </x:c>
      <x:c r="F37" s="6">
        <x:v>1968680</x:v>
      </x:c>
      <x:c r="G37" s="9">
        <x:v>0.10481</x:v>
      </x:c>
    </x:row>
    <x:row r="38">
      <x:c r="A38" s="5">
        <x:v>2015</x:v>
      </x:c>
      <x:c r="B38" s="15" t="s">
        <x:v>56</x:v>
      </x:c>
      <x:c r="C38" s="15" t="s">
        <x:v>625</x:v>
      </x:c>
      <x:c r="D38" s="15" t="s">
        <x:v>16</x:v>
      </x:c>
      <x:c r="E38" s="6">
        <x:v>148290</x:v>
      </x:c>
      <x:c r="F38" s="6">
        <x:v>2122360</x:v>
      </x:c>
      <x:c r="G38" s="9">
        <x:v>6.9870000000000002E-2</x:v>
      </x:c>
    </x:row>
    <x:row r="39">
      <x:c r="A39" s="5">
        <x:v>2015</x:v>
      </x:c>
      <x:c r="B39" s="15" t="s">
        <x:v>56</x:v>
      </x:c>
      <x:c r="C39" s="15" t="s">
        <x:v>626</x:v>
      </x:c>
      <x:c r="D39" s="15" t="s">
        <x:v>627</x:v>
      </x:c>
      <x:c r="E39" s="6">
        <x:v>354630</x:v>
      </x:c>
      <x:c r="F39" s="6">
        <x:v>4091030</x:v>
      </x:c>
      <x:c r="G39" s="9">
        <x:v>8.6679999999999993E-2</x:v>
      </x:c>
    </x:row>
    <x:row r="40">
      <x:c r="A40" s="5">
        <x:v>2015</x:v>
      </x:c>
      <x:c r="B40" s="15" t="s">
        <x:v>60</x:v>
      </x:c>
      <x:c r="C40" s="15" t="s">
        <x:v>623</x:v>
      </x:c>
      <x:c r="D40" s="15" t="s">
        <x:v>624</x:v>
      </x:c>
      <x:c r="E40" s="6">
        <x:v>287940</x:v>
      </x:c>
      <x:c r="F40" s="6">
        <x:v>1873810</x:v>
      </x:c>
      <x:c r="G40" s="9">
        <x:v>0.15365999999999999</x:v>
      </x:c>
    </x:row>
    <x:row r="41">
      <x:c r="A41" s="5">
        <x:v>2015</x:v>
      </x:c>
      <x:c r="B41" s="15" t="s">
        <x:v>60</x:v>
      </x:c>
      <x:c r="C41" s="15" t="s">
        <x:v>625</x:v>
      </x:c>
      <x:c r="D41" s="15" t="s">
        <x:v>16</x:v>
      </x:c>
      <x:c r="E41" s="6">
        <x:v>198450</x:v>
      </x:c>
      <x:c r="F41" s="6">
        <x:v>2042770</x:v>
      </x:c>
      <x:c r="G41" s="9">
        <x:v>9.715E-2</x:v>
      </x:c>
    </x:row>
    <x:row r="42">
      <x:c r="A42" s="5">
        <x:v>2015</x:v>
      </x:c>
      <x:c r="B42" s="15" t="s">
        <x:v>60</x:v>
      </x:c>
      <x:c r="C42" s="15" t="s">
        <x:v>626</x:v>
      </x:c>
      <x:c r="D42" s="15" t="s">
        <x:v>627</x:v>
      </x:c>
      <x:c r="E42" s="6">
        <x:v>486380</x:v>
      </x:c>
      <x:c r="F42" s="6">
        <x:v>3916580</x:v>
      </x:c>
      <x:c r="G42" s="9">
        <x:v>0.12419000000000001</x:v>
      </x:c>
    </x:row>
    <x:row r="43">
      <x:c r="A43" s="5">
        <x:v>2015</x:v>
      </x:c>
      <x:c r="B43" s="15" t="s">
        <x:v>64</x:v>
      </x:c>
      <x:c r="C43" s="15" t="s">
        <x:v>623</x:v>
      </x:c>
      <x:c r="D43" s="15" t="s">
        <x:v>624</x:v>
      </x:c>
      <x:c r="E43" s="6">
        <x:v>352690</x:v>
      </x:c>
      <x:c r="F43" s="6">
        <x:v>1833650</x:v>
      </x:c>
      <x:c r="G43" s="9">
        <x:v>0.19234000000000001</x:v>
      </x:c>
    </x:row>
    <x:row r="44">
      <x:c r="A44" s="5">
        <x:v>2015</x:v>
      </x:c>
      <x:c r="B44" s="15" t="s">
        <x:v>64</x:v>
      </x:c>
      <x:c r="C44" s="15" t="s">
        <x:v>625</x:v>
      </x:c>
      <x:c r="D44" s="15" t="s">
        <x:v>16</x:v>
      </x:c>
      <x:c r="E44" s="6">
        <x:v>236970</x:v>
      </x:c>
      <x:c r="F44" s="6">
        <x:v>1997450</x:v>
      </x:c>
      <x:c r="G44" s="9">
        <x:v>0.11864000000000001</x:v>
      </x:c>
    </x:row>
    <x:row r="45">
      <x:c r="A45" s="5">
        <x:v>2015</x:v>
      </x:c>
      <x:c r="B45" s="15" t="s">
        <x:v>64</x:v>
      </x:c>
      <x:c r="C45" s="15" t="s">
        <x:v>626</x:v>
      </x:c>
      <x:c r="D45" s="15" t="s">
        <x:v>627</x:v>
      </x:c>
      <x:c r="E45" s="6">
        <x:v>589660</x:v>
      </x:c>
      <x:c r="F45" s="6">
        <x:v>3831110</x:v>
      </x:c>
      <x:c r="G45" s="9">
        <x:v>0.15390999999999999</x:v>
      </x:c>
    </x:row>
    <x:row r="46">
      <x:c r="A46" s="5">
        <x:v>2015</x:v>
      </x:c>
      <x:c r="B46" s="15" t="s">
        <x:v>68</x:v>
      </x:c>
      <x:c r="C46" s="15" t="s">
        <x:v>623</x:v>
      </x:c>
      <x:c r="D46" s="15" t="s">
        <x:v>624</x:v>
      </x:c>
      <x:c r="E46" s="6">
        <x:v>258340</x:v>
      </x:c>
      <x:c r="F46" s="6">
        <x:v>1163140</x:v>
      </x:c>
      <x:c r="G46" s="9">
        <x:v>0.22210999999999997</x:v>
      </x:c>
    </x:row>
    <x:row r="47">
      <x:c r="A47" s="5">
        <x:v>2015</x:v>
      </x:c>
      <x:c r="B47" s="15" t="s">
        <x:v>68</x:v>
      </x:c>
      <x:c r="C47" s="15" t="s">
        <x:v>625</x:v>
      </x:c>
      <x:c r="D47" s="15" t="s">
        <x:v>16</x:v>
      </x:c>
      <x:c r="E47" s="6">
        <x:v>193200</x:v>
      </x:c>
      <x:c r="F47" s="6">
        <x:v>1309140</x:v>
      </x:c>
      <x:c r="G47" s="9">
        <x:v>0.14757000000000001</x:v>
      </x:c>
    </x:row>
    <x:row r="48">
      <x:c r="A48" s="5">
        <x:v>2015</x:v>
      </x:c>
      <x:c r="B48" s="15" t="s">
        <x:v>68</x:v>
      </x:c>
      <x:c r="C48" s="15" t="s">
        <x:v>626</x:v>
      </x:c>
      <x:c r="D48" s="15" t="s">
        <x:v>627</x:v>
      </x:c>
      <x:c r="E48" s="6">
        <x:v>451540</x:v>
      </x:c>
      <x:c r="F48" s="6">
        <x:v>2472280</x:v>
      </x:c>
      <x:c r="G48" s="9">
        <x:v>0.18264</x:v>
      </x:c>
    </x:row>
    <x:row r="49">
      <x:c r="A49" s="5">
        <x:v>2015</x:v>
      </x:c>
      <x:c r="B49" s="15" t="s">
        <x:v>72</x:v>
      </x:c>
      <x:c r="C49" s="15" t="s">
        <x:v>623</x:v>
      </x:c>
      <x:c r="D49" s="15" t="s">
        <x:v>624</x:v>
      </x:c>
      <x:c r="E49" s="6">
        <x:v>219910</x:v>
      </x:c>
      <x:c r="F49" s="6">
        <x:v>970250</x:v>
      </x:c>
      <x:c r="G49" s="9">
        <x:v>0.22664999999999999</x:v>
      </x:c>
    </x:row>
    <x:row r="50">
      <x:c r="A50" s="5">
        <x:v>2015</x:v>
      </x:c>
      <x:c r="B50" s="15" t="s">
        <x:v>72</x:v>
      </x:c>
      <x:c r="C50" s="15" t="s">
        <x:v>625</x:v>
      </x:c>
      <x:c r="D50" s="15" t="s">
        <x:v>16</x:v>
      </x:c>
      <x:c r="E50" s="6">
        <x:v>194850</x:v>
      </x:c>
      <x:c r="F50" s="6">
        <x:v>1208310</x:v>
      </x:c>
      <x:c r="G50" s="9">
        <x:v>0.16125</x:v>
      </x:c>
    </x:row>
    <x:row r="51">
      <x:c r="A51" s="5">
        <x:v>2015</x:v>
      </x:c>
      <x:c r="B51" s="15" t="s">
        <x:v>72</x:v>
      </x:c>
      <x:c r="C51" s="15" t="s">
        <x:v>626</x:v>
      </x:c>
      <x:c r="D51" s="15" t="s">
        <x:v>627</x:v>
      </x:c>
      <x:c r="E51" s="6">
        <x:v>414750</x:v>
      </x:c>
      <x:c r="F51" s="6">
        <x:v>2178570</x:v>
      </x:c>
      <x:c r="G51" s="9">
        <x:v>0.19037999999999999</x:v>
      </x:c>
    </x:row>
    <x:row r="52">
      <x:c r="A52" s="5">
        <x:v>2015</x:v>
      </x:c>
      <x:c r="B52" s="15" t="s">
        <x:v>76</x:v>
      </x:c>
      <x:c r="C52" s="15" t="s">
        <x:v>623</x:v>
      </x:c>
      <x:c r="D52" s="15" t="s">
        <x:v>624</x:v>
      </x:c>
      <x:c r="E52" s="6">
        <x:v>173640</x:v>
      </x:c>
      <x:c r="F52" s="6">
        <x:v>769580</x:v>
      </x:c>
      <x:c r="G52" s="9">
        <x:v>0.22563</x:v>
      </x:c>
    </x:row>
    <x:row r="53">
      <x:c r="A53" s="5">
        <x:v>2015</x:v>
      </x:c>
      <x:c r="B53" s="15" t="s">
        <x:v>76</x:v>
      </x:c>
      <x:c r="C53" s="15" t="s">
        <x:v>625</x:v>
      </x:c>
      <x:c r="D53" s="15" t="s">
        <x:v>16</x:v>
      </x:c>
      <x:c r="E53" s="6">
        <x:v>191510</x:v>
      </x:c>
      <x:c r="F53" s="6">
        <x:v>1136360</x:v>
      </x:c>
      <x:c r="G53" s="9">
        <x:v>0.16853000000000001</x:v>
      </x:c>
    </x:row>
    <x:row r="54">
      <x:c r="A54" s="5">
        <x:v>2015</x:v>
      </x:c>
      <x:c r="B54" s="15" t="s">
        <x:v>76</x:v>
      </x:c>
      <x:c r="C54" s="15" t="s">
        <x:v>626</x:v>
      </x:c>
      <x:c r="D54" s="15" t="s">
        <x:v>627</x:v>
      </x:c>
      <x:c r="E54" s="6">
        <x:v>365160</x:v>
      </x:c>
      <x:c r="F54" s="6">
        <x:v>1905940</x:v>
      </x:c>
      <x:c r="G54" s="9">
        <x:v>0.19158999999999998</x:v>
      </x:c>
    </x:row>
    <x:row r="55">
      <x:c r="A55" s="5">
        <x:v>2015</x:v>
      </x:c>
      <x:c r="B55" s="15" t="s">
        <x:v>80</x:v>
      </x:c>
      <x:c r="C55" s="15" t="s">
        <x:v>623</x:v>
      </x:c>
      <x:c r="D55" s="15" t="s">
        <x:v>624</x:v>
      </x:c>
      <x:c r="E55" s="6">
        <x:v>93520</x:v>
      </x:c>
      <x:c r="F55" s="6">
        <x:v>467620</x:v>
      </x:c>
      <x:c r="G55" s="9">
        <x:v>0.19998000000000002</x:v>
      </x:c>
    </x:row>
    <x:row r="56">
      <x:c r="A56" s="5">
        <x:v>2015</x:v>
      </x:c>
      <x:c r="B56" s="15" t="s">
        <x:v>80</x:v>
      </x:c>
      <x:c r="C56" s="15" t="s">
        <x:v>625</x:v>
      </x:c>
      <x:c r="D56" s="15" t="s">
        <x:v>16</x:v>
      </x:c>
      <x:c r="E56" s="6">
        <x:v>134260</x:v>
      </x:c>
      <x:c r="F56" s="6">
        <x:v>871700</x:v>
      </x:c>
      <x:c r="G56" s="9">
        <x:v>0.15401999999999999</x:v>
      </x:c>
    </x:row>
    <x:row r="57">
      <x:c r="A57" s="5">
        <x:v>2015</x:v>
      </x:c>
      <x:c r="B57" s="15" t="s">
        <x:v>80</x:v>
      </x:c>
      <x:c r="C57" s="15" t="s">
        <x:v>626</x:v>
      </x:c>
      <x:c r="D57" s="15" t="s">
        <x:v>627</x:v>
      </x:c>
      <x:c r="E57" s="6">
        <x:v>227770</x:v>
      </x:c>
      <x:c r="F57" s="6">
        <x:v>1339310</x:v>
      </x:c>
      <x:c r="G57" s="9">
        <x:v>0.17007000000000003</x:v>
      </x:c>
    </x:row>
    <x:row r="58">
      <x:c r="A58" s="5">
        <x:v>2015</x:v>
      </x:c>
      <x:c r="B58" s="15" t="s">
        <x:v>84</x:v>
      </x:c>
      <x:c r="C58" s="15" t="s">
        <x:v>623</x:v>
      </x:c>
      <x:c r="D58" s="15" t="s">
        <x:v>624</x:v>
      </x:c>
      <x:c r="E58" s="6">
        <x:v>30510</x:v>
      </x:c>
      <x:c r="F58" s="6">
        <x:v>192790</x:v>
      </x:c>
      <x:c r="G58" s="9">
        <x:v>0.15826999999999999</x:v>
      </x:c>
    </x:row>
    <x:row r="59">
      <x:c r="A59" s="5">
        <x:v>2015</x:v>
      </x:c>
      <x:c r="B59" s="15" t="s">
        <x:v>84</x:v>
      </x:c>
      <x:c r="C59" s="15" t="s">
        <x:v>625</x:v>
      </x:c>
      <x:c r="D59" s="15" t="s">
        <x:v>16</x:v>
      </x:c>
      <x:c r="E59" s="6">
        <x:v>60680</x:v>
      </x:c>
      <x:c r="F59" s="6">
        <x:v>492360</x:v>
      </x:c>
      <x:c r="G59" s="9">
        <x:v>0.12325</x:v>
      </x:c>
    </x:row>
    <x:row r="60">
      <x:c r="A60" s="5">
        <x:v>2015</x:v>
      </x:c>
      <x:c r="B60" s="15" t="s">
        <x:v>84</x:v>
      </x:c>
      <x:c r="C60" s="15" t="s">
        <x:v>626</x:v>
      </x:c>
      <x:c r="D60" s="15" t="s">
        <x:v>627</x:v>
      </x:c>
      <x:c r="E60" s="6">
        <x:v>91200</x:v>
      </x:c>
      <x:c r="F60" s="6">
        <x:v>685150</x:v>
      </x:c>
      <x:c r="G60" s="9">
        <x:v>0.1331</x:v>
      </x:c>
    </x:row>
    <x:row r="61">
      <x:c r="A61" s="5">
        <x:v>2015</x:v>
      </x:c>
      <x:c r="B61" s="15" t="s">
        <x:v>87</x:v>
      </x:c>
      <x:c r="C61" s="15" t="s">
        <x:v>623</x:v>
      </x:c>
      <x:c r="D61" s="15" t="s">
        <x:v>624</x:v>
      </x:c>
      <x:c r="E61" s="6">
        <x:v>4440</x:v>
      </x:c>
      <x:c r="F61" s="6">
        <x:v>38640</x:v>
      </x:c>
      <x:c r="G61" s="9">
        <x:v>0.11488</x:v>
      </x:c>
    </x:row>
    <x:row r="62">
      <x:c r="A62" s="5">
        <x:v>2015</x:v>
      </x:c>
      <x:c r="B62" s="15" t="s">
        <x:v>87</x:v>
      </x:c>
      <x:c r="C62" s="15" t="s">
        <x:v>625</x:v>
      </x:c>
      <x:c r="D62" s="15" t="s">
        <x:v>16</x:v>
      </x:c>
      <x:c r="E62" s="6">
        <x:v>13910</x:v>
      </x:c>
      <x:c r="F62" s="6">
        <x:v>147090</x:v>
      </x:c>
      <x:c r="G62" s="9">
        <x:v>9.4540000000000013E-2</x:v>
      </x:c>
    </x:row>
    <x:row r="63">
      <x:c r="A63" s="5">
        <x:v>2015</x:v>
      </x:c>
      <x:c r="B63" s="15" t="s">
        <x:v>87</x:v>
      </x:c>
      <x:c r="C63" s="15" t="s">
        <x:v>626</x:v>
      </x:c>
      <x:c r="D63" s="15" t="s">
        <x:v>627</x:v>
      </x:c>
      <x:c r="E63" s="6">
        <x:v>18340</x:v>
      </x:c>
      <x:c r="F63" s="6">
        <x:v>185730</x:v>
      </x:c>
      <x:c r="G63" s="9">
        <x:v>9.8770000000000011E-2</x:v>
      </x:c>
    </x:row>
    <x:row r="64">
      <x:c r="A64" s="5">
        <x:v>2016</x:v>
      </x:c>
      <x:c r="B64" s="15" t="s">
        <x:v>8</x:v>
      </x:c>
      <x:c r="C64" s="15" t="s">
        <x:v>623</x:v>
      </x:c>
      <x:c r="D64" s="15" t="s">
        <x:v>624</x:v>
      </x:c>
      <x:c r="E64" s="6">
        <x:v>650</x:v>
      </x:c>
      <x:c r="F64" s="6">
        <x:v>1961940</x:v>
      </x:c>
      <x:c r="G64" s="9">
        <x:v>3.3E-4</x:v>
      </x:c>
    </x:row>
    <x:row r="65">
      <x:c r="A65" s="5">
        <x:v>2016</x:v>
      </x:c>
      <x:c r="B65" s="15" t="s">
        <x:v>8</x:v>
      </x:c>
      <x:c r="C65" s="15" t="s">
        <x:v>625</x:v>
      </x:c>
      <x:c r="D65" s="15" t="s">
        <x:v>16</x:v>
      </x:c>
      <x:c r="E65" s="6">
        <x:v>530</x:v>
      </x:c>
      <x:c r="F65" s="6">
        <x:v>1866450</x:v>
      </x:c>
      <x:c r="G65" s="9">
        <x:v>2.8000000000000003E-4</x:v>
      </x:c>
    </x:row>
    <x:row r="66">
      <x:c r="A66" s="5">
        <x:v>2016</x:v>
      </x:c>
      <x:c r="B66" s="15" t="s">
        <x:v>8</x:v>
      </x:c>
      <x:c r="C66" s="15" t="s">
        <x:v>626</x:v>
      </x:c>
      <x:c r="D66" s="15" t="s">
        <x:v>627</x:v>
      </x:c>
      <x:c r="E66" s="6">
        <x:v>1180</x:v>
      </x:c>
      <x:c r="F66" s="6">
        <x:v>3828390</x:v>
      </x:c>
      <x:c r="G66" s="9">
        <x:v>3.1E-4</x:v>
      </x:c>
    </x:row>
    <x:row r="67">
      <x:c r="A67" s="5">
        <x:v>2016</x:v>
      </x:c>
      <x:c r="B67" s="15" t="s">
        <x:v>12</x:v>
      </x:c>
      <x:c r="C67" s="15" t="s">
        <x:v>623</x:v>
      </x:c>
      <x:c r="D67" s="15" t="s">
        <x:v>624</x:v>
      </x:c>
      <x:c r="E67" s="6">
        <x:v>2370</x:v>
      </x:c>
      <x:c r="F67" s="6">
        <x:v>2044960</x:v>
      </x:c>
      <x:c r="G67" s="9">
        <x:v>1.16E-3</x:v>
      </x:c>
    </x:row>
    <x:row r="68">
      <x:c r="A68" s="5">
        <x:v>2016</x:v>
      </x:c>
      <x:c r="B68" s="15" t="s">
        <x:v>12</x:v>
      </x:c>
      <x:c r="C68" s="15" t="s">
        <x:v>625</x:v>
      </x:c>
      <x:c r="D68" s="15" t="s">
        <x:v>16</x:v>
      </x:c>
      <x:c r="E68" s="6">
        <x:v>2180</x:v>
      </x:c>
      <x:c r="F68" s="6">
        <x:v>1945170</x:v>
      </x:c>
      <x:c r="G68" s="9">
        <x:v>1.1200000000000001E-3</x:v>
      </x:c>
    </x:row>
    <x:row r="69">
      <x:c r="A69" s="5">
        <x:v>2016</x:v>
      </x:c>
      <x:c r="B69" s="15" t="s">
        <x:v>12</x:v>
      </x:c>
      <x:c r="C69" s="15" t="s">
        <x:v>626</x:v>
      </x:c>
      <x:c r="D69" s="15" t="s">
        <x:v>627</x:v>
      </x:c>
      <x:c r="E69" s="6">
        <x:v>4560</x:v>
      </x:c>
      <x:c r="F69" s="6">
        <x:v>3990120</x:v>
      </x:c>
      <x:c r="G69" s="9">
        <x:v>1.14E-3</x:v>
      </x:c>
    </x:row>
    <x:row r="70">
      <x:c r="A70" s="5">
        <x:v>2016</x:v>
      </x:c>
      <x:c r="B70" s="15" t="s">
        <x:v>17</x:v>
      </x:c>
      <x:c r="C70" s="15" t="s">
        <x:v>623</x:v>
      </x:c>
      <x:c r="D70" s="15" t="s">
        <x:v>624</x:v>
      </x:c>
      <x:c r="E70" s="6">
        <x:v>4650</x:v>
      </x:c>
      <x:c r="F70" s="6">
        <x:v>1987140</x:v>
      </x:c>
      <x:c r="G70" s="9">
        <x:v>2.3400000000000001E-3</x:v>
      </x:c>
    </x:row>
    <x:row r="71">
      <x:c r="A71" s="5">
        <x:v>2016</x:v>
      </x:c>
      <x:c r="B71" s="15" t="s">
        <x:v>17</x:v>
      </x:c>
      <x:c r="C71" s="15" t="s">
        <x:v>625</x:v>
      </x:c>
      <x:c r="D71" s="15" t="s">
        <x:v>16</x:v>
      </x:c>
      <x:c r="E71" s="6">
        <x:v>4280</x:v>
      </x:c>
      <x:c r="F71" s="6">
        <x:v>1896360</x:v>
      </x:c>
      <x:c r="G71" s="9">
        <x:v>2.2599999999999999E-3</x:v>
      </x:c>
    </x:row>
    <x:row r="72">
      <x:c r="A72" s="5">
        <x:v>2016</x:v>
      </x:c>
      <x:c r="B72" s="15" t="s">
        <x:v>17</x:v>
      </x:c>
      <x:c r="C72" s="15" t="s">
        <x:v>626</x:v>
      </x:c>
      <x:c r="D72" s="15" t="s">
        <x:v>627</x:v>
      </x:c>
      <x:c r="E72" s="6">
        <x:v>8930</x:v>
      </x:c>
      <x:c r="F72" s="6">
        <x:v>3883500</x:v>
      </x:c>
      <x:c r="G72" s="9">
        <x:v>2.3E-3</x:v>
      </x:c>
    </x:row>
    <x:row r="73">
      <x:c r="A73" s="5">
        <x:v>2016</x:v>
      </x:c>
      <x:c r="B73" s="15" t="s">
        <x:v>25</x:v>
      </x:c>
      <x:c r="C73" s="15" t="s">
        <x:v>623</x:v>
      </x:c>
      <x:c r="D73" s="15" t="s">
        <x:v>624</x:v>
      </x:c>
      <x:c r="E73" s="6">
        <x:v>6190</x:v>
      </x:c>
      <x:c r="F73" s="6">
        <x:v>1900380</x:v>
      </x:c>
      <x:c r="G73" s="9">
        <x:v>3.2600000000000003E-3</x:v>
      </x:c>
    </x:row>
    <x:row r="74">
      <x:c r="A74" s="5">
        <x:v>2016</x:v>
      </x:c>
      <x:c r="B74" s="15" t="s">
        <x:v>25</x:v>
      </x:c>
      <x:c r="C74" s="15" t="s">
        <x:v>625</x:v>
      </x:c>
      <x:c r="D74" s="15" t="s">
        <x:v>16</x:v>
      </x:c>
      <x:c r="E74" s="6">
        <x:v>5910</x:v>
      </x:c>
      <x:c r="F74" s="6">
        <x:v>1885140</x:v>
      </x:c>
      <x:c r="G74" s="9">
        <x:v>3.13E-3</x:v>
      </x:c>
    </x:row>
    <x:row r="75">
      <x:c r="A75" s="5">
        <x:v>2016</x:v>
      </x:c>
      <x:c r="B75" s="15" t="s">
        <x:v>25</x:v>
      </x:c>
      <x:c r="C75" s="15" t="s">
        <x:v>626</x:v>
      </x:c>
      <x:c r="D75" s="15" t="s">
        <x:v>627</x:v>
      </x:c>
      <x:c r="E75" s="6">
        <x:v>12100</x:v>
      </x:c>
      <x:c r="F75" s="6">
        <x:v>3785520</x:v>
      </x:c>
      <x:c r="G75" s="9">
        <x:v>3.2000000000000002E-3</x:v>
      </x:c>
    </x:row>
    <x:row r="76">
      <x:c r="A76" s="5">
        <x:v>2016</x:v>
      </x:c>
      <x:c r="B76" s="15" t="s">
        <x:v>28</x:v>
      </x:c>
      <x:c r="C76" s="15" t="s">
        <x:v>623</x:v>
      </x:c>
      <x:c r="D76" s="15" t="s">
        <x:v>624</x:v>
      </x:c>
      <x:c r="E76" s="6">
        <x:v>6960</x:v>
      </x:c>
      <x:c r="F76" s="6">
        <x:v>1693170</x:v>
      </x:c>
      <x:c r="G76" s="9">
        <x:v>4.1099999999999999E-3</x:v>
      </x:c>
    </x:row>
    <x:row r="77">
      <x:c r="A77" s="5">
        <x:v>2016</x:v>
      </x:c>
      <x:c r="B77" s="15" t="s">
        <x:v>28</x:v>
      </x:c>
      <x:c r="C77" s="15" t="s">
        <x:v>625</x:v>
      </x:c>
      <x:c r="D77" s="15" t="s">
        <x:v>16</x:v>
      </x:c>
      <x:c r="E77" s="6">
        <x:v>7320</x:v>
      </x:c>
      <x:c r="F77" s="6">
        <x:v>1864360</x:v>
      </x:c>
      <x:c r="G77" s="9">
        <x:v>3.9199999999999999E-3</x:v>
      </x:c>
    </x:row>
    <x:row r="78">
      <x:c r="A78" s="5">
        <x:v>2016</x:v>
      </x:c>
      <x:c r="B78" s="15" t="s">
        <x:v>28</x:v>
      </x:c>
      <x:c r="C78" s="15" t="s">
        <x:v>626</x:v>
      </x:c>
      <x:c r="D78" s="15" t="s">
        <x:v>627</x:v>
      </x:c>
      <x:c r="E78" s="6">
        <x:v>14280</x:v>
      </x:c>
      <x:c r="F78" s="6">
        <x:v>3557530</x:v>
      </x:c>
      <x:c r="G78" s="9">
        <x:v>4.0100000000000005E-3</x:v>
      </x:c>
    </x:row>
    <x:row r="79">
      <x:c r="A79" s="5">
        <x:v>2016</x:v>
      </x:c>
      <x:c r="B79" s="15" t="s">
        <x:v>32</x:v>
      </x:c>
      <x:c r="C79" s="15" t="s">
        <x:v>623</x:v>
      </x:c>
      <x:c r="D79" s="15" t="s">
        <x:v>624</x:v>
      </x:c>
      <x:c r="E79" s="6">
        <x:v>9490</x:v>
      </x:c>
      <x:c r="F79" s="6">
        <x:v>1811460</x:v>
      </x:c>
      <x:c r="G79" s="9">
        <x:v>5.2399999999999999E-3</x:v>
      </x:c>
    </x:row>
    <x:row r="80">
      <x:c r="A80" s="5">
        <x:v>2016</x:v>
      </x:c>
      <x:c r="B80" s="15" t="s">
        <x:v>32</x:v>
      </x:c>
      <x:c r="C80" s="15" t="s">
        <x:v>625</x:v>
      </x:c>
      <x:c r="D80" s="15" t="s">
        <x:v>16</x:v>
      </x:c>
      <x:c r="E80" s="6">
        <x:v>11880</x:v>
      </x:c>
      <x:c r="F80" s="6">
        <x:v>2050660</x:v>
      </x:c>
      <x:c r="G80" s="9">
        <x:v>5.79E-3</x:v>
      </x:c>
    </x:row>
    <x:row r="81">
      <x:c r="A81" s="5">
        <x:v>2016</x:v>
      </x:c>
      <x:c r="B81" s="15" t="s">
        <x:v>32</x:v>
      </x:c>
      <x:c r="C81" s="15" t="s">
        <x:v>626</x:v>
      </x:c>
      <x:c r="D81" s="15" t="s">
        <x:v>627</x:v>
      </x:c>
      <x:c r="E81" s="6">
        <x:v>21370</x:v>
      </x:c>
      <x:c r="F81" s="6">
        <x:v>3862110</x:v>
      </x:c>
      <x:c r="G81" s="9">
        <x:v>5.5300000000000002E-3</x:v>
      </x:c>
    </x:row>
    <x:row r="82">
      <x:c r="A82" s="5">
        <x:v>2016</x:v>
      </x:c>
      <x:c r="B82" s="15" t="s">
        <x:v>36</x:v>
      </x:c>
      <x:c r="C82" s="15" t="s">
        <x:v>623</x:v>
      </x:c>
      <x:c r="D82" s="15" t="s">
        <x:v>624</x:v>
      </x:c>
      <x:c r="E82" s="6">
        <x:v>14200</x:v>
      </x:c>
      <x:c r="F82" s="6">
        <x:v>1891670</x:v>
      </x:c>
      <x:c r="G82" s="9">
        <x:v>7.4999999999999997E-3</x:v>
      </x:c>
    </x:row>
    <x:row r="83">
      <x:c r="A83" s="5">
        <x:v>2016</x:v>
      </x:c>
      <x:c r="B83" s="15" t="s">
        <x:v>36</x:v>
      </x:c>
      <x:c r="C83" s="15" t="s">
        <x:v>625</x:v>
      </x:c>
      <x:c r="D83" s="15" t="s">
        <x:v>16</x:v>
      </x:c>
      <x:c r="E83" s="6">
        <x:v>17780</x:v>
      </x:c>
      <x:c r="F83" s="6">
        <x:v>2114490</x:v>
      </x:c>
      <x:c r="G83" s="9">
        <x:v>8.4099999999999991E-3</x:v>
      </x:c>
    </x:row>
    <x:row r="84">
      <x:c r="A84" s="5">
        <x:v>2016</x:v>
      </x:c>
      <x:c r="B84" s="15" t="s">
        <x:v>36</x:v>
      </x:c>
      <x:c r="C84" s="15" t="s">
        <x:v>626</x:v>
      </x:c>
      <x:c r="D84" s="15" t="s">
        <x:v>627</x:v>
      </x:c>
      <x:c r="E84" s="6">
        <x:v>31980</x:v>
      </x:c>
      <x:c r="F84" s="6">
        <x:v>4006160</x:v>
      </x:c>
      <x:c r="G84" s="9">
        <x:v>7.980000000000001E-3</x:v>
      </x:c>
    </x:row>
    <x:row r="85">
      <x:c r="A85" s="5">
        <x:v>2016</x:v>
      </x:c>
      <x:c r="B85" s="15" t="s">
        <x:v>40</x:v>
      </x:c>
      <x:c r="C85" s="15" t="s">
        <x:v>623</x:v>
      </x:c>
      <x:c r="D85" s="15" t="s">
        <x:v>624</x:v>
      </x:c>
      <x:c r="E85" s="6">
        <x:v>23740</x:v>
      </x:c>
      <x:c r="F85" s="6">
        <x:v>1935780</x:v>
      </x:c>
      <x:c r="G85" s="9">
        <x:v>1.226E-2</x:v>
      </x:c>
    </x:row>
    <x:row r="86">
      <x:c r="A86" s="5">
        <x:v>2016</x:v>
      </x:c>
      <x:c r="B86" s="15" t="s">
        <x:v>40</x:v>
      </x:c>
      <x:c r="C86" s="15" t="s">
        <x:v>625</x:v>
      </x:c>
      <x:c r="D86" s="15" t="s">
        <x:v>16</x:v>
      </x:c>
      <x:c r="E86" s="6">
        <x:v>24700</x:v>
      </x:c>
      <x:c r="F86" s="6">
        <x:v>2110470</x:v>
      </x:c>
      <x:c r="G86" s="9">
        <x:v>1.1699999999999999E-2</x:v>
      </x:c>
    </x:row>
    <x:row r="87">
      <x:c r="A87" s="5">
        <x:v>2016</x:v>
      </x:c>
      <x:c r="B87" s="15" t="s">
        <x:v>40</x:v>
      </x:c>
      <x:c r="C87" s="15" t="s">
        <x:v>626</x:v>
      </x:c>
      <x:c r="D87" s="15" t="s">
        <x:v>627</x:v>
      </x:c>
      <x:c r="E87" s="6">
        <x:v>48440</x:v>
      </x:c>
      <x:c r="F87" s="6">
        <x:v>4046240</x:v>
      </x:c>
      <x:c r="G87" s="9">
        <x:v>1.1970000000000001E-2</x:v>
      </x:c>
    </x:row>
    <x:row r="88">
      <x:c r="A88" s="5">
        <x:v>2016</x:v>
      </x:c>
      <x:c r="B88" s="15" t="s">
        <x:v>44</x:v>
      </x:c>
      <x:c r="C88" s="15" t="s">
        <x:v>623</x:v>
      </x:c>
      <x:c r="D88" s="15" t="s">
        <x:v>624</x:v>
      </x:c>
      <x:c r="E88" s="6">
        <x:v>43600</x:v>
      </x:c>
      <x:c r="F88" s="6">
        <x:v>2019140</x:v>
      </x:c>
      <x:c r="G88" s="9">
        <x:v>2.1589999999999998E-2</x:v>
      </x:c>
    </x:row>
    <x:row r="89">
      <x:c r="A89" s="5">
        <x:v>2016</x:v>
      </x:c>
      <x:c r="B89" s="15" t="s">
        <x:v>44</x:v>
      </x:c>
      <x:c r="C89" s="15" t="s">
        <x:v>625</x:v>
      </x:c>
      <x:c r="D89" s="15" t="s">
        <x:v>16</x:v>
      </x:c>
      <x:c r="E89" s="6">
        <x:v>36530</x:v>
      </x:c>
      <x:c r="F89" s="6">
        <x:v>2142050</x:v>
      </x:c>
      <x:c r="G89" s="9">
        <x:v>1.7049999999999999E-2</x:v>
      </x:c>
    </x:row>
    <x:row r="90">
      <x:c r="A90" s="5">
        <x:v>2016</x:v>
      </x:c>
      <x:c r="B90" s="15" t="s">
        <x:v>44</x:v>
      </x:c>
      <x:c r="C90" s="15" t="s">
        <x:v>626</x:v>
      </x:c>
      <x:c r="D90" s="15" t="s">
        <x:v>627</x:v>
      </x:c>
      <x:c r="E90" s="6">
        <x:v>80130</x:v>
      </x:c>
      <x:c r="F90" s="6">
        <x:v>4161190</x:v>
      </x:c>
      <x:c r="G90" s="9">
        <x:v>1.9259999999999999E-2</x:v>
      </x:c>
    </x:row>
    <x:row r="91">
      <x:c r="A91" s="5">
        <x:v>2016</x:v>
      </x:c>
      <x:c r="B91" s="15" t="s">
        <x:v>48</x:v>
      </x:c>
      <x:c r="C91" s="15" t="s">
        <x:v>623</x:v>
      </x:c>
      <x:c r="D91" s="15" t="s">
        <x:v>624</x:v>
      </x:c>
      <x:c r="E91" s="6">
        <x:v>78630</x:v>
      </x:c>
      <x:c r="F91" s="6">
        <x:v>2114420</x:v>
      </x:c>
      <x:c r="G91" s="9">
        <x:v>3.7190000000000001E-2</x:v>
      </x:c>
    </x:row>
    <x:row r="92">
      <x:c r="A92" s="5">
        <x:v>2016</x:v>
      </x:c>
      <x:c r="B92" s="15" t="s">
        <x:v>48</x:v>
      </x:c>
      <x:c r="C92" s="15" t="s">
        <x:v>625</x:v>
      </x:c>
      <x:c r="D92" s="15" t="s">
        <x:v>16</x:v>
      </x:c>
      <x:c r="E92" s="6">
        <x:v>59640</x:v>
      </x:c>
      <x:c r="F92" s="6">
        <x:v>2228670</x:v>
      </x:c>
      <x:c r="G92" s="9">
        <x:v>2.6760000000000003E-2</x:v>
      </x:c>
    </x:row>
    <x:row r="93">
      <x:c r="A93" s="5">
        <x:v>2016</x:v>
      </x:c>
      <x:c r="B93" s="15" t="s">
        <x:v>48</x:v>
      </x:c>
      <x:c r="C93" s="15" t="s">
        <x:v>626</x:v>
      </x:c>
      <x:c r="D93" s="15" t="s">
        <x:v>627</x:v>
      </x:c>
      <x:c r="E93" s="6">
        <x:v>138270</x:v>
      </x:c>
      <x:c r="F93" s="6">
        <x:v>4343080</x:v>
      </x:c>
      <x:c r="G93" s="9">
        <x:v>3.184E-2</x:v>
      </x:c>
    </x:row>
    <x:row r="94">
      <x:c r="A94" s="5">
        <x:v>2016</x:v>
      </x:c>
      <x:c r="B94" s="15" t="s">
        <x:v>52</x:v>
      </x:c>
      <x:c r="C94" s="15" t="s">
        <x:v>623</x:v>
      </x:c>
      <x:c r="D94" s="15" t="s">
        <x:v>624</x:v>
      </x:c>
      <x:c r="E94" s="6">
        <x:v>136120</x:v>
      </x:c>
      <x:c r="F94" s="6">
        <x:v>2111910</x:v>
      </x:c>
      <x:c r="G94" s="9">
        <x:v>6.4450000000000007E-2</x:v>
      </x:c>
    </x:row>
    <x:row r="95">
      <x:c r="A95" s="5">
        <x:v>2016</x:v>
      </x:c>
      <x:c r="B95" s="15" t="s">
        <x:v>52</x:v>
      </x:c>
      <x:c r="C95" s="15" t="s">
        <x:v>625</x:v>
      </x:c>
      <x:c r="D95" s="15" t="s">
        <x:v>16</x:v>
      </x:c>
      <x:c r="E95" s="6">
        <x:v>98530</x:v>
      </x:c>
      <x:c r="F95" s="6">
        <x:v>2237670</x:v>
      </x:c>
      <x:c r="G95" s="9">
        <x:v>4.4029999999999993E-2</x:v>
      </x:c>
    </x:row>
    <x:row r="96">
      <x:c r="A96" s="5">
        <x:v>2016</x:v>
      </x:c>
      <x:c r="B96" s="15" t="s">
        <x:v>52</x:v>
      </x:c>
      <x:c r="C96" s="15" t="s">
        <x:v>626</x:v>
      </x:c>
      <x:c r="D96" s="15" t="s">
        <x:v>627</x:v>
      </x:c>
      <x:c r="E96" s="6">
        <x:v>234650</x:v>
      </x:c>
      <x:c r="F96" s="6">
        <x:v>4349580</x:v>
      </x:c>
      <x:c r="G96" s="9">
        <x:v>5.3949999999999998E-2</x:v>
      </x:c>
    </x:row>
    <x:row r="97">
      <x:c r="A97" s="5">
        <x:v>2016</x:v>
      </x:c>
      <x:c r="B97" s="15" t="s">
        <x:v>56</x:v>
      </x:c>
      <x:c r="C97" s="15" t="s">
        <x:v>623</x:v>
      </x:c>
      <x:c r="D97" s="15" t="s">
        <x:v>624</x:v>
      </x:c>
      <x:c r="E97" s="6">
        <x:v>206810</x:v>
      </x:c>
      <x:c r="F97" s="6">
        <x:v>1991550</x:v>
      </x:c>
      <x:c r="G97" s="9">
        <x:v>0.10384</x:v>
      </x:c>
    </x:row>
    <x:row r="98">
      <x:c r="A98" s="5">
        <x:v>2016</x:v>
      </x:c>
      <x:c r="B98" s="15" t="s">
        <x:v>56</x:v>
      </x:c>
      <x:c r="C98" s="15" t="s">
        <x:v>625</x:v>
      </x:c>
      <x:c r="D98" s="15" t="s">
        <x:v>16</x:v>
      </x:c>
      <x:c r="E98" s="6">
        <x:v>147470</x:v>
      </x:c>
      <x:c r="F98" s="6">
        <x:v>2139310</x:v>
      </x:c>
      <x:c r="G98" s="9">
        <x:v>6.8929999999999991E-2</x:v>
      </x:c>
    </x:row>
    <x:row r="99">
      <x:c r="A99" s="5">
        <x:v>2016</x:v>
      </x:c>
      <x:c r="B99" s="15" t="s">
        <x:v>56</x:v>
      </x:c>
      <x:c r="C99" s="15" t="s">
        <x:v>626</x:v>
      </x:c>
      <x:c r="D99" s="15" t="s">
        <x:v>627</x:v>
      </x:c>
      <x:c r="E99" s="6">
        <x:v>354280</x:v>
      </x:c>
      <x:c r="F99" s="6">
        <x:v>4130870</x:v>
      </x:c>
      <x:c r="G99" s="9">
        <x:v>8.5760000000000003E-2</x:v>
      </x:c>
    </x:row>
    <x:row r="100">
      <x:c r="A100" s="5">
        <x:v>2016</x:v>
      </x:c>
      <x:c r="B100" s="15" t="s">
        <x:v>60</x:v>
      </x:c>
      <x:c r="C100" s="15" t="s">
        <x:v>623</x:v>
      </x:c>
      <x:c r="D100" s="15" t="s">
        <x:v>624</x:v>
      </x:c>
      <x:c r="E100" s="6">
        <x:v>286600</x:v>
      </x:c>
      <x:c r="F100" s="6">
        <x:v>1880000</x:v>
      </x:c>
      <x:c r="G100" s="9">
        <x:v>0.15245</x:v>
      </x:c>
    </x:row>
    <x:row r="101">
      <x:c r="A101" s="5">
        <x:v>2016</x:v>
      </x:c>
      <x:c r="B101" s="15" t="s">
        <x:v>60</x:v>
      </x:c>
      <x:c r="C101" s="15" t="s">
        <x:v>625</x:v>
      </x:c>
      <x:c r="D101" s="15" t="s">
        <x:v>16</x:v>
      </x:c>
      <x:c r="E101" s="6">
        <x:v>200030</x:v>
      </x:c>
      <x:c r="F101" s="6">
        <x:v>2052610</x:v>
      </x:c>
      <x:c r="G101" s="9">
        <x:v>9.7449999999999995E-2</x:v>
      </x:c>
    </x:row>
    <x:row r="102">
      <x:c r="A102" s="5">
        <x:v>2016</x:v>
      </x:c>
      <x:c r="B102" s="15" t="s">
        <x:v>60</x:v>
      </x:c>
      <x:c r="C102" s="15" t="s">
        <x:v>626</x:v>
      </x:c>
      <x:c r="D102" s="15" t="s">
        <x:v>627</x:v>
      </x:c>
      <x:c r="E102" s="6">
        <x:v>486630</x:v>
      </x:c>
      <x:c r="F102" s="6">
        <x:v>3932610</x:v>
      </x:c>
      <x:c r="G102" s="9">
        <x:v>0.12374</x:v>
      </x:c>
    </x:row>
    <x:row r="103">
      <x:c r="A103" s="5">
        <x:v>2016</x:v>
      </x:c>
      <x:c r="B103" s="15" t="s">
        <x:v>64</x:v>
      </x:c>
      <x:c r="C103" s="15" t="s">
        <x:v>623</x:v>
      </x:c>
      <x:c r="D103" s="15" t="s">
        <x:v>624</x:v>
      </x:c>
      <x:c r="E103" s="6">
        <x:v>356210</x:v>
      </x:c>
      <x:c r="F103" s="6">
        <x:v>1839950</x:v>
      </x:c>
      <x:c r="G103" s="9">
        <x:v>0.19359999999999999</x:v>
      </x:c>
    </x:row>
    <x:row r="104">
      <x:c r="A104" s="5">
        <x:v>2016</x:v>
      </x:c>
      <x:c r="B104" s="15" t="s">
        <x:v>64</x:v>
      </x:c>
      <x:c r="C104" s="15" t="s">
        <x:v>625</x:v>
      </x:c>
      <x:c r="D104" s="15" t="s">
        <x:v>16</x:v>
      </x:c>
      <x:c r="E104" s="6">
        <x:v>239450</x:v>
      </x:c>
      <x:c r="F104" s="6">
        <x:v>2012590</x:v>
      </x:c>
      <x:c r="G104" s="9">
        <x:v>0.11897000000000001</x:v>
      </x:c>
    </x:row>
    <x:row r="105">
      <x:c r="A105" s="5">
        <x:v>2016</x:v>
      </x:c>
      <x:c r="B105" s="15" t="s">
        <x:v>64</x:v>
      </x:c>
      <x:c r="C105" s="15" t="s">
        <x:v>626</x:v>
      </x:c>
      <x:c r="D105" s="15" t="s">
        <x:v>627</x:v>
      </x:c>
      <x:c r="E105" s="6">
        <x:v>595650</x:v>
      </x:c>
      <x:c r="F105" s="6">
        <x:v>3852540</x:v>
      </x:c>
      <x:c r="G105" s="9">
        <x:v>0.15461</x:v>
      </x:c>
    </x:row>
    <x:row r="106">
      <x:c r="A106" s="5">
        <x:v>2016</x:v>
      </x:c>
      <x:c r="B106" s="15" t="s">
        <x:v>68</x:v>
      </x:c>
      <x:c r="C106" s="15" t="s">
        <x:v>623</x:v>
      </x:c>
      <x:c r="D106" s="15" t="s">
        <x:v>624</x:v>
      </x:c>
      <x:c r="E106" s="6">
        <x:v>286960</x:v>
      </x:c>
      <x:c r="F106" s="6">
        <x:v>1287280</x:v>
      </x:c>
      <x:c r="G106" s="9">
        <x:v>0.22292000000000001</x:v>
      </x:c>
    </x:row>
    <x:row r="107">
      <x:c r="A107" s="5">
        <x:v>2016</x:v>
      </x:c>
      <x:c r="B107" s="15" t="s">
        <x:v>68</x:v>
      </x:c>
      <x:c r="C107" s="15" t="s">
        <x:v>625</x:v>
      </x:c>
      <x:c r="D107" s="15" t="s">
        <x:v>16</x:v>
      </x:c>
      <x:c r="E107" s="6">
        <x:v>211050</x:v>
      </x:c>
      <x:c r="F107" s="6">
        <x:v>1446580</x:v>
      </x:c>
      <x:c r="G107" s="9">
        <x:v>0.14588999999999999</x:v>
      </x:c>
    </x:row>
    <x:row r="108">
      <x:c r="A108" s="5">
        <x:v>2016</x:v>
      </x:c>
      <x:c r="B108" s="15" t="s">
        <x:v>68</x:v>
      </x:c>
      <x:c r="C108" s="15" t="s">
        <x:v>626</x:v>
      </x:c>
      <x:c r="D108" s="15" t="s">
        <x:v>627</x:v>
      </x:c>
      <x:c r="E108" s="6">
        <x:v>498010</x:v>
      </x:c>
      <x:c r="F108" s="6">
        <x:v>2733860</x:v>
      </x:c>
      <x:c r="G108" s="9">
        <x:v>0.18216000000000002</x:v>
      </x:c>
    </x:row>
    <x:row r="109">
      <x:c r="A109" s="5">
        <x:v>2016</x:v>
      </x:c>
      <x:c r="B109" s="15" t="s">
        <x:v>72</x:v>
      </x:c>
      <x:c r="C109" s="15" t="s">
        <x:v>623</x:v>
      </x:c>
      <x:c r="D109" s="15" t="s">
        <x:v>624</x:v>
      </x:c>
      <x:c r="E109" s="6">
        <x:v>220070</x:v>
      </x:c>
      <x:c r="F109" s="6">
        <x:v>954820</x:v>
      </x:c>
      <x:c r="G109" s="9">
        <x:v>0.23047999999999999</x:v>
      </x:c>
    </x:row>
    <x:row r="110">
      <x:c r="A110" s="5">
        <x:v>2016</x:v>
      </x:c>
      <x:c r="B110" s="15" t="s">
        <x:v>72</x:v>
      </x:c>
      <x:c r="C110" s="15" t="s">
        <x:v>625</x:v>
      </x:c>
      <x:c r="D110" s="15" t="s">
        <x:v>16</x:v>
      </x:c>
      <x:c r="E110" s="6">
        <x:v>190250</x:v>
      </x:c>
      <x:c r="F110" s="6">
        <x:v>1174650</x:v>
      </x:c>
      <x:c r="G110" s="9">
        <x:v>0.16197</x:v>
      </x:c>
    </x:row>
    <x:row r="111">
      <x:c r="A111" s="5">
        <x:v>2016</x:v>
      </x:c>
      <x:c r="B111" s="15" t="s">
        <x:v>72</x:v>
      </x:c>
      <x:c r="C111" s="15" t="s">
        <x:v>626</x:v>
      </x:c>
      <x:c r="D111" s="15" t="s">
        <x:v>627</x:v>
      </x:c>
      <x:c r="E111" s="6">
        <x:v>410320</x:v>
      </x:c>
      <x:c r="F111" s="6">
        <x:v>2129470</x:v>
      </x:c>
      <x:c r="G111" s="9">
        <x:v>0.19268999999999997</x:v>
      </x:c>
    </x:row>
    <x:row r="112">
      <x:c r="A112" s="5">
        <x:v>2016</x:v>
      </x:c>
      <x:c r="B112" s="15" t="s">
        <x:v>76</x:v>
      </x:c>
      <x:c r="C112" s="15" t="s">
        <x:v>623</x:v>
      </x:c>
      <x:c r="D112" s="15" t="s">
        <x:v>624</x:v>
      </x:c>
      <x:c r="E112" s="6">
        <x:v>178210</x:v>
      </x:c>
      <x:c r="F112" s="6">
        <x:v>777380</x:v>
      </x:c>
      <x:c r="G112" s="9">
        <x:v>0.22924</x:v>
      </x:c>
    </x:row>
    <x:row r="113">
      <x:c r="A113" s="5">
        <x:v>2016</x:v>
      </x:c>
      <x:c r="B113" s="15" t="s">
        <x:v>76</x:v>
      </x:c>
      <x:c r="C113" s="15" t="s">
        <x:v>625</x:v>
      </x:c>
      <x:c r="D113" s="15" t="s">
        <x:v>16</x:v>
      </x:c>
      <x:c r="E113" s="6">
        <x:v>190790</x:v>
      </x:c>
      <x:c r="F113" s="6">
        <x:v>1126050</x:v>
      </x:c>
      <x:c r="G113" s="9">
        <x:v>0.16943999999999998</x:v>
      </x:c>
    </x:row>
    <x:row r="114">
      <x:c r="A114" s="5">
        <x:v>2016</x:v>
      </x:c>
      <x:c r="B114" s="15" t="s">
        <x:v>76</x:v>
      </x:c>
      <x:c r="C114" s="15" t="s">
        <x:v>626</x:v>
      </x:c>
      <x:c r="D114" s="15" t="s">
        <x:v>627</x:v>
      </x:c>
      <x:c r="E114" s="6">
        <x:v>369000</x:v>
      </x:c>
      <x:c r="F114" s="6">
        <x:v>1903430</x:v>
      </x:c>
      <x:c r="G114" s="9">
        <x:v>0.19386</x:v>
      </x:c>
    </x:row>
    <x:row r="115">
      <x:c r="A115" s="5">
        <x:v>2016</x:v>
      </x:c>
      <x:c r="B115" s="15" t="s">
        <x:v>80</x:v>
      </x:c>
      <x:c r="C115" s="15" t="s">
        <x:v>623</x:v>
      </x:c>
      <x:c r="D115" s="15" t="s">
        <x:v>624</x:v>
      </x:c>
      <x:c r="E115" s="6">
        <x:v>99270</x:v>
      </x:c>
      <x:c r="F115" s="6">
        <x:v>484540</x:v>
      </x:c>
      <x:c r="G115" s="9">
        <x:v>0.20487</x:v>
      </x:c>
    </x:row>
    <x:row r="116">
      <x:c r="A116" s="5">
        <x:v>2016</x:v>
      </x:c>
      <x:c r="B116" s="15" t="s">
        <x:v>80</x:v>
      </x:c>
      <x:c r="C116" s="15" t="s">
        <x:v>625</x:v>
      </x:c>
      <x:c r="D116" s="15" t="s">
        <x:v>16</x:v>
      </x:c>
      <x:c r="E116" s="6">
        <x:v>139030</x:v>
      </x:c>
      <x:c r="F116" s="6">
        <x:v>884390</x:v>
      </x:c>
      <x:c r="G116" s="9">
        <x:v>0.15720000000000001</x:v>
      </x:c>
    </x:row>
    <x:row r="117">
      <x:c r="A117" s="5">
        <x:v>2016</x:v>
      </x:c>
      <x:c r="B117" s="15" t="s">
        <x:v>80</x:v>
      </x:c>
      <x:c r="C117" s="15" t="s">
        <x:v>626</x:v>
      </x:c>
      <x:c r="D117" s="15" t="s">
        <x:v>627</x:v>
      </x:c>
      <x:c r="E117" s="6">
        <x:v>238300</x:v>
      </x:c>
      <x:c r="F117" s="6">
        <x:v>1368930</x:v>
      </x:c>
      <x:c r="G117" s="9">
        <x:v>0.17408000000000001</x:v>
      </x:c>
    </x:row>
    <x:row r="118">
      <x:c r="A118" s="5">
        <x:v>2016</x:v>
      </x:c>
      <x:c r="B118" s="15" t="s">
        <x:v>84</x:v>
      </x:c>
      <x:c r="C118" s="15" t="s">
        <x:v>623</x:v>
      </x:c>
      <x:c r="D118" s="15" t="s">
        <x:v>624</x:v>
      </x:c>
      <x:c r="E118" s="6">
        <x:v>32670</x:v>
      </x:c>
      <x:c r="F118" s="6">
        <x:v>199740</x:v>
      </x:c>
      <x:c r="G118" s="9">
        <x:v>0.16358</x:v>
      </x:c>
    </x:row>
    <x:row r="119">
      <x:c r="A119" s="5">
        <x:v>2016</x:v>
      </x:c>
      <x:c r="B119" s="15" t="s">
        <x:v>84</x:v>
      </x:c>
      <x:c r="C119" s="15" t="s">
        <x:v>625</x:v>
      </x:c>
      <x:c r="D119" s="15" t="s">
        <x:v>16</x:v>
      </x:c>
      <x:c r="E119" s="6">
        <x:v>63480</x:v>
      </x:c>
      <x:c r="F119" s="6">
        <x:v>499950</x:v>
      </x:c>
      <x:c r="G119" s="9">
        <x:v>0.12698000000000001</x:v>
      </x:c>
    </x:row>
    <x:row r="120">
      <x:c r="A120" s="5">
        <x:v>2016</x:v>
      </x:c>
      <x:c r="B120" s="15" t="s">
        <x:v>84</x:v>
      </x:c>
      <x:c r="C120" s="15" t="s">
        <x:v>626</x:v>
      </x:c>
      <x:c r="D120" s="15" t="s">
        <x:v>627</x:v>
      </x:c>
      <x:c r="E120" s="6">
        <x:v>96160</x:v>
      </x:c>
      <x:c r="F120" s="6">
        <x:v>699690</x:v>
      </x:c>
      <x:c r="G120" s="9">
        <x:v>0.13743</x:v>
      </x:c>
    </x:row>
    <x:row r="121">
      <x:c r="A121" s="5">
        <x:v>2016</x:v>
      </x:c>
      <x:c r="B121" s="15" t="s">
        <x:v>87</x:v>
      </x:c>
      <x:c r="C121" s="15" t="s">
        <x:v>623</x:v>
      </x:c>
      <x:c r="D121" s="15" t="s">
        <x:v>624</x:v>
      </x:c>
      <x:c r="E121" s="6">
        <x:v>5470</x:v>
      </x:c>
      <x:c r="F121" s="6">
        <x:v>46070</x:v>
      </x:c>
      <x:c r="G121" s="9">
        <x:v>0.11867000000000001</x:v>
      </x:c>
    </x:row>
    <x:row r="122">
      <x:c r="A122" s="5">
        <x:v>2016</x:v>
      </x:c>
      <x:c r="B122" s="15" t="s">
        <x:v>87</x:v>
      </x:c>
      <x:c r="C122" s="15" t="s">
        <x:v>625</x:v>
      </x:c>
      <x:c r="D122" s="15" t="s">
        <x:v>16</x:v>
      </x:c>
      <x:c r="E122" s="6">
        <x:v>16280</x:v>
      </x:c>
      <x:c r="F122" s="6">
        <x:v>169520</x:v>
      </x:c>
      <x:c r="G122" s="9">
        <x:v>9.6010000000000012E-2</x:v>
      </x:c>
    </x:row>
    <x:row r="123">
      <x:c r="A123" s="5">
        <x:v>2016</x:v>
      </x:c>
      <x:c r="B123" s="15" t="s">
        <x:v>87</x:v>
      </x:c>
      <x:c r="C123" s="15" t="s">
        <x:v>626</x:v>
      </x:c>
      <x:c r="D123" s="15" t="s">
        <x:v>627</x:v>
      </x:c>
      <x:c r="E123" s="6">
        <x:v>21740</x:v>
      </x:c>
      <x:c r="F123" s="6">
        <x:v>215590</x:v>
      </x:c>
      <x:c r="G123" s="9">
        <x:v>0.10085000000000001</x:v>
      </x:c>
    </x:row>
    <x:row r="124">
      <x:c r="A124" s="5">
        <x:v>2017</x:v>
      </x:c>
      <x:c r="B124" s="15" t="s">
        <x:v>8</x:v>
      </x:c>
      <x:c r="C124" s="15" t="s">
        <x:v>623</x:v>
      </x:c>
      <x:c r="D124" s="15" t="s">
        <x:v>624</x:v>
      </x:c>
      <x:c r="E124" s="6">
        <x:v>650</x:v>
      </x:c>
      <x:c r="F124" s="6">
        <x:v>1932940</x:v>
      </x:c>
      <x:c r="G124" s="9">
        <x:v>3.3E-4</x:v>
      </x:c>
    </x:row>
    <x:row r="125">
      <x:c r="A125" s="5">
        <x:v>2017</x:v>
      </x:c>
      <x:c r="B125" s="15" t="s">
        <x:v>8</x:v>
      </x:c>
      <x:c r="C125" s="15" t="s">
        <x:v>625</x:v>
      </x:c>
      <x:c r="D125" s="15" t="s">
        <x:v>16</x:v>
      </x:c>
      <x:c r="E125" s="6">
        <x:v>560</x:v>
      </x:c>
      <x:c r="F125" s="6">
        <x:v>1838940</x:v>
      </x:c>
      <x:c r="G125" s="9">
        <x:v>3.1E-4</x:v>
      </x:c>
    </x:row>
    <x:row r="126">
      <x:c r="A126" s="5">
        <x:v>2017</x:v>
      </x:c>
      <x:c r="B126" s="15" t="s">
        <x:v>8</x:v>
      </x:c>
      <x:c r="C126" s="15" t="s">
        <x:v>626</x:v>
      </x:c>
      <x:c r="D126" s="15" t="s">
        <x:v>627</x:v>
      </x:c>
      <x:c r="E126" s="6">
        <x:v>1210</x:v>
      </x:c>
      <x:c r="F126" s="6">
        <x:v>3771870</x:v>
      </x:c>
      <x:c r="G126" s="9">
        <x:v>3.2000000000000003E-4</x:v>
      </x:c>
    </x:row>
    <x:row r="127">
      <x:c r="A127" s="5">
        <x:v>2017</x:v>
      </x:c>
      <x:c r="B127" s="15" t="s">
        <x:v>12</x:v>
      </x:c>
      <x:c r="C127" s="15" t="s">
        <x:v>623</x:v>
      </x:c>
      <x:c r="D127" s="15" t="s">
        <x:v>624</x:v>
      </x:c>
      <x:c r="E127" s="6">
        <x:v>2410</x:v>
      </x:c>
      <x:c r="F127" s="6">
        <x:v>2033320</x:v>
      </x:c>
      <x:c r="G127" s="9">
        <x:v>1.1799999999999998E-3</x:v>
      </x:c>
    </x:row>
    <x:row r="128">
      <x:c r="A128" s="5">
        <x:v>2017</x:v>
      </x:c>
      <x:c r="B128" s="15" t="s">
        <x:v>12</x:v>
      </x:c>
      <x:c r="C128" s="15" t="s">
        <x:v>625</x:v>
      </x:c>
      <x:c r="D128" s="15" t="s">
        <x:v>16</x:v>
      </x:c>
      <x:c r="E128" s="6">
        <x:v>2210</x:v>
      </x:c>
      <x:c r="F128" s="6">
        <x:v>1934930</x:v>
      </x:c>
      <x:c r="G128" s="9">
        <x:v>1.14E-3</x:v>
      </x:c>
    </x:row>
    <x:row r="129">
      <x:c r="A129" s="5">
        <x:v>2017</x:v>
      </x:c>
      <x:c r="B129" s="15" t="s">
        <x:v>12</x:v>
      </x:c>
      <x:c r="C129" s="15" t="s">
        <x:v>626</x:v>
      </x:c>
      <x:c r="D129" s="15" t="s">
        <x:v>627</x:v>
      </x:c>
      <x:c r="E129" s="6">
        <x:v>4620</x:v>
      </x:c>
      <x:c r="F129" s="6">
        <x:v>3968250</x:v>
      </x:c>
      <x:c r="G129" s="9">
        <x:v>1.16E-3</x:v>
      </x:c>
    </x:row>
    <x:row r="130">
      <x:c r="A130" s="5">
        <x:v>2017</x:v>
      </x:c>
      <x:c r="B130" s="15" t="s">
        <x:v>17</x:v>
      </x:c>
      <x:c r="C130" s="15" t="s">
        <x:v>623</x:v>
      </x:c>
      <x:c r="D130" s="15" t="s">
        <x:v>624</x:v>
      </x:c>
      <x:c r="E130" s="6">
        <x:v>4820</x:v>
      </x:c>
      <x:c r="F130" s="6">
        <x:v>1983550</x:v>
      </x:c>
      <x:c r="G130" s="9">
        <x:v>2.4299999999999999E-3</x:v>
      </x:c>
    </x:row>
    <x:row r="131">
      <x:c r="A131" s="5">
        <x:v>2017</x:v>
      </x:c>
      <x:c r="B131" s="15" t="s">
        <x:v>17</x:v>
      </x:c>
      <x:c r="C131" s="15" t="s">
        <x:v>625</x:v>
      </x:c>
      <x:c r="D131" s="15" t="s">
        <x:v>16</x:v>
      </x:c>
      <x:c r="E131" s="6">
        <x:v>4490</x:v>
      </x:c>
      <x:c r="F131" s="6">
        <x:v>1901710</x:v>
      </x:c>
      <x:c r="G131" s="9">
        <x:v>2.3599999999999997E-3</x:v>
      </x:c>
    </x:row>
    <x:row r="132">
      <x:c r="A132" s="5">
        <x:v>2017</x:v>
      </x:c>
      <x:c r="B132" s="15" t="s">
        <x:v>17</x:v>
      </x:c>
      <x:c r="C132" s="15" t="s">
        <x:v>626</x:v>
      </x:c>
      <x:c r="D132" s="15" t="s">
        <x:v>627</x:v>
      </x:c>
      <x:c r="E132" s="6">
        <x:v>9310</x:v>
      </x:c>
      <x:c r="F132" s="6">
        <x:v>3885250</x:v>
      </x:c>
      <x:c r="G132" s="9">
        <x:v>2.3999999999999998E-3</x:v>
      </x:c>
    </x:row>
    <x:row r="133">
      <x:c r="A133" s="5">
        <x:v>2017</x:v>
      </x:c>
      <x:c r="B133" s="15" t="s">
        <x:v>25</x:v>
      </x:c>
      <x:c r="C133" s="15" t="s">
        <x:v>623</x:v>
      </x:c>
      <x:c r="D133" s="15" t="s">
        <x:v>624</x:v>
      </x:c>
      <x:c r="E133" s="6">
        <x:v>6570</x:v>
      </x:c>
      <x:c r="F133" s="6">
        <x:v>1904660</x:v>
      </x:c>
      <x:c r="G133" s="9">
        <x:v>3.4499999999999999E-3</x:v>
      </x:c>
    </x:row>
    <x:row r="134">
      <x:c r="A134" s="5">
        <x:v>2017</x:v>
      </x:c>
      <x:c r="B134" s="15" t="s">
        <x:v>25</x:v>
      </x:c>
      <x:c r="C134" s="15" t="s">
        <x:v>625</x:v>
      </x:c>
      <x:c r="D134" s="15" t="s">
        <x:v>16</x:v>
      </x:c>
      <x:c r="E134" s="6">
        <x:v>6220</x:v>
      </x:c>
      <x:c r="F134" s="6">
        <x:v>1895830</x:v>
      </x:c>
      <x:c r="G134" s="9">
        <x:v>3.2799999999999999E-3</x:v>
      </x:c>
    </x:row>
    <x:row r="135">
      <x:c r="A135" s="5">
        <x:v>2017</x:v>
      </x:c>
      <x:c r="B135" s="15" t="s">
        <x:v>25</x:v>
      </x:c>
      <x:c r="C135" s="15" t="s">
        <x:v>626</x:v>
      </x:c>
      <x:c r="D135" s="15" t="s">
        <x:v>627</x:v>
      </x:c>
      <x:c r="E135" s="6">
        <x:v>12790</x:v>
      </x:c>
      <x:c r="F135" s="6">
        <x:v>3800490</x:v>
      </x:c>
      <x:c r="G135" s="9">
        <x:v>3.3600000000000001E-3</x:v>
      </x:c>
    </x:row>
    <x:row r="136">
      <x:c r="A136" s="5">
        <x:v>2017</x:v>
      </x:c>
      <x:c r="B136" s="15" t="s">
        <x:v>28</x:v>
      </x:c>
      <x:c r="C136" s="15" t="s">
        <x:v>623</x:v>
      </x:c>
      <x:c r="D136" s="15" t="s">
        <x:v>624</x:v>
      </x:c>
      <x:c r="E136" s="6">
        <x:v>7190</x:v>
      </x:c>
      <x:c r="F136" s="6">
        <x:v>1689980</x:v>
      </x:c>
      <x:c r="G136" s="9">
        <x:v>4.2500000000000003E-3</x:v>
      </x:c>
    </x:row>
    <x:row r="137">
      <x:c r="A137" s="5">
        <x:v>2017</x:v>
      </x:c>
      <x:c r="B137" s="15" t="s">
        <x:v>28</x:v>
      </x:c>
      <x:c r="C137" s="15" t="s">
        <x:v>625</x:v>
      </x:c>
      <x:c r="D137" s="15" t="s">
        <x:v>16</x:v>
      </x:c>
      <x:c r="E137" s="6">
        <x:v>7330</x:v>
      </x:c>
      <x:c r="F137" s="6">
        <x:v>1867820</x:v>
      </x:c>
      <x:c r="G137" s="9">
        <x:v>3.9300000000000003E-3</x:v>
      </x:c>
    </x:row>
    <x:row r="138">
      <x:c r="A138" s="5">
        <x:v>2017</x:v>
      </x:c>
      <x:c r="B138" s="15" t="s">
        <x:v>28</x:v>
      </x:c>
      <x:c r="C138" s="15" t="s">
        <x:v>626</x:v>
      </x:c>
      <x:c r="D138" s="15" t="s">
        <x:v>627</x:v>
      </x:c>
      <x:c r="E138" s="6">
        <x:v>14520</x:v>
      </x:c>
      <x:c r="F138" s="6">
        <x:v>3557800</x:v>
      </x:c>
      <x:c r="G138" s="9">
        <x:v>4.0799999999999994E-3</x:v>
      </x:c>
    </x:row>
    <x:row r="139">
      <x:c r="A139" s="5">
        <x:v>2017</x:v>
      </x:c>
      <x:c r="B139" s="15" t="s">
        <x:v>32</x:v>
      </x:c>
      <x:c r="C139" s="15" t="s">
        <x:v>623</x:v>
      </x:c>
      <x:c r="D139" s="15" t="s">
        <x:v>624</x:v>
      </x:c>
      <x:c r="E139" s="6">
        <x:v>9730</x:v>
      </x:c>
      <x:c r="F139" s="6">
        <x:v>1802570</x:v>
      </x:c>
      <x:c r="G139" s="9">
        <x:v>5.4000000000000003E-3</x:v>
      </x:c>
    </x:row>
    <x:row r="140">
      <x:c r="A140" s="5">
        <x:v>2017</x:v>
      </x:c>
      <x:c r="B140" s="15" t="s">
        <x:v>32</x:v>
      </x:c>
      <x:c r="C140" s="15" t="s">
        <x:v>625</x:v>
      </x:c>
      <x:c r="D140" s="15" t="s">
        <x:v>16</x:v>
      </x:c>
      <x:c r="E140" s="6">
        <x:v>12210</x:v>
      </x:c>
      <x:c r="F140" s="6">
        <x:v>2041430</x:v>
      </x:c>
      <x:c r="G140" s="9">
        <x:v>5.9800000000000001E-3</x:v>
      </x:c>
    </x:row>
    <x:row r="141">
      <x:c r="A141" s="5">
        <x:v>2017</x:v>
      </x:c>
      <x:c r="B141" s="15" t="s">
        <x:v>32</x:v>
      </x:c>
      <x:c r="C141" s="15" t="s">
        <x:v>626</x:v>
      </x:c>
      <x:c r="D141" s="15" t="s">
        <x:v>627</x:v>
      </x:c>
      <x:c r="E141" s="6">
        <x:v>21940</x:v>
      </x:c>
      <x:c r="F141" s="6">
        <x:v>3844000</x:v>
      </x:c>
      <x:c r="G141" s="9">
        <x:v>5.7099999999999998E-3</x:v>
      </x:c>
    </x:row>
    <x:row r="142">
      <x:c r="A142" s="5">
        <x:v>2017</x:v>
      </x:c>
      <x:c r="B142" s="15" t="s">
        <x:v>36</x:v>
      </x:c>
      <x:c r="C142" s="15" t="s">
        <x:v>623</x:v>
      </x:c>
      <x:c r="D142" s="15" t="s">
        <x:v>624</x:v>
      </x:c>
      <x:c r="E142" s="6">
        <x:v>14600</x:v>
      </x:c>
      <x:c r="F142" s="6">
        <x:v>1872730</x:v>
      </x:c>
      <x:c r="G142" s="9">
        <x:v>7.8000000000000005E-3</x:v>
      </x:c>
    </x:row>
    <x:row r="143">
      <x:c r="A143" s="5">
        <x:v>2017</x:v>
      </x:c>
      <x:c r="B143" s="15" t="s">
        <x:v>36</x:v>
      </x:c>
      <x:c r="C143" s="15" t="s">
        <x:v>625</x:v>
      </x:c>
      <x:c r="D143" s="15" t="s">
        <x:v>16</x:v>
      </x:c>
      <x:c r="E143" s="6">
        <x:v>18050</x:v>
      </x:c>
      <x:c r="F143" s="6">
        <x:v>2108080</x:v>
      </x:c>
      <x:c r="G143" s="9">
        <x:v>8.5599999999999999E-3</x:v>
      </x:c>
    </x:row>
    <x:row r="144">
      <x:c r="A144" s="5">
        <x:v>2017</x:v>
      </x:c>
      <x:c r="B144" s="15" t="s">
        <x:v>36</x:v>
      </x:c>
      <x:c r="C144" s="15" t="s">
        <x:v>626</x:v>
      </x:c>
      <x:c r="D144" s="15" t="s">
        <x:v>627</x:v>
      </x:c>
      <x:c r="E144" s="6">
        <x:v>32650</x:v>
      </x:c>
      <x:c r="F144" s="6">
        <x:v>3980810</x:v>
      </x:c>
      <x:c r="G144" s="9">
        <x:v>8.199999999999999E-3</x:v>
      </x:c>
    </x:row>
    <x:row r="145">
      <x:c r="A145" s="5">
        <x:v>2017</x:v>
      </x:c>
      <x:c r="B145" s="15" t="s">
        <x:v>40</x:v>
      </x:c>
      <x:c r="C145" s="15" t="s">
        <x:v>623</x:v>
      </x:c>
      <x:c r="D145" s="15" t="s">
        <x:v>624</x:v>
      </x:c>
      <x:c r="E145" s="6">
        <x:v>24380</x:v>
      </x:c>
      <x:c r="F145" s="6">
        <x:v>1949820</x:v>
      </x:c>
      <x:c r="G145" s="9">
        <x:v>1.2500000000000001E-2</x:v>
      </x:c>
    </x:row>
    <x:row r="146">
      <x:c r="A146" s="5">
        <x:v>2017</x:v>
      </x:c>
      <x:c r="B146" s="15" t="s">
        <x:v>40</x:v>
      </x:c>
      <x:c r="C146" s="15" t="s">
        <x:v>625</x:v>
      </x:c>
      <x:c r="D146" s="15" t="s">
        <x:v>16</x:v>
      </x:c>
      <x:c r="E146" s="6">
        <x:v>25610</x:v>
      </x:c>
      <x:c r="F146" s="6">
        <x:v>2144120</x:v>
      </x:c>
      <x:c r="G146" s="9">
        <x:v>1.1950000000000001E-2</x:v>
      </x:c>
    </x:row>
    <x:row r="147">
      <x:c r="A147" s="5">
        <x:v>2017</x:v>
      </x:c>
      <x:c r="B147" s="15" t="s">
        <x:v>40</x:v>
      </x:c>
      <x:c r="C147" s="15" t="s">
        <x:v>626</x:v>
      </x:c>
      <x:c r="D147" s="15" t="s">
        <x:v>627</x:v>
      </x:c>
      <x:c r="E147" s="6">
        <x:v>50000</x:v>
      </x:c>
      <x:c r="F147" s="6">
        <x:v>4093940</x:v>
      </x:c>
      <x:c r="G147" s="9">
        <x:v>1.221E-2</x:v>
      </x:c>
    </x:row>
    <x:row r="148">
      <x:c r="A148" s="5">
        <x:v>2017</x:v>
      </x:c>
      <x:c r="B148" s="15" t="s">
        <x:v>44</x:v>
      </x:c>
      <x:c r="C148" s="15" t="s">
        <x:v>623</x:v>
      </x:c>
      <x:c r="D148" s="15" t="s">
        <x:v>624</x:v>
      </x:c>
      <x:c r="E148" s="6">
        <x:v>43600</x:v>
      </x:c>
      <x:c r="F148" s="6">
        <x:v>1962410</x:v>
      </x:c>
      <x:c r="G148" s="9">
        <x:v>2.222E-2</x:v>
      </x:c>
    </x:row>
    <x:row r="149">
      <x:c r="A149" s="5">
        <x:v>2017</x:v>
      </x:c>
      <x:c r="B149" s="15" t="s">
        <x:v>44</x:v>
      </x:c>
      <x:c r="C149" s="15" t="s">
        <x:v>625</x:v>
      </x:c>
      <x:c r="D149" s="15" t="s">
        <x:v>16</x:v>
      </x:c>
      <x:c r="E149" s="6">
        <x:v>36550</x:v>
      </x:c>
      <x:c r="F149" s="6">
        <x:v>2092240</x:v>
      </x:c>
      <x:c r="G149" s="9">
        <x:v>1.7469999999999999E-2</x:v>
      </x:c>
    </x:row>
    <x:row r="150">
      <x:c r="A150" s="5">
        <x:v>2017</x:v>
      </x:c>
      <x:c r="B150" s="15" t="s">
        <x:v>44</x:v>
      </x:c>
      <x:c r="C150" s="15" t="s">
        <x:v>626</x:v>
      </x:c>
      <x:c r="D150" s="15" t="s">
        <x:v>627</x:v>
      </x:c>
      <x:c r="E150" s="6">
        <x:v>80160</x:v>
      </x:c>
      <x:c r="F150" s="6">
        <x:v>4054650</x:v>
      </x:c>
      <x:c r="G150" s="9">
        <x:v>1.9769999999999999E-2</x:v>
      </x:c>
    </x:row>
    <x:row r="151">
      <x:c r="A151" s="5">
        <x:v>2017</x:v>
      </x:c>
      <x:c r="B151" s="15" t="s">
        <x:v>48</x:v>
      </x:c>
      <x:c r="C151" s="15" t="s">
        <x:v>623</x:v>
      </x:c>
      <x:c r="D151" s="15" t="s">
        <x:v>624</x:v>
      </x:c>
      <x:c r="E151" s="6">
        <x:v>80050</x:v>
      </x:c>
      <x:c r="F151" s="6">
        <x:v>2135460</x:v>
      </x:c>
      <x:c r="G151" s="9">
        <x:v>3.7490000000000002E-2</x:v>
      </x:c>
    </x:row>
    <x:row r="152">
      <x:c r="A152" s="5">
        <x:v>2017</x:v>
      </x:c>
      <x:c r="B152" s="15" t="s">
        <x:v>48</x:v>
      </x:c>
      <x:c r="C152" s="15" t="s">
        <x:v>625</x:v>
      </x:c>
      <x:c r="D152" s="15" t="s">
        <x:v>16</x:v>
      </x:c>
      <x:c r="E152" s="6">
        <x:v>60360</x:v>
      </x:c>
      <x:c r="F152" s="6">
        <x:v>2252130</x:v>
      </x:c>
      <x:c r="G152" s="9">
        <x:v>2.6800000000000001E-2</x:v>
      </x:c>
    </x:row>
    <x:row r="153">
      <x:c r="A153" s="5">
        <x:v>2017</x:v>
      </x:c>
      <x:c r="B153" s="15" t="s">
        <x:v>48</x:v>
      </x:c>
      <x:c r="C153" s="15" t="s">
        <x:v>626</x:v>
      </x:c>
      <x:c r="D153" s="15" t="s">
        <x:v>627</x:v>
      </x:c>
      <x:c r="E153" s="6">
        <x:v>140410</x:v>
      </x:c>
      <x:c r="F153" s="6">
        <x:v>4387590</x:v>
      </x:c>
      <x:c r="G153" s="9">
        <x:v>3.2000000000000001E-2</x:v>
      </x:c>
    </x:row>
    <x:row r="154">
      <x:c r="A154" s="5">
        <x:v>2017</x:v>
      </x:c>
      <x:c r="B154" s="15" t="s">
        <x:v>52</x:v>
      </x:c>
      <x:c r="C154" s="15" t="s">
        <x:v>623</x:v>
      </x:c>
      <x:c r="D154" s="15" t="s">
        <x:v>624</x:v>
      </x:c>
      <x:c r="E154" s="6">
        <x:v>137370</x:v>
      </x:c>
      <x:c r="F154" s="6">
        <x:v>2117400</x:v>
      </x:c>
      <x:c r="G154" s="9">
        <x:v>6.4880000000000007E-2</x:v>
      </x:c>
    </x:row>
    <x:row r="155">
      <x:c r="A155" s="5">
        <x:v>2017</x:v>
      </x:c>
      <x:c r="B155" s="15" t="s">
        <x:v>52</x:v>
      </x:c>
      <x:c r="C155" s="15" t="s">
        <x:v>625</x:v>
      </x:c>
      <x:c r="D155" s="15" t="s">
        <x:v>16</x:v>
      </x:c>
      <x:c r="E155" s="6">
        <x:v>99370</x:v>
      </x:c>
      <x:c r="F155" s="6">
        <x:v>2240140</x:v>
      </x:c>
      <x:c r="G155" s="9">
        <x:v>4.4359999999999997E-2</x:v>
      </x:c>
    </x:row>
    <x:row r="156">
      <x:c r="A156" s="5">
        <x:v>2017</x:v>
      </x:c>
      <x:c r="B156" s="15" t="s">
        <x:v>52</x:v>
      </x:c>
      <x:c r="C156" s="15" t="s">
        <x:v>626</x:v>
      </x:c>
      <x:c r="D156" s="15" t="s">
        <x:v>627</x:v>
      </x:c>
      <x:c r="E156" s="6">
        <x:v>236750</x:v>
      </x:c>
      <x:c r="F156" s="6">
        <x:v>4357540</x:v>
      </x:c>
      <x:c r="G156" s="9">
        <x:v>5.4329999999999996E-2</x:v>
      </x:c>
    </x:row>
    <x:row r="157">
      <x:c r="A157" s="5">
        <x:v>2017</x:v>
      </x:c>
      <x:c r="B157" s="15" t="s">
        <x:v>56</x:v>
      </x:c>
      <x:c r="C157" s="15" t="s">
        <x:v>623</x:v>
      </x:c>
      <x:c r="D157" s="15" t="s">
        <x:v>624</x:v>
      </x:c>
      <x:c r="E157" s="6">
        <x:v>207670</x:v>
      </x:c>
      <x:c r="F157" s="6">
        <x:v>2003040</x:v>
      </x:c>
      <x:c r="G157" s="9">
        <x:v>0.10368000000000001</x:v>
      </x:c>
    </x:row>
    <x:row r="158">
      <x:c r="A158" s="5">
        <x:v>2017</x:v>
      </x:c>
      <x:c r="B158" s="15" t="s">
        <x:v>56</x:v>
      </x:c>
      <x:c r="C158" s="15" t="s">
        <x:v>625</x:v>
      </x:c>
      <x:c r="D158" s="15" t="s">
        <x:v>16</x:v>
      </x:c>
      <x:c r="E158" s="6">
        <x:v>147380</x:v>
      </x:c>
      <x:c r="F158" s="6">
        <x:v>2146630</x:v>
      </x:c>
      <x:c r="G158" s="9">
        <x:v>6.8659999999999999E-2</x:v>
      </x:c>
    </x:row>
    <x:row r="159">
      <x:c r="A159" s="5">
        <x:v>2017</x:v>
      </x:c>
      <x:c r="B159" s="15" t="s">
        <x:v>56</x:v>
      </x:c>
      <x:c r="C159" s="15" t="s">
        <x:v>626</x:v>
      </x:c>
      <x:c r="D159" s="15" t="s">
        <x:v>627</x:v>
      </x:c>
      <x:c r="E159" s="6">
        <x:v>355060</x:v>
      </x:c>
      <x:c r="F159" s="6">
        <x:v>4149670</x:v>
      </x:c>
      <x:c r="G159" s="9">
        <x:v>8.5559999999999997E-2</x:v>
      </x:c>
    </x:row>
    <x:row r="160">
      <x:c r="A160" s="5">
        <x:v>2017</x:v>
      </x:c>
      <x:c r="B160" s="15" t="s">
        <x:v>60</x:v>
      </x:c>
      <x:c r="C160" s="15" t="s">
        <x:v>623</x:v>
      </x:c>
      <x:c r="D160" s="15" t="s">
        <x:v>624</x:v>
      </x:c>
      <x:c r="E160" s="6">
        <x:v>285480</x:v>
      </x:c>
      <x:c r="F160" s="6">
        <x:v>1881220</x:v>
      </x:c>
      <x:c r="G160" s="9">
        <x:v>0.15175</x:v>
      </x:c>
    </x:row>
    <x:row r="161">
      <x:c r="A161" s="5">
        <x:v>2017</x:v>
      </x:c>
      <x:c r="B161" s="15" t="s">
        <x:v>60</x:v>
      </x:c>
      <x:c r="C161" s="15" t="s">
        <x:v>625</x:v>
      </x:c>
      <x:c r="D161" s="15" t="s">
        <x:v>16</x:v>
      </x:c>
      <x:c r="E161" s="6">
        <x:v>199800</x:v>
      </x:c>
      <x:c r="F161" s="6">
        <x:v>2056800</x:v>
      </x:c>
      <x:c r="G161" s="9">
        <x:v>9.7140000000000004E-2</x:v>
      </x:c>
    </x:row>
    <x:row r="162">
      <x:c r="A162" s="5">
        <x:v>2017</x:v>
      </x:c>
      <x:c r="B162" s="15" t="s">
        <x:v>60</x:v>
      </x:c>
      <x:c r="C162" s="15" t="s">
        <x:v>626</x:v>
      </x:c>
      <x:c r="D162" s="15" t="s">
        <x:v>627</x:v>
      </x:c>
      <x:c r="E162" s="6">
        <x:v>485280</x:v>
      </x:c>
      <x:c r="F162" s="6">
        <x:v>3938010</x:v>
      </x:c>
      <x:c r="G162" s="9">
        <x:v>0.12323000000000001</x:v>
      </x:c>
    </x:row>
    <x:row r="163">
      <x:c r="A163" s="5">
        <x:v>2017</x:v>
      </x:c>
      <x:c r="B163" s="15" t="s">
        <x:v>64</x:v>
      </x:c>
      <x:c r="C163" s="15" t="s">
        <x:v>623</x:v>
      </x:c>
      <x:c r="D163" s="15" t="s">
        <x:v>624</x:v>
      </x:c>
      <x:c r="E163" s="6">
        <x:v>358090</x:v>
      </x:c>
      <x:c r="F163" s="6">
        <x:v>1832790</x:v>
      </x:c>
      <x:c r="G163" s="9">
        <x:v>0.19538</x:v>
      </x:c>
    </x:row>
    <x:row r="164">
      <x:c r="A164" s="5">
        <x:v>2017</x:v>
      </x:c>
      <x:c r="B164" s="15" t="s">
        <x:v>64</x:v>
      </x:c>
      <x:c r="C164" s="15" t="s">
        <x:v>625</x:v>
      </x:c>
      <x:c r="D164" s="15" t="s">
        <x:v>16</x:v>
      </x:c>
      <x:c r="E164" s="6">
        <x:v>243470</x:v>
      </x:c>
      <x:c r="F164" s="6">
        <x:v>2014930</x:v>
      </x:c>
      <x:c r="G164" s="9">
        <x:v>0.12083000000000001</x:v>
      </x:c>
    </x:row>
    <x:row r="165">
      <x:c r="A165" s="5">
        <x:v>2017</x:v>
      </x:c>
      <x:c r="B165" s="15" t="s">
        <x:v>64</x:v>
      </x:c>
      <x:c r="C165" s="15" t="s">
        <x:v>626</x:v>
      </x:c>
      <x:c r="D165" s="15" t="s">
        <x:v>627</x:v>
      </x:c>
      <x:c r="E165" s="6">
        <x:v>601560</x:v>
      </x:c>
      <x:c r="F165" s="6">
        <x:v>3847720</x:v>
      </x:c>
      <x:c r="G165" s="9">
        <x:v>0.15634000000000001</x:v>
      </x:c>
    </x:row>
    <x:row r="166">
      <x:c r="A166" s="5">
        <x:v>2017</x:v>
      </x:c>
      <x:c r="B166" s="15" t="s">
        <x:v>68</x:v>
      </x:c>
      <x:c r="C166" s="15" t="s">
        <x:v>623</x:v>
      </x:c>
      <x:c r="D166" s="15" t="s">
        <x:v>624</x:v>
      </x:c>
      <x:c r="E166" s="6">
        <x:v>314560</x:v>
      </x:c>
      <x:c r="F166" s="6">
        <x:v>1404840</x:v>
      </x:c>
      <x:c r="G166" s="9">
        <x:v>0.22390999999999997</x:v>
      </x:c>
    </x:row>
    <x:row r="167">
      <x:c r="A167" s="5">
        <x:v>2017</x:v>
      </x:c>
      <x:c r="B167" s="15" t="s">
        <x:v>68</x:v>
      </x:c>
      <x:c r="C167" s="15" t="s">
        <x:v>625</x:v>
      </x:c>
      <x:c r="D167" s="15" t="s">
        <x:v>16</x:v>
      </x:c>
      <x:c r="E167" s="6">
        <x:v>227380</x:v>
      </x:c>
      <x:c r="F167" s="6">
        <x:v>1578100</x:v>
      </x:c>
      <x:c r="G167" s="9">
        <x:v>0.14407999999999999</x:v>
      </x:c>
    </x:row>
    <x:row r="168">
      <x:c r="A168" s="5">
        <x:v>2017</x:v>
      </x:c>
      <x:c r="B168" s="15" t="s">
        <x:v>68</x:v>
      </x:c>
      <x:c r="C168" s="15" t="s">
        <x:v>626</x:v>
      </x:c>
      <x:c r="D168" s="15" t="s">
        <x:v>627</x:v>
      </x:c>
      <x:c r="E168" s="6">
        <x:v>541930</x:v>
      </x:c>
      <x:c r="F168" s="6">
        <x:v>2982940</x:v>
      </x:c>
      <x:c r="G168" s="9">
        <x:v>0.18167999999999998</x:v>
      </x:c>
    </x:row>
    <x:row r="169">
      <x:c r="A169" s="5">
        <x:v>2017</x:v>
      </x:c>
      <x:c r="B169" s="15" t="s">
        <x:v>72</x:v>
      </x:c>
      <x:c r="C169" s="15" t="s">
        <x:v>623</x:v>
      </x:c>
      <x:c r="D169" s="15" t="s">
        <x:v>624</x:v>
      </x:c>
      <x:c r="E169" s="6">
        <x:v>226920</x:v>
      </x:c>
      <x:c r="F169" s="6">
        <x:v>961930</x:v>
      </x:c>
      <x:c r="G169" s="9">
        <x:v>0.2359</x:v>
      </x:c>
    </x:row>
    <x:row r="170">
      <x:c r="A170" s="5">
        <x:v>2017</x:v>
      </x:c>
      <x:c r="B170" s="15" t="s">
        <x:v>72</x:v>
      </x:c>
      <x:c r="C170" s="15" t="s">
        <x:v>625</x:v>
      </x:c>
      <x:c r="D170" s="15" t="s">
        <x:v>16</x:v>
      </x:c>
      <x:c r="E170" s="6">
        <x:v>191000</x:v>
      </x:c>
      <x:c r="F170" s="6">
        <x:v>1167820</x:v>
      </x:c>
      <x:c r="G170" s="9">
        <x:v>0.16356000000000001</x:v>
      </x:c>
    </x:row>
    <x:row r="171">
      <x:c r="A171" s="5">
        <x:v>2017</x:v>
      </x:c>
      <x:c r="B171" s="15" t="s">
        <x:v>72</x:v>
      </x:c>
      <x:c r="C171" s="15" t="s">
        <x:v>626</x:v>
      </x:c>
      <x:c r="D171" s="15" t="s">
        <x:v>627</x:v>
      </x:c>
      <x:c r="E171" s="6">
        <x:v>417930</x:v>
      </x:c>
      <x:c r="F171" s="6">
        <x:v>2129750</x:v>
      </x:c>
      <x:c r="G171" s="9">
        <x:v>0.19623000000000002</x:v>
      </x:c>
    </x:row>
    <x:row r="172">
      <x:c r="A172" s="5">
        <x:v>2017</x:v>
      </x:c>
      <x:c r="B172" s="15" t="s">
        <x:v>76</x:v>
      </x:c>
      <x:c r="C172" s="15" t="s">
        <x:v>623</x:v>
      </x:c>
      <x:c r="D172" s="15" t="s">
        <x:v>624</x:v>
      </x:c>
      <x:c r="E172" s="6">
        <x:v>181080</x:v>
      </x:c>
      <x:c r="F172" s="6">
        <x:v>781830</x:v>
      </x:c>
      <x:c r="G172" s="9">
        <x:v>0.23161000000000001</x:v>
      </x:c>
    </x:row>
    <x:row r="173">
      <x:c r="A173" s="5">
        <x:v>2017</x:v>
      </x:c>
      <x:c r="B173" s="15" t="s">
        <x:v>76</x:v>
      </x:c>
      <x:c r="C173" s="15" t="s">
        <x:v>625</x:v>
      </x:c>
      <x:c r="D173" s="15" t="s">
        <x:v>16</x:v>
      </x:c>
      <x:c r="E173" s="6">
        <x:v>189840</x:v>
      </x:c>
      <x:c r="F173" s="6">
        <x:v>1111480</x:v>
      </x:c>
      <x:c r="G173" s="9">
        <x:v>0.17079999999999998</x:v>
      </x:c>
    </x:row>
    <x:row r="174">
      <x:c r="A174" s="5">
        <x:v>2017</x:v>
      </x:c>
      <x:c r="B174" s="15" t="s">
        <x:v>76</x:v>
      </x:c>
      <x:c r="C174" s="15" t="s">
        <x:v>626</x:v>
      </x:c>
      <x:c r="D174" s="15" t="s">
        <x:v>627</x:v>
      </x:c>
      <x:c r="E174" s="6">
        <x:v>370920</x:v>
      </x:c>
      <x:c r="F174" s="6">
        <x:v>1893310</x:v>
      </x:c>
      <x:c r="G174" s="9">
        <x:v>0.19591</x:v>
      </x:c>
    </x:row>
    <x:row r="175">
      <x:c r="A175" s="5">
        <x:v>2017</x:v>
      </x:c>
      <x:c r="B175" s="15" t="s">
        <x:v>80</x:v>
      </x:c>
      <x:c r="C175" s="15" t="s">
        <x:v>623</x:v>
      </x:c>
      <x:c r="D175" s="15" t="s">
        <x:v>624</x:v>
      </x:c>
      <x:c r="E175" s="6">
        <x:v>105900</x:v>
      </x:c>
      <x:c r="F175" s="6">
        <x:v>502740</x:v>
      </x:c>
      <x:c r="G175" s="9">
        <x:v>0.21065</x:v>
      </x:c>
    </x:row>
    <x:row r="176">
      <x:c r="A176" s="5">
        <x:v>2017</x:v>
      </x:c>
      <x:c r="B176" s="15" t="s">
        <x:v>80</x:v>
      </x:c>
      <x:c r="C176" s="15" t="s">
        <x:v>625</x:v>
      </x:c>
      <x:c r="D176" s="15" t="s">
        <x:v>16</x:v>
      </x:c>
      <x:c r="E176" s="6">
        <x:v>143730</x:v>
      </x:c>
      <x:c r="F176" s="6">
        <x:v>898510</x:v>
      </x:c>
      <x:c r="G176" s="9">
        <x:v>0.15997</x:v>
      </x:c>
    </x:row>
    <x:row r="177">
      <x:c r="A177" s="5">
        <x:v>2017</x:v>
      </x:c>
      <x:c r="B177" s="15" t="s">
        <x:v>80</x:v>
      </x:c>
      <x:c r="C177" s="15" t="s">
        <x:v>626</x:v>
      </x:c>
      <x:c r="D177" s="15" t="s">
        <x:v>627</x:v>
      </x:c>
      <x:c r="E177" s="6">
        <x:v>249640</x:v>
      </x:c>
      <x:c r="F177" s="6">
        <x:v>1401250</x:v>
      </x:c>
      <x:c r="G177" s="9">
        <x:v>0.17815</x:v>
      </x:c>
    </x:row>
    <x:row r="178">
      <x:c r="A178" s="5">
        <x:v>2017</x:v>
      </x:c>
      <x:c r="B178" s="15" t="s">
        <x:v>84</x:v>
      </x:c>
      <x:c r="C178" s="15" t="s">
        <x:v>623</x:v>
      </x:c>
      <x:c r="D178" s="15" t="s">
        <x:v>624</x:v>
      </x:c>
      <x:c r="E178" s="6">
        <x:v>34930</x:v>
      </x:c>
      <x:c r="F178" s="6">
        <x:v>208350</x:v>
      </x:c>
      <x:c r="G178" s="9">
        <x:v>0.16765999999999998</x:v>
      </x:c>
    </x:row>
    <x:row r="179">
      <x:c r="A179" s="5">
        <x:v>2017</x:v>
      </x:c>
      <x:c r="B179" s="15" t="s">
        <x:v>84</x:v>
      </x:c>
      <x:c r="C179" s="15" t="s">
        <x:v>625</x:v>
      </x:c>
      <x:c r="D179" s="15" t="s">
        <x:v>16</x:v>
      </x:c>
      <x:c r="E179" s="6">
        <x:v>66080</x:v>
      </x:c>
      <x:c r="F179" s="6">
        <x:v>508000</x:v>
      </x:c>
      <x:c r="G179" s="9">
        <x:v>0.13006999999999999</x:v>
      </x:c>
    </x:row>
    <x:row r="180">
      <x:c r="A180" s="5">
        <x:v>2017</x:v>
      </x:c>
      <x:c r="B180" s="15" t="s">
        <x:v>84</x:v>
      </x:c>
      <x:c r="C180" s="15" t="s">
        <x:v>626</x:v>
      </x:c>
      <x:c r="D180" s="15" t="s">
        <x:v>627</x:v>
      </x:c>
      <x:c r="E180" s="6">
        <x:v>101010</x:v>
      </x:c>
      <x:c r="F180" s="6">
        <x:v>716350</x:v>
      </x:c>
      <x:c r="G180" s="9">
        <x:v>0.14101</x:v>
      </x:c>
    </x:row>
    <x:row r="181">
      <x:c r="A181" s="5">
        <x:v>2017</x:v>
      </x:c>
      <x:c r="B181" s="15" t="s">
        <x:v>87</x:v>
      </x:c>
      <x:c r="C181" s="15" t="s">
        <x:v>623</x:v>
      </x:c>
      <x:c r="D181" s="15" t="s">
        <x:v>624</x:v>
      </x:c>
      <x:c r="E181" s="6">
        <x:v>6380</x:v>
      </x:c>
      <x:c r="F181" s="6">
        <x:v>51720</x:v>
      </x:c>
      <x:c r="G181" s="9">
        <x:v>0.12336999999999999</x:v>
      </x:c>
    </x:row>
    <x:row r="182">
      <x:c r="A182" s="5">
        <x:v>2017</x:v>
      </x:c>
      <x:c r="B182" s="15" t="s">
        <x:v>87</x:v>
      </x:c>
      <x:c r="C182" s="15" t="s">
        <x:v>625</x:v>
      </x:c>
      <x:c r="D182" s="15" t="s">
        <x:v>16</x:v>
      </x:c>
      <x:c r="E182" s="6">
        <x:v>18220</x:v>
      </x:c>
      <x:c r="F182" s="6">
        <x:v>188530</x:v>
      </x:c>
      <x:c r="G182" s="9">
        <x:v>9.6630000000000008E-2</x:v>
      </x:c>
    </x:row>
    <x:row r="183">
      <x:c r="A183" s="5">
        <x:v>2017</x:v>
      </x:c>
      <x:c r="B183" s="15" t="s">
        <x:v>87</x:v>
      </x:c>
      <x:c r="C183" s="15" t="s">
        <x:v>626</x:v>
      </x:c>
      <x:c r="D183" s="15" t="s">
        <x:v>627</x:v>
      </x:c>
      <x:c r="E183" s="6">
        <x:v>24600</x:v>
      </x:c>
      <x:c r="F183" s="6">
        <x:v>240260</x:v>
      </x:c>
      <x:c r="G183" s="9">
        <x:v>0.10238</x:v>
      </x:c>
    </x:row>
    <x:row r="184">
      <x:c r="A184" s="5">
        <x:v>2018</x:v>
      </x:c>
      <x:c r="B184" s="15" t="s">
        <x:v>8</x:v>
      </x:c>
      <x:c r="C184" s="15" t="s">
        <x:v>623</x:v>
      </x:c>
      <x:c r="D184" s="15" t="s">
        <x:v>624</x:v>
      </x:c>
      <x:c r="E184" s="6">
        <x:v>640</x:v>
      </x:c>
      <x:c r="F184" s="6">
        <x:v>1909680</x:v>
      </x:c>
      <x:c r="G184" s="9">
        <x:v>3.3E-4</x:v>
      </x:c>
    </x:row>
    <x:row r="185">
      <x:c r="A185" s="5">
        <x:v>2018</x:v>
      </x:c>
      <x:c r="B185" s="15" t="s">
        <x:v>8</x:v>
      </x:c>
      <x:c r="C185" s="15" t="s">
        <x:v>625</x:v>
      </x:c>
      <x:c r="D185" s="15" t="s">
        <x:v>16</x:v>
      </x:c>
      <x:c r="E185" s="6">
        <x:v>550</x:v>
      </x:c>
      <x:c r="F185" s="6">
        <x:v>1815970</x:v>
      </x:c>
      <x:c r="G185" s="9">
        <x:v>3.1E-4</x:v>
      </x:c>
    </x:row>
    <x:row r="186">
      <x:c r="A186" s="5">
        <x:v>2018</x:v>
      </x:c>
      <x:c r="B186" s="15" t="s">
        <x:v>8</x:v>
      </x:c>
      <x:c r="C186" s="15" t="s">
        <x:v>626</x:v>
      </x:c>
      <x:c r="D186" s="15" t="s">
        <x:v>627</x:v>
      </x:c>
      <x:c r="E186" s="6">
        <x:v>1190</x:v>
      </x:c>
      <x:c r="F186" s="6">
        <x:v>3725640</x:v>
      </x:c>
      <x:c r="G186" s="9">
        <x:v>3.2000000000000003E-4</x:v>
      </x:c>
    </x:row>
    <x:row r="187">
      <x:c r="A187" s="5">
        <x:v>2018</x:v>
      </x:c>
      <x:c r="B187" s="15" t="s">
        <x:v>12</x:v>
      </x:c>
      <x:c r="C187" s="15" t="s">
        <x:v>623</x:v>
      </x:c>
      <x:c r="D187" s="15" t="s">
        <x:v>624</x:v>
      </x:c>
      <x:c r="E187" s="6">
        <x:v>2450</x:v>
      </x:c>
      <x:c r="F187" s="6">
        <x:v>2026880</x:v>
      </x:c>
      <x:c r="G187" s="9">
        <x:v>1.2099999999999999E-3</x:v>
      </x:c>
    </x:row>
    <x:row r="188">
      <x:c r="A188" s="5">
        <x:v>2018</x:v>
      </x:c>
      <x:c r="B188" s="15" t="s">
        <x:v>12</x:v>
      </x:c>
      <x:c r="C188" s="15" t="s">
        <x:v>625</x:v>
      </x:c>
      <x:c r="D188" s="15" t="s">
        <x:v>16</x:v>
      </x:c>
      <x:c r="E188" s="6">
        <x:v>2230</x:v>
      </x:c>
      <x:c r="F188" s="6">
        <x:v>1929780</x:v>
      </x:c>
      <x:c r="G188" s="9">
        <x:v>1.16E-3</x:v>
      </x:c>
    </x:row>
    <x:row r="189">
      <x:c r="A189" s="5">
        <x:v>2018</x:v>
      </x:c>
      <x:c r="B189" s="15" t="s">
        <x:v>12</x:v>
      </x:c>
      <x:c r="C189" s="15" t="s">
        <x:v>626</x:v>
      </x:c>
      <x:c r="D189" s="15" t="s">
        <x:v>627</x:v>
      </x:c>
      <x:c r="E189" s="6">
        <x:v>4680</x:v>
      </x:c>
      <x:c r="F189" s="6">
        <x:v>3956660</x:v>
      </x:c>
      <x:c r="G189" s="9">
        <x:v>1.1799999999999998E-3</x:v>
      </x:c>
    </x:row>
    <x:row r="190">
      <x:c r="A190" s="5">
        <x:v>2018</x:v>
      </x:c>
      <x:c r="B190" s="15" t="s">
        <x:v>17</x:v>
      </x:c>
      <x:c r="C190" s="15" t="s">
        <x:v>623</x:v>
      </x:c>
      <x:c r="D190" s="15" t="s">
        <x:v>624</x:v>
      </x:c>
      <x:c r="E190" s="6">
        <x:v>4990</x:v>
      </x:c>
      <x:c r="F190" s="6">
        <x:v>2004290</x:v>
      </x:c>
      <x:c r="G190" s="9">
        <x:v>2.49E-3</x:v>
      </x:c>
    </x:row>
    <x:row r="191">
      <x:c r="A191" s="5">
        <x:v>2018</x:v>
      </x:c>
      <x:c r="B191" s="15" t="s">
        <x:v>17</x:v>
      </x:c>
      <x:c r="C191" s="15" t="s">
        <x:v>625</x:v>
      </x:c>
      <x:c r="D191" s="15" t="s">
        <x:v>16</x:v>
      </x:c>
      <x:c r="E191" s="6">
        <x:v>4680</x:v>
      </x:c>
      <x:c r="F191" s="6">
        <x:v>1921420</x:v>
      </x:c>
      <x:c r="G191" s="9">
        <x:v>2.4399999999999999E-3</x:v>
      </x:c>
    </x:row>
    <x:row r="192">
      <x:c r="A192" s="5">
        <x:v>2018</x:v>
      </x:c>
      <x:c r="B192" s="15" t="s">
        <x:v>17</x:v>
      </x:c>
      <x:c r="C192" s="15" t="s">
        <x:v>626</x:v>
      </x:c>
      <x:c r="D192" s="15" t="s">
        <x:v>627</x:v>
      </x:c>
      <x:c r="E192" s="6">
        <x:v>9670</x:v>
      </x:c>
      <x:c r="F192" s="6">
        <x:v>3925720</x:v>
      </x:c>
      <x:c r="G192" s="9">
        <x:v>2.4599999999999999E-3</x:v>
      </x:c>
    </x:row>
    <x:row r="193">
      <x:c r="A193" s="5">
        <x:v>2018</x:v>
      </x:c>
      <x:c r="B193" s="15" t="s">
        <x:v>25</x:v>
      </x:c>
      <x:c r="C193" s="15" t="s">
        <x:v>623</x:v>
      </x:c>
      <x:c r="D193" s="15" t="s">
        <x:v>624</x:v>
      </x:c>
      <x:c r="E193" s="6">
        <x:v>6940</x:v>
      </x:c>
      <x:c r="F193" s="6">
        <x:v>1919140</x:v>
      </x:c>
      <x:c r="G193" s="9">
        <x:v>3.6099999999999999E-3</x:v>
      </x:c>
    </x:row>
    <x:row r="194">
      <x:c r="A194" s="5">
        <x:v>2018</x:v>
      </x:c>
      <x:c r="B194" s="15" t="s">
        <x:v>25</x:v>
      </x:c>
      <x:c r="C194" s="15" t="s">
        <x:v>625</x:v>
      </x:c>
      <x:c r="D194" s="15" t="s">
        <x:v>16</x:v>
      </x:c>
      <x:c r="E194" s="6">
        <x:v>6440</x:v>
      </x:c>
      <x:c r="F194" s="6">
        <x:v>1903030</x:v>
      </x:c>
      <x:c r="G194" s="9">
        <x:v>3.3800000000000002E-3</x:v>
      </x:c>
    </x:row>
    <x:row r="195">
      <x:c r="A195" s="5">
        <x:v>2018</x:v>
      </x:c>
      <x:c r="B195" s="15" t="s">
        <x:v>25</x:v>
      </x:c>
      <x:c r="C195" s="15" t="s">
        <x:v>626</x:v>
      </x:c>
      <x:c r="D195" s="15" t="s">
        <x:v>627</x:v>
      </x:c>
      <x:c r="E195" s="6">
        <x:v>13380</x:v>
      </x:c>
      <x:c r="F195" s="6">
        <x:v>3822170</x:v>
      </x:c>
      <x:c r="G195" s="9">
        <x:v>3.4999999999999996E-3</x:v>
      </x:c>
    </x:row>
    <x:row r="196">
      <x:c r="A196" s="5">
        <x:v>2018</x:v>
      </x:c>
      <x:c r="B196" s="15" t="s">
        <x:v>28</x:v>
      </x:c>
      <x:c r="C196" s="15" t="s">
        <x:v>623</x:v>
      </x:c>
      <x:c r="D196" s="15" t="s">
        <x:v>624</x:v>
      </x:c>
      <x:c r="E196" s="6">
        <x:v>7480</x:v>
      </x:c>
      <x:c r="F196" s="6">
        <x:v>1717680</x:v>
      </x:c>
      <x:c r="G196" s="9">
        <x:v>4.3600000000000002E-3</x:v>
      </x:c>
    </x:row>
    <x:row r="197">
      <x:c r="A197" s="5">
        <x:v>2018</x:v>
      </x:c>
      <x:c r="B197" s="15" t="s">
        <x:v>28</x:v>
      </x:c>
      <x:c r="C197" s="15" t="s">
        <x:v>625</x:v>
      </x:c>
      <x:c r="D197" s="15" t="s">
        <x:v>16</x:v>
      </x:c>
      <x:c r="E197" s="6">
        <x:v>7780</x:v>
      </x:c>
      <x:c r="F197" s="6">
        <x:v>1888650</x:v>
      </x:c>
      <x:c r="G197" s="9">
        <x:v>4.1199999999999995E-3</x:v>
      </x:c>
    </x:row>
    <x:row r="198">
      <x:c r="A198" s="5">
        <x:v>2018</x:v>
      </x:c>
      <x:c r="B198" s="15" t="s">
        <x:v>28</x:v>
      </x:c>
      <x:c r="C198" s="15" t="s">
        <x:v>626</x:v>
      </x:c>
      <x:c r="D198" s="15" t="s">
        <x:v>627</x:v>
      </x:c>
      <x:c r="E198" s="6">
        <x:v>15260</x:v>
      </x:c>
      <x:c r="F198" s="6">
        <x:v>3606320</x:v>
      </x:c>
      <x:c r="G198" s="9">
        <x:v>4.2300000000000003E-3</x:v>
      </x:c>
    </x:row>
    <x:row r="199">
      <x:c r="A199" s="5">
        <x:v>2018</x:v>
      </x:c>
      <x:c r="B199" s="15" t="s">
        <x:v>32</x:v>
      </x:c>
      <x:c r="C199" s="15" t="s">
        <x:v>623</x:v>
      </x:c>
      <x:c r="D199" s="15" t="s">
        <x:v>624</x:v>
      </x:c>
      <x:c r="E199" s="6">
        <x:v>9830</x:v>
      </x:c>
      <x:c r="F199" s="6">
        <x:v>1788860</x:v>
      </x:c>
      <x:c r="G199" s="9">
        <x:v>5.5000000000000005E-3</x:v>
      </x:c>
    </x:row>
    <x:row r="200">
      <x:c r="A200" s="5">
        <x:v>2018</x:v>
      </x:c>
      <x:c r="B200" s="15" t="s">
        <x:v>32</x:v>
      </x:c>
      <x:c r="C200" s="15" t="s">
        <x:v>625</x:v>
      </x:c>
      <x:c r="D200" s="15" t="s">
        <x:v>16</x:v>
      </x:c>
      <x:c r="E200" s="6">
        <x:v>12160</x:v>
      </x:c>
      <x:c r="F200" s="6">
        <x:v>2016250</x:v>
      </x:c>
      <x:c r="G200" s="9">
        <x:v>6.0299999999999998E-3</x:v>
      </x:c>
    </x:row>
    <x:row r="201">
      <x:c r="A201" s="5">
        <x:v>2018</x:v>
      </x:c>
      <x:c r="B201" s="15" t="s">
        <x:v>32</x:v>
      </x:c>
      <x:c r="C201" s="15" t="s">
        <x:v>626</x:v>
      </x:c>
      <x:c r="D201" s="15" t="s">
        <x:v>627</x:v>
      </x:c>
      <x:c r="E201" s="6">
        <x:v>21990</x:v>
      </x:c>
      <x:c r="F201" s="6">
        <x:v>3805110</x:v>
      </x:c>
      <x:c r="G201" s="9">
        <x:v>5.7799999999999995E-3</x:v>
      </x:c>
    </x:row>
    <x:row r="202">
      <x:c r="A202" s="5">
        <x:v>2018</x:v>
      </x:c>
      <x:c r="B202" s="15" t="s">
        <x:v>36</x:v>
      </x:c>
      <x:c r="C202" s="15" t="s">
        <x:v>623</x:v>
      </x:c>
      <x:c r="D202" s="15" t="s">
        <x:v>624</x:v>
      </x:c>
      <x:c r="E202" s="6">
        <x:v>15150</x:v>
      </x:c>
      <x:c r="F202" s="6">
        <x:v>1893770</x:v>
      </x:c>
      <x:c r="G202" s="9">
        <x:v>8.0000000000000002E-3</x:v>
      </x:c>
    </x:row>
    <x:row r="203">
      <x:c r="A203" s="5">
        <x:v>2018</x:v>
      </x:c>
      <x:c r="B203" s="15" t="s">
        <x:v>36</x:v>
      </x:c>
      <x:c r="C203" s="15" t="s">
        <x:v>625</x:v>
      </x:c>
      <x:c r="D203" s="15" t="s">
        <x:v>16</x:v>
      </x:c>
      <x:c r="E203" s="6">
        <x:v>18640</x:v>
      </x:c>
      <x:c r="F203" s="6">
        <x:v>2127790</x:v>
      </x:c>
      <x:c r="G203" s="9">
        <x:v>8.7600000000000004E-3</x:v>
      </x:c>
    </x:row>
    <x:row r="204">
      <x:c r="A204" s="5">
        <x:v>2018</x:v>
      </x:c>
      <x:c r="B204" s="15" t="s">
        <x:v>36</x:v>
      </x:c>
      <x:c r="C204" s="15" t="s">
        <x:v>626</x:v>
      </x:c>
      <x:c r="D204" s="15" t="s">
        <x:v>627</x:v>
      </x:c>
      <x:c r="E204" s="6">
        <x:v>33780</x:v>
      </x:c>
      <x:c r="F204" s="6">
        <x:v>4021560</x:v>
      </x:c>
      <x:c r="G204" s="9">
        <x:v>8.3999999999999995E-3</x:v>
      </x:c>
    </x:row>
    <x:row r="205">
      <x:c r="A205" s="5">
        <x:v>2018</x:v>
      </x:c>
      <x:c r="B205" s="15" t="s">
        <x:v>40</x:v>
      </x:c>
      <x:c r="C205" s="15" t="s">
        <x:v>623</x:v>
      </x:c>
      <x:c r="D205" s="15" t="s">
        <x:v>624</x:v>
      </x:c>
      <x:c r="E205" s="6">
        <x:v>25040</x:v>
      </x:c>
      <x:c r="F205" s="6">
        <x:v>1956480</x:v>
      </x:c>
      <x:c r="G205" s="9">
        <x:v>1.2800000000000001E-2</x:v>
      </x:c>
    </x:row>
    <x:row r="206">
      <x:c r="A206" s="5">
        <x:v>2018</x:v>
      </x:c>
      <x:c r="B206" s="15" t="s">
        <x:v>40</x:v>
      </x:c>
      <x:c r="C206" s="15" t="s">
        <x:v>625</x:v>
      </x:c>
      <x:c r="D206" s="15" t="s">
        <x:v>16</x:v>
      </x:c>
      <x:c r="E206" s="6">
        <x:v>26360</x:v>
      </x:c>
      <x:c r="F206" s="6">
        <x:v>2158750</x:v>
      </x:c>
      <x:c r="G206" s="9">
        <x:v>1.221E-2</x:v>
      </x:c>
    </x:row>
    <x:row r="207">
      <x:c r="A207" s="5">
        <x:v>2018</x:v>
      </x:c>
      <x:c r="B207" s="15" t="s">
        <x:v>40</x:v>
      </x:c>
      <x:c r="C207" s="15" t="s">
        <x:v>626</x:v>
      </x:c>
      <x:c r="D207" s="15" t="s">
        <x:v>627</x:v>
      </x:c>
      <x:c r="E207" s="6">
        <x:v>51390</x:v>
      </x:c>
      <x:c r="F207" s="6">
        <x:v>4115230</x:v>
      </x:c>
      <x:c r="G207" s="9">
        <x:v>1.2490000000000001E-2</x:v>
      </x:c>
    </x:row>
    <x:row r="208">
      <x:c r="A208" s="5">
        <x:v>2018</x:v>
      </x:c>
      <x:c r="B208" s="15" t="s">
        <x:v>44</x:v>
      </x:c>
      <x:c r="C208" s="15" t="s">
        <x:v>623</x:v>
      </x:c>
      <x:c r="D208" s="15" t="s">
        <x:v>624</x:v>
      </x:c>
      <x:c r="E208" s="6">
        <x:v>43770</x:v>
      </x:c>
      <x:c r="F208" s="6">
        <x:v>1920430</x:v>
      </x:c>
      <x:c r="G208" s="9">
        <x:v>2.2789999999999998E-2</x:v>
      </x:c>
    </x:row>
    <x:row r="209">
      <x:c r="A209" s="5">
        <x:v>2018</x:v>
      </x:c>
      <x:c r="B209" s="15" t="s">
        <x:v>44</x:v>
      </x:c>
      <x:c r="C209" s="15" t="s">
        <x:v>625</x:v>
      </x:c>
      <x:c r="D209" s="15" t="s">
        <x:v>16</x:v>
      </x:c>
      <x:c r="E209" s="6">
        <x:v>36310</x:v>
      </x:c>
      <x:c r="F209" s="6">
        <x:v>2051420</x:v>
      </x:c>
      <x:c r="G209" s="9">
        <x:v>1.77E-2</x:v>
      </x:c>
    </x:row>
    <x:row r="210">
      <x:c r="A210" s="5">
        <x:v>2018</x:v>
      </x:c>
      <x:c r="B210" s="15" t="s">
        <x:v>44</x:v>
      </x:c>
      <x:c r="C210" s="15" t="s">
        <x:v>626</x:v>
      </x:c>
      <x:c r="D210" s="15" t="s">
        <x:v>627</x:v>
      </x:c>
      <x:c r="E210" s="6">
        <x:v>80080</x:v>
      </x:c>
      <x:c r="F210" s="6">
        <x:v>3971840</x:v>
      </x:c>
      <x:c r="G210" s="9">
        <x:v>2.0160000000000001E-2</x:v>
      </x:c>
    </x:row>
    <x:row r="211">
      <x:c r="A211" s="5">
        <x:v>2018</x:v>
      </x:c>
      <x:c r="B211" s="15" t="s">
        <x:v>48</x:v>
      </x:c>
      <x:c r="C211" s="15" t="s">
        <x:v>623</x:v>
      </x:c>
      <x:c r="D211" s="15" t="s">
        <x:v>624</x:v>
      </x:c>
      <x:c r="E211" s="6">
        <x:v>80930</x:v>
      </x:c>
      <x:c r="F211" s="6">
        <x:v>2153600</x:v>
      </x:c>
      <x:c r="G211" s="9">
        <x:v>3.7580000000000002E-2</x:v>
      </x:c>
    </x:row>
    <x:row r="212">
      <x:c r="A212" s="5">
        <x:v>2018</x:v>
      </x:c>
      <x:c r="B212" s="15" t="s">
        <x:v>48</x:v>
      </x:c>
      <x:c r="C212" s="15" t="s">
        <x:v>625</x:v>
      </x:c>
      <x:c r="D212" s="15" t="s">
        <x:v>16</x:v>
      </x:c>
      <x:c r="E212" s="6">
        <x:v>60530</x:v>
      </x:c>
      <x:c r="F212" s="6">
        <x:v>2266220</x:v>
      </x:c>
      <x:c r="G212" s="9">
        <x:v>2.6709999999999998E-2</x:v>
      </x:c>
    </x:row>
    <x:row r="213">
      <x:c r="A213" s="5">
        <x:v>2018</x:v>
      </x:c>
      <x:c r="B213" s="15" t="s">
        <x:v>48</x:v>
      </x:c>
      <x:c r="C213" s="15" t="s">
        <x:v>626</x:v>
      </x:c>
      <x:c r="D213" s="15" t="s">
        <x:v>627</x:v>
      </x:c>
      <x:c r="E213" s="6">
        <x:v>141460</x:v>
      </x:c>
      <x:c r="F213" s="6">
        <x:v>4419810</x:v>
      </x:c>
      <x:c r="G213" s="9">
        <x:v>3.2010000000000004E-2</x:v>
      </x:c>
    </x:row>
    <x:row r="214">
      <x:c r="A214" s="5">
        <x:v>2018</x:v>
      </x:c>
      <x:c r="B214" s="15" t="s">
        <x:v>52</x:v>
      </x:c>
      <x:c r="C214" s="15" t="s">
        <x:v>623</x:v>
      </x:c>
      <x:c r="D214" s="15" t="s">
        <x:v>624</x:v>
      </x:c>
      <x:c r="E214" s="6">
        <x:v>137060</x:v>
      </x:c>
      <x:c r="F214" s="6">
        <x:v>2115380</x:v>
      </x:c>
      <x:c r="G214" s="9">
        <x:v>6.479E-2</x:v>
      </x:c>
    </x:row>
    <x:row r="215">
      <x:c r="A215" s="5">
        <x:v>2018</x:v>
      </x:c>
      <x:c r="B215" s="15" t="s">
        <x:v>52</x:v>
      </x:c>
      <x:c r="C215" s="15" t="s">
        <x:v>625</x:v>
      </x:c>
      <x:c r="D215" s="15" t="s">
        <x:v>16</x:v>
      </x:c>
      <x:c r="E215" s="6">
        <x:v>99320</x:v>
      </x:c>
      <x:c r="F215" s="6">
        <x:v>2230780</x:v>
      </x:c>
      <x:c r="G215" s="9">
        <x:v>4.4519999999999997E-2</x:v>
      </x:c>
    </x:row>
    <x:row r="216">
      <x:c r="A216" s="5">
        <x:v>2018</x:v>
      </x:c>
      <x:c r="B216" s="15" t="s">
        <x:v>52</x:v>
      </x:c>
      <x:c r="C216" s="15" t="s">
        <x:v>626</x:v>
      </x:c>
      <x:c r="D216" s="15" t="s">
        <x:v>627</x:v>
      </x:c>
      <x:c r="E216" s="6">
        <x:v>236380</x:v>
      </x:c>
      <x:c r="F216" s="6">
        <x:v>4346160</x:v>
      </x:c>
      <x:c r="G216" s="9">
        <x:v>5.4390000000000001E-2</x:v>
      </x:c>
    </x:row>
    <x:row r="217">
      <x:c r="A217" s="5">
        <x:v>2018</x:v>
      </x:c>
      <x:c r="B217" s="15" t="s">
        <x:v>56</x:v>
      </x:c>
      <x:c r="C217" s="15" t="s">
        <x:v>623</x:v>
      </x:c>
      <x:c r="D217" s="15" t="s">
        <x:v>624</x:v>
      </x:c>
      <x:c r="E217" s="6">
        <x:v>208520</x:v>
      </x:c>
      <x:c r="F217" s="6">
        <x:v>2032810</x:v>
      </x:c>
      <x:c r="G217" s="9">
        <x:v>0.10257999999999999</x:v>
      </x:c>
    </x:row>
    <x:row r="218">
      <x:c r="A218" s="5">
        <x:v>2018</x:v>
      </x:c>
      <x:c r="B218" s="15" t="s">
        <x:v>56</x:v>
      </x:c>
      <x:c r="C218" s="15" t="s">
        <x:v>625</x:v>
      </x:c>
      <x:c r="D218" s="15" t="s">
        <x:v>16</x:v>
      </x:c>
      <x:c r="E218" s="6">
        <x:v>147420</x:v>
      </x:c>
      <x:c r="F218" s="6">
        <x:v>2172130</x:v>
      </x:c>
      <x:c r="G218" s="9">
        <x:v>6.787E-2</x:v>
      </x:c>
    </x:row>
    <x:row r="219">
      <x:c r="A219" s="5">
        <x:v>2018</x:v>
      </x:c>
      <x:c r="B219" s="15" t="s">
        <x:v>56</x:v>
      </x:c>
      <x:c r="C219" s="15" t="s">
        <x:v>626</x:v>
      </x:c>
      <x:c r="D219" s="15" t="s">
        <x:v>627</x:v>
      </x:c>
      <x:c r="E219" s="6">
        <x:v>355940</x:v>
      </x:c>
      <x:c r="F219" s="6">
        <x:v>4204950</x:v>
      </x:c>
      <x:c r="G219" s="9">
        <x:v>8.4650000000000003E-2</x:v>
      </x:c>
    </x:row>
    <x:row r="220">
      <x:c r="A220" s="5">
        <x:v>2018</x:v>
      </x:c>
      <x:c r="B220" s="15" t="s">
        <x:v>60</x:v>
      </x:c>
      <x:c r="C220" s="15" t="s">
        <x:v>623</x:v>
      </x:c>
      <x:c r="D220" s="15" t="s">
        <x:v>624</x:v>
      </x:c>
      <x:c r="E220" s="6">
        <x:v>285360</x:v>
      </x:c>
      <x:c r="F220" s="6">
        <x:v>1893950</x:v>
      </x:c>
      <x:c r="G220" s="9">
        <x:v>0.15067</x:v>
      </x:c>
    </x:row>
    <x:row r="221">
      <x:c r="A221" s="5">
        <x:v>2018</x:v>
      </x:c>
      <x:c r="B221" s="15" t="s">
        <x:v>60</x:v>
      </x:c>
      <x:c r="C221" s="15" t="s">
        <x:v>625</x:v>
      </x:c>
      <x:c r="D221" s="15" t="s">
        <x:v>16</x:v>
      </x:c>
      <x:c r="E221" s="6">
        <x:v>200010</x:v>
      </x:c>
      <x:c r="F221" s="6">
        <x:v>2068600</x:v>
      </x:c>
      <x:c r="G221" s="9">
        <x:v>9.6689999999999998E-2</x:v>
      </x:c>
    </x:row>
    <x:row r="222">
      <x:c r="A222" s="5">
        <x:v>2018</x:v>
      </x:c>
      <x:c r="B222" s="15" t="s">
        <x:v>60</x:v>
      </x:c>
      <x:c r="C222" s="15" t="s">
        <x:v>626</x:v>
      </x:c>
      <x:c r="D222" s="15" t="s">
        <x:v>627</x:v>
      </x:c>
      <x:c r="E222" s="6">
        <x:v>485370</x:v>
      </x:c>
      <x:c r="F222" s="6">
        <x:v>3962550</x:v>
      </x:c>
      <x:c r="G222" s="9">
        <x:v>0.12249</x:v>
      </x:c>
    </x:row>
    <x:row r="223">
      <x:c r="A223" s="5">
        <x:v>2018</x:v>
      </x:c>
      <x:c r="B223" s="15" t="s">
        <x:v>64</x:v>
      </x:c>
      <x:c r="C223" s="15" t="s">
        <x:v>623</x:v>
      </x:c>
      <x:c r="D223" s="15" t="s">
        <x:v>624</x:v>
      </x:c>
      <x:c r="E223" s="6">
        <x:v>356220</x:v>
      </x:c>
      <x:c r="F223" s="6">
        <x:v>1816530</x:v>
      </x:c>
      <x:c r="G223" s="9">
        <x:v>0.1961</x:v>
      </x:c>
    </x:row>
    <x:row r="224">
      <x:c r="A224" s="5">
        <x:v>2018</x:v>
      </x:c>
      <x:c r="B224" s="15" t="s">
        <x:v>64</x:v>
      </x:c>
      <x:c r="C224" s="15" t="s">
        <x:v>625</x:v>
      </x:c>
      <x:c r="D224" s="15" t="s">
        <x:v>16</x:v>
      </x:c>
      <x:c r="E224" s="6">
        <x:v>245020</x:v>
      </x:c>
      <x:c r="F224" s="6">
        <x:v>2008680</x:v>
      </x:c>
      <x:c r="G224" s="9">
        <x:v>0.12198000000000001</x:v>
      </x:c>
    </x:row>
    <x:row r="225">
      <x:c r="A225" s="5">
        <x:v>2018</x:v>
      </x:c>
      <x:c r="B225" s="15" t="s">
        <x:v>64</x:v>
      </x:c>
      <x:c r="C225" s="15" t="s">
        <x:v>626</x:v>
      </x:c>
      <x:c r="D225" s="15" t="s">
        <x:v>627</x:v>
      </x:c>
      <x:c r="E225" s="6">
        <x:v>601240</x:v>
      </x:c>
      <x:c r="F225" s="6">
        <x:v>3825210</x:v>
      </x:c>
      <x:c r="G225" s="9">
        <x:v>0.15717999999999999</x:v>
      </x:c>
    </x:row>
    <x:row r="226">
      <x:c r="A226" s="5">
        <x:v>2018</x:v>
      </x:c>
      <x:c r="B226" s="15" t="s">
        <x:v>68</x:v>
      </x:c>
      <x:c r="C226" s="15" t="s">
        <x:v>623</x:v>
      </x:c>
      <x:c r="D226" s="15" t="s">
        <x:v>624</x:v>
      </x:c>
      <x:c r="E226" s="6">
        <x:v>340250</x:v>
      </x:c>
      <x:c r="F226" s="6">
        <x:v>1512970</x:v>
      </x:c>
      <x:c r="G226" s="9">
        <x:v>0.22489000000000001</x:v>
      </x:c>
    </x:row>
    <x:row r="227">
      <x:c r="A227" s="5">
        <x:v>2018</x:v>
      </x:c>
      <x:c r="B227" s="15" t="s">
        <x:v>68</x:v>
      </x:c>
      <x:c r="C227" s="15" t="s">
        <x:v>625</x:v>
      </x:c>
      <x:c r="D227" s="15" t="s">
        <x:v>16</x:v>
      </x:c>
      <x:c r="E227" s="6">
        <x:v>242130</x:v>
      </x:c>
      <x:c r="F227" s="6">
        <x:v>1697990</x:v>
      </x:c>
      <x:c r="G227" s="9">
        <x:v>0.1426</x:v>
      </x:c>
    </x:row>
    <x:row r="228">
      <x:c r="A228" s="5">
        <x:v>2018</x:v>
      </x:c>
      <x:c r="B228" s="15" t="s">
        <x:v>68</x:v>
      </x:c>
      <x:c r="C228" s="15" t="s">
        <x:v>626</x:v>
      </x:c>
      <x:c r="D228" s="15" t="s">
        <x:v>627</x:v>
      </x:c>
      <x:c r="E228" s="6">
        <x:v>582380</x:v>
      </x:c>
      <x:c r="F228" s="6">
        <x:v>3210970</x:v>
      </x:c>
      <x:c r="G228" s="9">
        <x:v>0.18137</x:v>
      </x:c>
    </x:row>
    <x:row r="229">
      <x:c r="A229" s="5">
        <x:v>2018</x:v>
      </x:c>
      <x:c r="B229" s="15" t="s">
        <x:v>72</x:v>
      </x:c>
      <x:c r="C229" s="15" t="s">
        <x:v>623</x:v>
      </x:c>
      <x:c r="D229" s="15" t="s">
        <x:v>624</x:v>
      </x:c>
      <x:c r="E229" s="6">
        <x:v>235470</x:v>
      </x:c>
      <x:c r="F229" s="6">
        <x:v>982750</x:v>
      </x:c>
      <x:c r="G229" s="9">
        <x:v>0.23960000000000001</x:v>
      </x:c>
    </x:row>
    <x:row r="230">
      <x:c r="A230" s="5">
        <x:v>2018</x:v>
      </x:c>
      <x:c r="B230" s="15" t="s">
        <x:v>72</x:v>
      </x:c>
      <x:c r="C230" s="15" t="s">
        <x:v>625</x:v>
      </x:c>
      <x:c r="D230" s="15" t="s">
        <x:v>16</x:v>
      </x:c>
      <x:c r="E230" s="6">
        <x:v>194600</x:v>
      </x:c>
      <x:c r="F230" s="6">
        <x:v>1180610</x:v>
      </x:c>
      <x:c r="G230" s="9">
        <x:v>0.16483</x:v>
      </x:c>
    </x:row>
    <x:row r="231">
      <x:c r="A231" s="5">
        <x:v>2018</x:v>
      </x:c>
      <x:c r="B231" s="15" t="s">
        <x:v>72</x:v>
      </x:c>
      <x:c r="C231" s="15" t="s">
        <x:v>626</x:v>
      </x:c>
      <x:c r="D231" s="15" t="s">
        <x:v>627</x:v>
      </x:c>
      <x:c r="E231" s="6">
        <x:v>430060</x:v>
      </x:c>
      <x:c r="F231" s="6">
        <x:v>2163360</x:v>
      </x:c>
      <x:c r="G231" s="9">
        <x:v>0.19879000000000002</x:v>
      </x:c>
    </x:row>
    <x:row r="232">
      <x:c r="A232" s="5">
        <x:v>2018</x:v>
      </x:c>
      <x:c r="B232" s="15" t="s">
        <x:v>76</x:v>
      </x:c>
      <x:c r="C232" s="15" t="s">
        <x:v>623</x:v>
      </x:c>
      <x:c r="D232" s="15" t="s">
        <x:v>624</x:v>
      </x:c>
      <x:c r="E232" s="6">
        <x:v>184640</x:v>
      </x:c>
      <x:c r="F232" s="6">
        <x:v>791760</x:v>
      </x:c>
      <x:c r="G232" s="9">
        <x:v>0.23321000000000003</x:v>
      </x:c>
    </x:row>
    <x:row r="233">
      <x:c r="A233" s="5">
        <x:v>2018</x:v>
      </x:c>
      <x:c r="B233" s="15" t="s">
        <x:v>76</x:v>
      </x:c>
      <x:c r="C233" s="15" t="s">
        <x:v>625</x:v>
      </x:c>
      <x:c r="D233" s="15" t="s">
        <x:v>16</x:v>
      </x:c>
      <x:c r="E233" s="6">
        <x:v>188750</x:v>
      </x:c>
      <x:c r="F233" s="6">
        <x:v>1104010</x:v>
      </x:c>
      <x:c r="G233" s="9">
        <x:v>0.17097000000000001</x:v>
      </x:c>
    </x:row>
    <x:row r="234">
      <x:c r="A234" s="5">
        <x:v>2018</x:v>
      </x:c>
      <x:c r="B234" s="15" t="s">
        <x:v>76</x:v>
      </x:c>
      <x:c r="C234" s="15" t="s">
        <x:v>626</x:v>
      </x:c>
      <x:c r="D234" s="15" t="s">
        <x:v>627</x:v>
      </x:c>
      <x:c r="E234" s="6">
        <x:v>373400</x:v>
      </x:c>
      <x:c r="F234" s="6">
        <x:v>1895770</x:v>
      </x:c>
      <x:c r="G234" s="9">
        <x:v>0.19696000000000002</x:v>
      </x:c>
    </x:row>
    <x:row r="235">
      <x:c r="A235" s="5">
        <x:v>2018</x:v>
      </x:c>
      <x:c r="B235" s="15" t="s">
        <x:v>80</x:v>
      </x:c>
      <x:c r="C235" s="15" t="s">
        <x:v>623</x:v>
      </x:c>
      <x:c r="D235" s="15" t="s">
        <x:v>624</x:v>
      </x:c>
      <x:c r="E235" s="6">
        <x:v>110690</x:v>
      </x:c>
      <x:c r="F235" s="6">
        <x:v>515980</x:v>
      </x:c>
      <x:c r="G235" s="9">
        <x:v>0.21452000000000002</x:v>
      </x:c>
    </x:row>
    <x:row r="236">
      <x:c r="A236" s="5">
        <x:v>2018</x:v>
      </x:c>
      <x:c r="B236" s="15" t="s">
        <x:v>80</x:v>
      </x:c>
      <x:c r="C236" s="15" t="s">
        <x:v>625</x:v>
      </x:c>
      <x:c r="D236" s="15" t="s">
        <x:v>16</x:v>
      </x:c>
      <x:c r="E236" s="6">
        <x:v>146390</x:v>
      </x:c>
      <x:c r="F236" s="6">
        <x:v>901300</x:v>
      </x:c>
      <x:c r="G236" s="9">
        <x:v>0.16242000000000001</x:v>
      </x:c>
    </x:row>
    <x:row r="237">
      <x:c r="A237" s="5">
        <x:v>2018</x:v>
      </x:c>
      <x:c r="B237" s="15" t="s">
        <x:v>80</x:v>
      </x:c>
      <x:c r="C237" s="15" t="s">
        <x:v>626</x:v>
      </x:c>
      <x:c r="D237" s="15" t="s">
        <x:v>627</x:v>
      </x:c>
      <x:c r="E237" s="6">
        <x:v>257080</x:v>
      </x:c>
      <x:c r="F237" s="6">
        <x:v>1417270</x:v>
      </x:c>
      <x:c r="G237" s="9">
        <x:v>0.18139</x:v>
      </x:c>
    </x:row>
    <x:row r="238">
      <x:c r="A238" s="5">
        <x:v>2018</x:v>
      </x:c>
      <x:c r="B238" s="15" t="s">
        <x:v>84</x:v>
      </x:c>
      <x:c r="C238" s="15" t="s">
        <x:v>623</x:v>
      </x:c>
      <x:c r="D238" s="15" t="s">
        <x:v>624</x:v>
      </x:c>
      <x:c r="E238" s="6">
        <x:v>37460</x:v>
      </x:c>
      <x:c r="F238" s="6">
        <x:v>218720</x:v>
      </x:c>
      <x:c r="G238" s="9">
        <x:v>0.17126999999999998</x:v>
      </x:c>
    </x:row>
    <x:row r="239">
      <x:c r="A239" s="5">
        <x:v>2018</x:v>
      </x:c>
      <x:c r="B239" s="15" t="s">
        <x:v>84</x:v>
      </x:c>
      <x:c r="C239" s="15" t="s">
        <x:v>625</x:v>
      </x:c>
      <x:c r="D239" s="15" t="s">
        <x:v>16</x:v>
      </x:c>
      <x:c r="E239" s="6">
        <x:v>68680</x:v>
      </x:c>
      <x:c r="F239" s="6">
        <x:v>517260</x:v>
      </x:c>
      <x:c r="G239" s="9">
        <x:v>0.13277</x:v>
      </x:c>
    </x:row>
    <x:row r="240">
      <x:c r="A240" s="5">
        <x:v>2018</x:v>
      </x:c>
      <x:c r="B240" s="15" t="s">
        <x:v>84</x:v>
      </x:c>
      <x:c r="C240" s="15" t="s">
        <x:v>626</x:v>
      </x:c>
      <x:c r="D240" s="15" t="s">
        <x:v>627</x:v>
      </x:c>
      <x:c r="E240" s="6">
        <x:v>106140</x:v>
      </x:c>
      <x:c r="F240" s="6">
        <x:v>735980</x:v>
      </x:c>
      <x:c r="G240" s="9">
        <x:v>0.14421</x:v>
      </x:c>
    </x:row>
    <x:row r="241">
      <x:c r="A241" s="5">
        <x:v>2018</x:v>
      </x:c>
      <x:c r="B241" s="15" t="s">
        <x:v>87</x:v>
      </x:c>
      <x:c r="C241" s="15" t="s">
        <x:v>623</x:v>
      </x:c>
      <x:c r="D241" s="15" t="s">
        <x:v>624</x:v>
      </x:c>
      <x:c r="E241" s="6">
        <x:v>7100</x:v>
      </x:c>
      <x:c r="F241" s="6">
        <x:v>56990</x:v>
      </x:c>
      <x:c r="G241" s="9">
        <x:v>0.12458</x:v>
      </x:c>
    </x:row>
    <x:row r="242">
      <x:c r="A242" s="5">
        <x:v>2018</x:v>
      </x:c>
      <x:c r="B242" s="15" t="s">
        <x:v>87</x:v>
      </x:c>
      <x:c r="C242" s="15" t="s">
        <x:v>625</x:v>
      </x:c>
      <x:c r="D242" s="15" t="s">
        <x:v>16</x:v>
      </x:c>
      <x:c r="E242" s="6">
        <x:v>19820</x:v>
      </x:c>
      <x:c r="F242" s="6">
        <x:v>203430</x:v>
      </x:c>
      <x:c r="G242" s="9">
        <x:v>9.7439999999999999E-2</x:v>
      </x:c>
    </x:row>
    <x:row r="243">
      <x:c r="A243" s="5">
        <x:v>2018</x:v>
      </x:c>
      <x:c r="B243" s="15" t="s">
        <x:v>87</x:v>
      </x:c>
      <x:c r="C243" s="15" t="s">
        <x:v>626</x:v>
      </x:c>
      <x:c r="D243" s="15" t="s">
        <x:v>627</x:v>
      </x:c>
      <x:c r="E243" s="6">
        <x:v>26920</x:v>
      </x:c>
      <x:c r="F243" s="6">
        <x:v>260420</x:v>
      </x:c>
      <x:c r="G243" s="9">
        <x:v>0.10337999999999999</x:v>
      </x:c>
    </x:row>
    <x:row r="244">
      <x:c r="A244" s="5">
        <x:v>2019</x:v>
      </x:c>
      <x:c r="B244" s="15" t="s">
        <x:v>8</x:v>
      </x:c>
      <x:c r="C244" s="15" t="s">
        <x:v>623</x:v>
      </x:c>
      <x:c r="D244" s="15" t="s">
        <x:v>624</x:v>
      </x:c>
      <x:c r="E244" s="6">
        <x:v>660</x:v>
      </x:c>
      <x:c r="F244" s="6">
        <x:v>1885480</x:v>
      </x:c>
      <x:c r="G244" s="9">
        <x:v>3.5000000000000005E-4</x:v>
      </x:c>
    </x:row>
    <x:row r="245">
      <x:c r="A245" s="5">
        <x:v>2019</x:v>
      </x:c>
      <x:c r="B245" s="15" t="s">
        <x:v>8</x:v>
      </x:c>
      <x:c r="C245" s="15" t="s">
        <x:v>625</x:v>
      </x:c>
      <x:c r="D245" s="15" t="s">
        <x:v>16</x:v>
      </x:c>
      <x:c r="E245" s="6">
        <x:v>520</x:v>
      </x:c>
      <x:c r="F245" s="6">
        <x:v>1793370</x:v>
      </x:c>
      <x:c r="G245" s="9">
        <x:v>2.9E-4</x:v>
      </x:c>
    </x:row>
    <x:row r="246">
      <x:c r="A246" s="5">
        <x:v>2019</x:v>
      </x:c>
      <x:c r="B246" s="15" t="s">
        <x:v>8</x:v>
      </x:c>
      <x:c r="C246" s="15" t="s">
        <x:v>626</x:v>
      </x:c>
      <x:c r="D246" s="15" t="s">
        <x:v>627</x:v>
      </x:c>
      <x:c r="E246" s="6">
        <x:v>1180</x:v>
      </x:c>
      <x:c r="F246" s="6">
        <x:v>3678850</x:v>
      </x:c>
      <x:c r="G246" s="9">
        <x:v>3.2000000000000003E-4</x:v>
      </x:c>
    </x:row>
    <x:row r="247">
      <x:c r="A247" s="5">
        <x:v>2019</x:v>
      </x:c>
      <x:c r="B247" s="15" t="s">
        <x:v>12</x:v>
      </x:c>
      <x:c r="C247" s="15" t="s">
        <x:v>623</x:v>
      </x:c>
      <x:c r="D247" s="15" t="s">
        <x:v>624</x:v>
      </x:c>
      <x:c r="E247" s="6">
        <x:v>2470</x:v>
      </x:c>
      <x:c r="F247" s="6">
        <x:v>2024900</x:v>
      </x:c>
      <x:c r="G247" s="9">
        <x:v>1.2199999999999999E-3</x:v>
      </x:c>
    </x:row>
    <x:row r="248">
      <x:c r="A248" s="5">
        <x:v>2019</x:v>
      </x:c>
      <x:c r="B248" s="15" t="s">
        <x:v>12</x:v>
      </x:c>
      <x:c r="C248" s="15" t="s">
        <x:v>625</x:v>
      </x:c>
      <x:c r="D248" s="15" t="s">
        <x:v>16</x:v>
      </x:c>
      <x:c r="E248" s="6">
        <x:v>2320</x:v>
      </x:c>
      <x:c r="F248" s="6">
        <x:v>1929200</x:v>
      </x:c>
      <x:c r="G248" s="9">
        <x:v>1.1999999999999999E-3</x:v>
      </x:c>
    </x:row>
    <x:row r="249">
      <x:c r="A249" s="5">
        <x:v>2019</x:v>
      </x:c>
      <x:c r="B249" s="15" t="s">
        <x:v>12</x:v>
      </x:c>
      <x:c r="C249" s="15" t="s">
        <x:v>626</x:v>
      </x:c>
      <x:c r="D249" s="15" t="s">
        <x:v>627</x:v>
      </x:c>
      <x:c r="E249" s="6">
        <x:v>4790</x:v>
      </x:c>
      <x:c r="F249" s="6">
        <x:v>3954100</x:v>
      </x:c>
      <x:c r="G249" s="9">
        <x:v>1.2099999999999999E-3</x:v>
      </x:c>
    </x:row>
    <x:row r="250">
      <x:c r="A250" s="5">
        <x:v>2019</x:v>
      </x:c>
      <x:c r="B250" s="15" t="s">
        <x:v>17</x:v>
      </x:c>
      <x:c r="C250" s="15" t="s">
        <x:v>623</x:v>
      </x:c>
      <x:c r="D250" s="15" t="s">
        <x:v>624</x:v>
      </x:c>
      <x:c r="E250" s="6">
        <x:v>5190</x:v>
      </x:c>
      <x:c r="F250" s="6">
        <x:v>2032080</x:v>
      </x:c>
      <x:c r="G250" s="9">
        <x:v>2.5500000000000002E-3</x:v>
      </x:c>
    </x:row>
    <x:row r="251">
      <x:c r="A251" s="5">
        <x:v>2019</x:v>
      </x:c>
      <x:c r="B251" s="15" t="s">
        <x:v>17</x:v>
      </x:c>
      <x:c r="C251" s="15" t="s">
        <x:v>625</x:v>
      </x:c>
      <x:c r="D251" s="15" t="s">
        <x:v>16</x:v>
      </x:c>
      <x:c r="E251" s="6">
        <x:v>4890</x:v>
      </x:c>
      <x:c r="F251" s="6">
        <x:v>1944030</x:v>
      </x:c>
      <x:c r="G251" s="9">
        <x:v>2.5200000000000001E-3</x:v>
      </x:c>
    </x:row>
    <x:row r="252">
      <x:c r="A252" s="5">
        <x:v>2019</x:v>
      </x:c>
      <x:c r="B252" s="15" t="s">
        <x:v>17</x:v>
      </x:c>
      <x:c r="C252" s="15" t="s">
        <x:v>626</x:v>
      </x:c>
      <x:c r="D252" s="15" t="s">
        <x:v>627</x:v>
      </x:c>
      <x:c r="E252" s="6">
        <x:v>10080</x:v>
      </x:c>
      <x:c r="F252" s="6">
        <x:v>3976120</x:v>
      </x:c>
      <x:c r="G252" s="9">
        <x:v>2.5300000000000001E-3</x:v>
      </x:c>
    </x:row>
    <x:row r="253">
      <x:c r="A253" s="5">
        <x:v>2019</x:v>
      </x:c>
      <x:c r="B253" s="15" t="s">
        <x:v>25</x:v>
      </x:c>
      <x:c r="C253" s="15" t="s">
        <x:v>623</x:v>
      </x:c>
      <x:c r="D253" s="15" t="s">
        <x:v>624</x:v>
      </x:c>
      <x:c r="E253" s="6">
        <x:v>7240</x:v>
      </x:c>
      <x:c r="F253" s="6">
        <x:v>1947090</x:v>
      </x:c>
      <x:c r="G253" s="9">
        <x:v>3.7199999999999998E-3</x:v>
      </x:c>
    </x:row>
    <x:row r="254">
      <x:c r="A254" s="5">
        <x:v>2019</x:v>
      </x:c>
      <x:c r="B254" s="15" t="s">
        <x:v>25</x:v>
      </x:c>
      <x:c r="C254" s="15" t="s">
        <x:v>625</x:v>
      </x:c>
      <x:c r="D254" s="15" t="s">
        <x:v>16</x:v>
      </x:c>
      <x:c r="E254" s="6">
        <x:v>6630</x:v>
      </x:c>
      <x:c r="F254" s="6">
        <x:v>1919310</x:v>
      </x:c>
      <x:c r="G254" s="9">
        <x:v>3.4599999999999995E-3</x:v>
      </x:c>
    </x:row>
    <x:row r="255">
      <x:c r="A255" s="5">
        <x:v>2019</x:v>
      </x:c>
      <x:c r="B255" s="15" t="s">
        <x:v>25</x:v>
      </x:c>
      <x:c r="C255" s="15" t="s">
        <x:v>626</x:v>
      </x:c>
      <x:c r="D255" s="15" t="s">
        <x:v>627</x:v>
      </x:c>
      <x:c r="E255" s="6">
        <x:v>13880</x:v>
      </x:c>
      <x:c r="F255" s="6">
        <x:v>3866400</x:v>
      </x:c>
      <x:c r="G255" s="9">
        <x:v>3.5899999999999999E-3</x:v>
      </x:c>
    </x:row>
    <x:row r="256">
      <x:c r="A256" s="5">
        <x:v>2019</x:v>
      </x:c>
      <x:c r="B256" s="15" t="s">
        <x:v>28</x:v>
      </x:c>
      <x:c r="C256" s="15" t="s">
        <x:v>623</x:v>
      </x:c>
      <x:c r="D256" s="15" t="s">
        <x:v>624</x:v>
      </x:c>
      <x:c r="E256" s="6">
        <x:v>7830</x:v>
      </x:c>
      <x:c r="F256" s="6">
        <x:v>1759280</x:v>
      </x:c>
      <x:c r="G256" s="9">
        <x:v>4.45E-3</x:v>
      </x:c>
    </x:row>
    <x:row r="257">
      <x:c r="A257" s="5">
        <x:v>2019</x:v>
      </x:c>
      <x:c r="B257" s="15" t="s">
        <x:v>28</x:v>
      </x:c>
      <x:c r="C257" s="15" t="s">
        <x:v>625</x:v>
      </x:c>
      <x:c r="D257" s="15" t="s">
        <x:v>16</x:v>
      </x:c>
      <x:c r="E257" s="6">
        <x:v>8250</x:v>
      </x:c>
      <x:c r="F257" s="6">
        <x:v>1915070</x:v>
      </x:c>
      <x:c r="G257" s="9">
        <x:v>4.3099999999999996E-3</x:v>
      </x:c>
    </x:row>
    <x:row r="258">
      <x:c r="A258" s="5">
        <x:v>2019</x:v>
      </x:c>
      <x:c r="B258" s="15" t="s">
        <x:v>28</x:v>
      </x:c>
      <x:c r="C258" s="15" t="s">
        <x:v>626</x:v>
      </x:c>
      <x:c r="D258" s="15" t="s">
        <x:v>627</x:v>
      </x:c>
      <x:c r="E258" s="6">
        <x:v>16080</x:v>
      </x:c>
      <x:c r="F258" s="6">
        <x:v>3674350</x:v>
      </x:c>
      <x:c r="G258" s="9">
        <x:v>4.3800000000000002E-3</x:v>
      </x:c>
    </x:row>
    <x:row r="259">
      <x:c r="A259" s="5">
        <x:v>2019</x:v>
      </x:c>
      <x:c r="B259" s="15" t="s">
        <x:v>32</x:v>
      </x:c>
      <x:c r="C259" s="15" t="s">
        <x:v>623</x:v>
      </x:c>
      <x:c r="D259" s="15" t="s">
        <x:v>624</x:v>
      </x:c>
      <x:c r="E259" s="6">
        <x:v>10200</x:v>
      </x:c>
      <x:c r="F259" s="6">
        <x:v>1793650</x:v>
      </x:c>
      <x:c r="G259" s="9">
        <x:v>5.6899999999999997E-3</x:v>
      </x:c>
    </x:row>
    <x:row r="260">
      <x:c r="A260" s="5">
        <x:v>2019</x:v>
      </x:c>
      <x:c r="B260" s="15" t="s">
        <x:v>32</x:v>
      </x:c>
      <x:c r="C260" s="15" t="s">
        <x:v>625</x:v>
      </x:c>
      <x:c r="D260" s="15" t="s">
        <x:v>16</x:v>
      </x:c>
      <x:c r="E260" s="6">
        <x:v>12320</x:v>
      </x:c>
      <x:c r="F260" s="6">
        <x:v>1998710</x:v>
      </x:c>
      <x:c r="G260" s="9">
        <x:v>6.1599999999999997E-3</x:v>
      </x:c>
    </x:row>
    <x:row r="261">
      <x:c r="A261" s="5">
        <x:v>2019</x:v>
      </x:c>
      <x:c r="B261" s="15" t="s">
        <x:v>32</x:v>
      </x:c>
      <x:c r="C261" s="15" t="s">
        <x:v>626</x:v>
      </x:c>
      <x:c r="D261" s="15" t="s">
        <x:v>627</x:v>
      </x:c>
      <x:c r="E261" s="6">
        <x:v>22520</x:v>
      </x:c>
      <x:c r="F261" s="6">
        <x:v>3792360</x:v>
      </x:c>
      <x:c r="G261" s="9">
        <x:v>5.94E-3</x:v>
      </x:c>
    </x:row>
    <x:row r="262">
      <x:c r="A262" s="5">
        <x:v>2019</x:v>
      </x:c>
      <x:c r="B262" s="15" t="s">
        <x:v>36</x:v>
      </x:c>
      <x:c r="C262" s="15" t="s">
        <x:v>623</x:v>
      </x:c>
      <x:c r="D262" s="15" t="s">
        <x:v>624</x:v>
      </x:c>
      <x:c r="E262" s="6">
        <x:v>15670</x:v>
      </x:c>
      <x:c r="F262" s="6">
        <x:v>1916460</x:v>
      </x:c>
      <x:c r="G262" s="9">
        <x:v>8.1799999999999998E-3</x:v>
      </x:c>
    </x:row>
    <x:row r="263">
      <x:c r="A263" s="5">
        <x:v>2019</x:v>
      </x:c>
      <x:c r="B263" s="15" t="s">
        <x:v>36</x:v>
      </x:c>
      <x:c r="C263" s="15" t="s">
        <x:v>625</x:v>
      </x:c>
      <x:c r="D263" s="15" t="s">
        <x:v>16</x:v>
      </x:c>
      <x:c r="E263" s="6">
        <x:v>19000</x:v>
      </x:c>
      <x:c r="F263" s="6">
        <x:v>2140320</x:v>
      </x:c>
      <x:c r="G263" s="9">
        <x:v>8.8800000000000007E-3</x:v>
      </x:c>
    </x:row>
    <x:row r="264">
      <x:c r="A264" s="5">
        <x:v>2019</x:v>
      </x:c>
      <x:c r="B264" s="15" t="s">
        <x:v>36</x:v>
      </x:c>
      <x:c r="C264" s="15" t="s">
        <x:v>626</x:v>
      </x:c>
      <x:c r="D264" s="15" t="s">
        <x:v>627</x:v>
      </x:c>
      <x:c r="E264" s="6">
        <x:v>34670</x:v>
      </x:c>
      <x:c r="F264" s="6">
        <x:v>4056780</x:v>
      </x:c>
      <x:c r="G264" s="9">
        <x:v>8.5500000000000003E-3</x:v>
      </x:c>
    </x:row>
    <x:row r="265">
      <x:c r="A265" s="5">
        <x:v>2019</x:v>
      </x:c>
      <x:c r="B265" s="15" t="s">
        <x:v>40</x:v>
      </x:c>
      <x:c r="C265" s="15" t="s">
        <x:v>623</x:v>
      </x:c>
      <x:c r="D265" s="15" t="s">
        <x:v>624</x:v>
      </x:c>
      <x:c r="E265" s="6">
        <x:v>25940</x:v>
      </x:c>
      <x:c r="F265" s="6">
        <x:v>1970360</x:v>
      </x:c>
      <x:c r="G265" s="9">
        <x:v>1.316E-2</x:v>
      </x:c>
    </x:row>
    <x:row r="266">
      <x:c r="A266" s="5">
        <x:v>2019</x:v>
      </x:c>
      <x:c r="B266" s="15" t="s">
        <x:v>40</x:v>
      </x:c>
      <x:c r="C266" s="15" t="s">
        <x:v>625</x:v>
      </x:c>
      <x:c r="D266" s="15" t="s">
        <x:v>16</x:v>
      </x:c>
      <x:c r="E266" s="6">
        <x:v>27470</x:v>
      </x:c>
      <x:c r="F266" s="6">
        <x:v>2172720</x:v>
      </x:c>
      <x:c r="G266" s="9">
        <x:v>1.264E-2</x:v>
      </x:c>
    </x:row>
    <x:row r="267">
      <x:c r="A267" s="5">
        <x:v>2019</x:v>
      </x:c>
      <x:c r="B267" s="15" t="s">
        <x:v>40</x:v>
      </x:c>
      <x:c r="C267" s="15" t="s">
        <x:v>626</x:v>
      </x:c>
      <x:c r="D267" s="15" t="s">
        <x:v>627</x:v>
      </x:c>
      <x:c r="E267" s="6">
        <x:v>53400</x:v>
      </x:c>
      <x:c r="F267" s="6">
        <x:v>4143080</x:v>
      </x:c>
      <x:c r="G267" s="9">
        <x:v>1.2889999999999999E-2</x:v>
      </x:c>
    </x:row>
    <x:row r="268">
      <x:c r="A268" s="5">
        <x:v>2019</x:v>
      </x:c>
      <x:c r="B268" s="15" t="s">
        <x:v>44</x:v>
      </x:c>
      <x:c r="C268" s="15" t="s">
        <x:v>623</x:v>
      </x:c>
      <x:c r="D268" s="15" t="s">
        <x:v>624</x:v>
      </x:c>
      <x:c r="E268" s="6">
        <x:v>44450</x:v>
      </x:c>
      <x:c r="F268" s="6">
        <x:v>1912430</x:v>
      </x:c>
      <x:c r="G268" s="9">
        <x:v>2.3239999999999997E-2</x:v>
      </x:c>
    </x:row>
    <x:row r="269">
      <x:c r="A269" s="5">
        <x:v>2019</x:v>
      </x:c>
      <x:c r="B269" s="15" t="s">
        <x:v>44</x:v>
      </x:c>
      <x:c r="C269" s="15" t="s">
        <x:v>625</x:v>
      </x:c>
      <x:c r="D269" s="15" t="s">
        <x:v>16</x:v>
      </x:c>
      <x:c r="E269" s="6">
        <x:v>37240</x:v>
      </x:c>
      <x:c r="F269" s="6">
        <x:v>2049000</x:v>
      </x:c>
      <x:c r="G269" s="9">
        <x:v>1.8169999999999999E-2</x:v>
      </x:c>
    </x:row>
    <x:row r="270">
      <x:c r="A270" s="5">
        <x:v>2019</x:v>
      </x:c>
      <x:c r="B270" s="15" t="s">
        <x:v>44</x:v>
      </x:c>
      <x:c r="C270" s="15" t="s">
        <x:v>626</x:v>
      </x:c>
      <x:c r="D270" s="15" t="s">
        <x:v>627</x:v>
      </x:c>
      <x:c r="E270" s="6">
        <x:v>81690</x:v>
      </x:c>
      <x:c r="F270" s="6">
        <x:v>3961430</x:v>
      </x:c>
      <x:c r="G270" s="9">
        <x:v>2.0619999999999999E-2</x:v>
      </x:c>
    </x:row>
    <x:row r="271">
      <x:c r="A271" s="5">
        <x:v>2019</x:v>
      </x:c>
      <x:c r="B271" s="15" t="s">
        <x:v>48</x:v>
      </x:c>
      <x:c r="C271" s="15" t="s">
        <x:v>623</x:v>
      </x:c>
      <x:c r="D271" s="15" t="s">
        <x:v>624</x:v>
      </x:c>
      <x:c r="E271" s="6">
        <x:v>82380</x:v>
      </x:c>
      <x:c r="F271" s="6">
        <x:v>2151100</x:v>
      </x:c>
      <x:c r="G271" s="9">
        <x:v>3.8300000000000001E-2</x:v>
      </x:c>
    </x:row>
    <x:row r="272">
      <x:c r="A272" s="5">
        <x:v>2019</x:v>
      </x:c>
      <x:c r="B272" s="15" t="s">
        <x:v>48</x:v>
      </x:c>
      <x:c r="C272" s="15" t="s">
        <x:v>625</x:v>
      </x:c>
      <x:c r="D272" s="15" t="s">
        <x:v>16</x:v>
      </x:c>
      <x:c r="E272" s="6">
        <x:v>61370</x:v>
      </x:c>
      <x:c r="F272" s="6">
        <x:v>2256980</x:v>
      </x:c>
      <x:c r="G272" s="9">
        <x:v>2.7189999999999999E-2</x:v>
      </x:c>
    </x:row>
    <x:row r="273">
      <x:c r="A273" s="5">
        <x:v>2019</x:v>
      </x:c>
      <x:c r="B273" s="15" t="s">
        <x:v>48</x:v>
      </x:c>
      <x:c r="C273" s="15" t="s">
        <x:v>626</x:v>
      </x:c>
      <x:c r="D273" s="15" t="s">
        <x:v>627</x:v>
      </x:c>
      <x:c r="E273" s="6">
        <x:v>143740</x:v>
      </x:c>
      <x:c r="F273" s="6">
        <x:v>4408090</x:v>
      </x:c>
      <x:c r="G273" s="9">
        <x:v>3.261E-2</x:v>
      </x:c>
    </x:row>
    <x:row r="274">
      <x:c r="A274" s="5">
        <x:v>2019</x:v>
      </x:c>
      <x:c r="B274" s="15" t="s">
        <x:v>52</x:v>
      </x:c>
      <x:c r="C274" s="15" t="s">
        <x:v>623</x:v>
      </x:c>
      <x:c r="D274" s="15" t="s">
        <x:v>624</x:v>
      </x:c>
      <x:c r="E274" s="6">
        <x:v>137410</x:v>
      </x:c>
      <x:c r="F274" s="6">
        <x:v>2110630</x:v>
      </x:c>
      <x:c r="G274" s="9">
        <x:v>6.5099999999999991E-2</x:v>
      </x:c>
    </x:row>
    <x:row r="275">
      <x:c r="A275" s="5">
        <x:v>2019</x:v>
      </x:c>
      <x:c r="B275" s="15" t="s">
        <x:v>52</x:v>
      </x:c>
      <x:c r="C275" s="15" t="s">
        <x:v>625</x:v>
      </x:c>
      <x:c r="D275" s="15" t="s">
        <x:v>16</x:v>
      </x:c>
      <x:c r="E275" s="6">
        <x:v>99740</x:v>
      </x:c>
      <x:c r="F275" s="6">
        <x:v>2220900</x:v>
      </x:c>
      <x:c r="G275" s="9">
        <x:v>4.4909999999999999E-2</x:v>
      </x:c>
    </x:row>
    <x:row r="276">
      <x:c r="A276" s="5">
        <x:v>2019</x:v>
      </x:c>
      <x:c r="B276" s="15" t="s">
        <x:v>52</x:v>
      </x:c>
      <x:c r="C276" s="15" t="s">
        <x:v>626</x:v>
      </x:c>
      <x:c r="D276" s="15" t="s">
        <x:v>627</x:v>
      </x:c>
      <x:c r="E276" s="6">
        <x:v>237150</x:v>
      </x:c>
      <x:c r="F276" s="6">
        <x:v>4331540</x:v>
      </x:c>
      <x:c r="G276" s="9">
        <x:v>5.4749999999999993E-2</x:v>
      </x:c>
    </x:row>
    <x:row r="277">
      <x:c r="A277" s="5">
        <x:v>2019</x:v>
      </x:c>
      <x:c r="B277" s="15" t="s">
        <x:v>56</x:v>
      </x:c>
      <x:c r="C277" s="15" t="s">
        <x:v>623</x:v>
      </x:c>
      <x:c r="D277" s="15" t="s">
        <x:v>624</x:v>
      </x:c>
      <x:c r="E277" s="6">
        <x:v>210970</x:v>
      </x:c>
      <x:c r="F277" s="6">
        <x:v>2061510</x:v>
      </x:c>
      <x:c r="G277" s="9">
        <x:v>0.10234</x:v>
      </x:c>
    </x:row>
    <x:row r="278">
      <x:c r="A278" s="5">
        <x:v>2019</x:v>
      </x:c>
      <x:c r="B278" s="15" t="s">
        <x:v>56</x:v>
      </x:c>
      <x:c r="C278" s="15" t="s">
        <x:v>625</x:v>
      </x:c>
      <x:c r="D278" s="15" t="s">
        <x:v>16</x:v>
      </x:c>
      <x:c r="E278" s="6">
        <x:v>148530</x:v>
      </x:c>
      <x:c r="F278" s="6">
        <x:v>2193740</x:v>
      </x:c>
      <x:c r="G278" s="9">
        <x:v>6.7709999999999992E-2</x:v>
      </x:c>
    </x:row>
    <x:row r="279">
      <x:c r="A279" s="5">
        <x:v>2019</x:v>
      </x:c>
      <x:c r="B279" s="15" t="s">
        <x:v>56</x:v>
      </x:c>
      <x:c r="C279" s="15" t="s">
        <x:v>626</x:v>
      </x:c>
      <x:c r="D279" s="15" t="s">
        <x:v>627</x:v>
      </x:c>
      <x:c r="E279" s="6">
        <x:v>359500</x:v>
      </x:c>
      <x:c r="F279" s="6">
        <x:v>4255250</x:v>
      </x:c>
      <x:c r="G279" s="9">
        <x:v>8.448E-2</x:v>
      </x:c>
    </x:row>
    <x:row r="280">
      <x:c r="A280" s="5">
        <x:v>2019</x:v>
      </x:c>
      <x:c r="B280" s="15" t="s">
        <x:v>60</x:v>
      </x:c>
      <x:c r="C280" s="15" t="s">
        <x:v>623</x:v>
      </x:c>
      <x:c r="D280" s="15" t="s">
        <x:v>624</x:v>
      </x:c>
      <x:c r="E280" s="6">
        <x:v>287380</x:v>
      </x:c>
      <x:c r="F280" s="6">
        <x:v>1910880</x:v>
      </x:c>
      <x:c r="G280" s="9">
        <x:v>0.15039</x:v>
      </x:c>
    </x:row>
    <x:row r="281">
      <x:c r="A281" s="5">
        <x:v>2019</x:v>
      </x:c>
      <x:c r="B281" s="15" t="s">
        <x:v>60</x:v>
      </x:c>
      <x:c r="C281" s="15" t="s">
        <x:v>625</x:v>
      </x:c>
      <x:c r="D281" s="15" t="s">
        <x:v>16</x:v>
      </x:c>
      <x:c r="E281" s="6">
        <x:v>201330</x:v>
      </x:c>
      <x:c r="F281" s="6">
        <x:v>2083590</x:v>
      </x:c>
      <x:c r="G281" s="9">
        <x:v>9.6620000000000011E-2</x:v>
      </x:c>
    </x:row>
    <x:row r="282">
      <x:c r="A282" s="5">
        <x:v>2019</x:v>
      </x:c>
      <x:c r="B282" s="15" t="s">
        <x:v>60</x:v>
      </x:c>
      <x:c r="C282" s="15" t="s">
        <x:v>626</x:v>
      </x:c>
      <x:c r="D282" s="15" t="s">
        <x:v>627</x:v>
      </x:c>
      <x:c r="E282" s="6">
        <x:v>488710</x:v>
      </x:c>
      <x:c r="F282" s="6">
        <x:v>3994470</x:v>
      </x:c>
      <x:c r="G282" s="9">
        <x:v>0.12235</x:v>
      </x:c>
    </x:row>
    <x:row r="283">
      <x:c r="A283" s="5">
        <x:v>2019</x:v>
      </x:c>
      <x:c r="B283" s="15" t="s">
        <x:v>64</x:v>
      </x:c>
      <x:c r="C283" s="15" t="s">
        <x:v>623</x:v>
      </x:c>
      <x:c r="D283" s="15" t="s">
        <x:v>624</x:v>
      </x:c>
      <x:c r="E283" s="6">
        <x:v>356250</x:v>
      </x:c>
      <x:c r="F283" s="6">
        <x:v>1808450</x:v>
      </x:c>
      <x:c r="G283" s="9">
        <x:v>0.19699000000000003</x:v>
      </x:c>
    </x:row>
    <x:row r="284">
      <x:c r="A284" s="5">
        <x:v>2019</x:v>
      </x:c>
      <x:c r="B284" s="15" t="s">
        <x:v>64</x:v>
      </x:c>
      <x:c r="C284" s="15" t="s">
        <x:v>625</x:v>
      </x:c>
      <x:c r="D284" s="15" t="s">
        <x:v>16</x:v>
      </x:c>
      <x:c r="E284" s="6">
        <x:v>247480</x:v>
      </x:c>
      <x:c r="F284" s="6">
        <x:v>2006410</x:v>
      </x:c>
      <x:c r="G284" s="9">
        <x:v>0.12333999999999999</x:v>
      </x:c>
    </x:row>
    <x:row r="285">
      <x:c r="A285" s="5">
        <x:v>2019</x:v>
      </x:c>
      <x:c r="B285" s="15" t="s">
        <x:v>64</x:v>
      </x:c>
      <x:c r="C285" s="15" t="s">
        <x:v>626</x:v>
      </x:c>
      <x:c r="D285" s="15" t="s">
        <x:v>627</x:v>
      </x:c>
      <x:c r="E285" s="6">
        <x:v>603730</x:v>
      </x:c>
      <x:c r="F285" s="6">
        <x:v>3814860</x:v>
      </x:c>
      <x:c r="G285" s="9">
        <x:v>0.15826000000000001</x:v>
      </x:c>
    </x:row>
    <x:row r="286">
      <x:c r="A286" s="5">
        <x:v>2019</x:v>
      </x:c>
      <x:c r="B286" s="15" t="s">
        <x:v>68</x:v>
      </x:c>
      <x:c r="C286" s="15" t="s">
        <x:v>623</x:v>
      </x:c>
      <x:c r="D286" s="15" t="s">
        <x:v>624</x:v>
      </x:c>
      <x:c r="E286" s="6">
        <x:v>365550</x:v>
      </x:c>
      <x:c r="F286" s="6">
        <x:v>1611860</x:v>
      </x:c>
      <x:c r="G286" s="9">
        <x:v>0.22678999999999999</x:v>
      </x:c>
    </x:row>
    <x:row r="287">
      <x:c r="A287" s="5">
        <x:v>2019</x:v>
      </x:c>
      <x:c r="B287" s="15" t="s">
        <x:v>68</x:v>
      </x:c>
      <x:c r="C287" s="15" t="s">
        <x:v>625</x:v>
      </x:c>
      <x:c r="D287" s="15" t="s">
        <x:v>16</x:v>
      </x:c>
      <x:c r="E287" s="6">
        <x:v>258910</x:v>
      </x:c>
      <x:c r="F287" s="6">
        <x:v>1815830</x:v>
      </x:c>
      <x:c r="G287" s="9">
        <x:v>0.14258999999999999</x:v>
      </x:c>
    </x:row>
    <x:row r="288">
      <x:c r="A288" s="5">
        <x:v>2019</x:v>
      </x:c>
      <x:c r="B288" s="15" t="s">
        <x:v>68</x:v>
      </x:c>
      <x:c r="C288" s="15" t="s">
        <x:v>626</x:v>
      </x:c>
      <x:c r="D288" s="15" t="s">
        <x:v>627</x:v>
      </x:c>
      <x:c r="E288" s="6">
        <x:v>624460</x:v>
      </x:c>
      <x:c r="F288" s="6">
        <x:v>3427700</x:v>
      </x:c>
      <x:c r="G288" s="9">
        <x:v>0.18218000000000001</x:v>
      </x:c>
    </x:row>
    <x:row r="289">
      <x:c r="A289" s="5">
        <x:v>2019</x:v>
      </x:c>
      <x:c r="B289" s="15" t="s">
        <x:v>72</x:v>
      </x:c>
      <x:c r="C289" s="15" t="s">
        <x:v>623</x:v>
      </x:c>
      <x:c r="D289" s="15" t="s">
        <x:v>624</x:v>
      </x:c>
      <x:c r="E289" s="6">
        <x:v>245690</x:v>
      </x:c>
      <x:c r="F289" s="6">
        <x:v>1004310</x:v>
      </x:c>
      <x:c r="G289" s="9">
        <x:v>0.24463000000000001</x:v>
      </x:c>
    </x:row>
    <x:row r="290">
      <x:c r="A290" s="5">
        <x:v>2019</x:v>
      </x:c>
      <x:c r="B290" s="15" t="s">
        <x:v>72</x:v>
      </x:c>
      <x:c r="C290" s="15" t="s">
        <x:v>625</x:v>
      </x:c>
      <x:c r="D290" s="15" t="s">
        <x:v>16</x:v>
      </x:c>
      <x:c r="E290" s="6">
        <x:v>199460</x:v>
      </x:c>
      <x:c r="F290" s="6">
        <x:v>1197390</x:v>
      </x:c>
      <x:c r="G290" s="9">
        <x:v>0.16658000000000001</x:v>
      </x:c>
    </x:row>
    <x:row r="291">
      <x:c r="A291" s="5">
        <x:v>2019</x:v>
      </x:c>
      <x:c r="B291" s="15" t="s">
        <x:v>72</x:v>
      </x:c>
      <x:c r="C291" s="15" t="s">
        <x:v>626</x:v>
      </x:c>
      <x:c r="D291" s="15" t="s">
        <x:v>627</x:v>
      </x:c>
      <x:c r="E291" s="6">
        <x:v>445150</x:v>
      </x:c>
      <x:c r="F291" s="6">
        <x:v>2201700</x:v>
      </x:c>
      <x:c r="G291" s="9">
        <x:v>0.20218</x:v>
      </x:c>
    </x:row>
    <x:row r="292">
      <x:c r="A292" s="5">
        <x:v>2019</x:v>
      </x:c>
      <x:c r="B292" s="15" t="s">
        <x:v>76</x:v>
      </x:c>
      <x:c r="C292" s="15" t="s">
        <x:v>623</x:v>
      </x:c>
      <x:c r="D292" s="15" t="s">
        <x:v>624</x:v>
      </x:c>
      <x:c r="E292" s="6">
        <x:v>187650</x:v>
      </x:c>
      <x:c r="F292" s="6">
        <x:v>796150</x:v>
      </x:c>
      <x:c r="G292" s="9">
        <x:v>0.23568999999999998</x:v>
      </x:c>
    </x:row>
    <x:row r="293">
      <x:c r="A293" s="5">
        <x:v>2019</x:v>
      </x:c>
      <x:c r="B293" s="15" t="s">
        <x:v>76</x:v>
      </x:c>
      <x:c r="C293" s="15" t="s">
        <x:v>625</x:v>
      </x:c>
      <x:c r="D293" s="15" t="s">
        <x:v>16</x:v>
      </x:c>
      <x:c r="E293" s="6">
        <x:v>187950</x:v>
      </x:c>
      <x:c r="F293" s="6">
        <x:v>1094940</x:v>
      </x:c>
      <x:c r="G293" s="9">
        <x:v>0.17165</x:v>
      </x:c>
    </x:row>
    <x:row r="294">
      <x:c r="A294" s="5">
        <x:v>2019</x:v>
      </x:c>
      <x:c r="B294" s="15" t="s">
        <x:v>76</x:v>
      </x:c>
      <x:c r="C294" s="15" t="s">
        <x:v>626</x:v>
      </x:c>
      <x:c r="D294" s="15" t="s">
        <x:v>627</x:v>
      </x:c>
      <x:c r="E294" s="6">
        <x:v>375590</x:v>
      </x:c>
      <x:c r="F294" s="6">
        <x:v>1891090</x:v>
      </x:c>
      <x:c r="G294" s="9">
        <x:v>0.19861000000000001</x:v>
      </x:c>
    </x:row>
    <x:row r="295">
      <x:c r="A295" s="5">
        <x:v>2019</x:v>
      </x:c>
      <x:c r="B295" s="15" t="s">
        <x:v>80</x:v>
      </x:c>
      <x:c r="C295" s="15" t="s">
        <x:v>623</x:v>
      </x:c>
      <x:c r="D295" s="15" t="s">
        <x:v>624</x:v>
      </x:c>
      <x:c r="E295" s="6">
        <x:v>116010</x:v>
      </x:c>
      <x:c r="F295" s="6">
        <x:v>529210</x:v>
      </x:c>
      <x:c r="G295" s="9">
        <x:v>0.21920999999999999</x:v>
      </x:c>
    </x:row>
    <x:row r="296">
      <x:c r="A296" s="5">
        <x:v>2019</x:v>
      </x:c>
      <x:c r="B296" s="15" t="s">
        <x:v>80</x:v>
      </x:c>
      <x:c r="C296" s="15" t="s">
        <x:v>625</x:v>
      </x:c>
      <x:c r="D296" s="15" t="s">
        <x:v>16</x:v>
      </x:c>
      <x:c r="E296" s="6">
        <x:v>150430</x:v>
      </x:c>
      <x:c r="F296" s="6">
        <x:v>907790</x:v>
      </x:c>
      <x:c r="G296" s="9">
        <x:v>0.16571000000000002</x:v>
      </x:c>
    </x:row>
    <x:row r="297">
      <x:c r="A297" s="5">
        <x:v>2019</x:v>
      </x:c>
      <x:c r="B297" s="15" t="s">
        <x:v>80</x:v>
      </x:c>
      <x:c r="C297" s="15" t="s">
        <x:v>626</x:v>
      </x:c>
      <x:c r="D297" s="15" t="s">
        <x:v>627</x:v>
      </x:c>
      <x:c r="E297" s="6">
        <x:v>266440</x:v>
      </x:c>
      <x:c r="F297" s="6">
        <x:v>1437000</x:v>
      </x:c>
      <x:c r="G297" s="9">
        <x:v>0.18540999999999999</x:v>
      </x:c>
    </x:row>
    <x:row r="298">
      <x:c r="A298" s="5">
        <x:v>2019</x:v>
      </x:c>
      <x:c r="B298" s="15" t="s">
        <x:v>84</x:v>
      </x:c>
      <x:c r="C298" s="15" t="s">
        <x:v>623</x:v>
      </x:c>
      <x:c r="D298" s="15" t="s">
        <x:v>624</x:v>
      </x:c>
      <x:c r="E298" s="6">
        <x:v>40050</x:v>
      </x:c>
      <x:c r="F298" s="6">
        <x:v>226320</x:v>
      </x:c>
      <x:c r="G298" s="9">
        <x:v>0.17695</x:v>
      </x:c>
    </x:row>
    <x:row r="299">
      <x:c r="A299" s="5">
        <x:v>2019</x:v>
      </x:c>
      <x:c r="B299" s="15" t="s">
        <x:v>84</x:v>
      </x:c>
      <x:c r="C299" s="15" t="s">
        <x:v>625</x:v>
      </x:c>
      <x:c r="D299" s="15" t="s">
        <x:v>16</x:v>
      </x:c>
      <x:c r="E299" s="6">
        <x:v>72130</x:v>
      </x:c>
      <x:c r="F299" s="6">
        <x:v>525610</x:v>
      </x:c>
      <x:c r="G299" s="9">
        <x:v>0.13723000000000002</x:v>
      </x:c>
    </x:row>
    <x:row r="300">
      <x:c r="A300" s="5">
        <x:v>2019</x:v>
      </x:c>
      <x:c r="B300" s="15" t="s">
        <x:v>84</x:v>
      </x:c>
      <x:c r="C300" s="15" t="s">
        <x:v>626</x:v>
      </x:c>
      <x:c r="D300" s="15" t="s">
        <x:v>627</x:v>
      </x:c>
      <x:c r="E300" s="6">
        <x:v>112170</x:v>
      </x:c>
      <x:c r="F300" s="6">
        <x:v>751920</x:v>
      </x:c>
      <x:c r="G300" s="9">
        <x:v>0.14917999999999998</x:v>
      </x:c>
    </x:row>
    <x:row r="301">
      <x:c r="A301" s="5">
        <x:v>2019</x:v>
      </x:c>
      <x:c r="B301" s="15" t="s">
        <x:v>87</x:v>
      </x:c>
      <x:c r="C301" s="15" t="s">
        <x:v>623</x:v>
      </x:c>
      <x:c r="D301" s="15" t="s">
        <x:v>624</x:v>
      </x:c>
      <x:c r="E301" s="6">
        <x:v>7690</x:v>
      </x:c>
      <x:c r="F301" s="6">
        <x:v>60270</x:v>
      </x:c>
      <x:c r="G301" s="9">
        <x:v>0.12759999999999999</x:v>
      </x:c>
    </x:row>
    <x:row r="302">
      <x:c r="A302" s="5">
        <x:v>2019</x:v>
      </x:c>
      <x:c r="B302" s="15" t="s">
        <x:v>87</x:v>
      </x:c>
      <x:c r="C302" s="15" t="s">
        <x:v>625</x:v>
      </x:c>
      <x:c r="D302" s="15" t="s">
        <x:v>16</x:v>
      </x:c>
      <x:c r="E302" s="6">
        <x:v>21250</x:v>
      </x:c>
      <x:c r="F302" s="6">
        <x:v>214450</x:v>
      </x:c>
      <x:c r="G302" s="9">
        <x:v>9.9080000000000001E-2</x:v>
      </x:c>
    </x:row>
    <x:row r="303">
      <x:c r="A303" s="5">
        <x:v>2019</x:v>
      </x:c>
      <x:c r="B303" s="15" t="s">
        <x:v>87</x:v>
      </x:c>
      <x:c r="C303" s="15" t="s">
        <x:v>626</x:v>
      </x:c>
      <x:c r="D303" s="15" t="s">
        <x:v>627</x:v>
      </x:c>
      <x:c r="E303" s="6">
        <x:v>28940</x:v>
      </x:c>
      <x:c r="F303" s="6">
        <x:v>274720</x:v>
      </x:c>
      <x:c r="G303" s="9">
        <x:v>0.10534</x:v>
      </x:c>
    </x:row>
    <x:row r="304">
      <x:c r="A304" s="5">
        <x:v>2020</x:v>
      </x:c>
      <x:c r="B304" s="15" t="s">
        <x:v>8</x:v>
      </x:c>
      <x:c r="C304" s="15" t="s">
        <x:v>623</x:v>
      </x:c>
      <x:c r="D304" s="15" t="s">
        <x:v>624</x:v>
      </x:c>
      <x:c r="E304" s="6">
        <x:v>640</x:v>
      </x:c>
      <x:c r="F304" s="6">
        <x:v>1828460</x:v>
      </x:c>
      <x:c r="G304" s="9">
        <x:v>3.5000000000000005E-4</x:v>
      </x:c>
    </x:row>
    <x:row r="305">
      <x:c r="A305" s="5">
        <x:v>2020</x:v>
      </x:c>
      <x:c r="B305" s="15" t="s">
        <x:v>8</x:v>
      </x:c>
      <x:c r="C305" s="15" t="s">
        <x:v>625</x:v>
      </x:c>
      <x:c r="D305" s="15" t="s">
        <x:v>16</x:v>
      </x:c>
      <x:c r="E305" s="6">
        <x:v>540</x:v>
      </x:c>
      <x:c r="F305" s="6">
        <x:v>1734770</x:v>
      </x:c>
      <x:c r="G305" s="9">
        <x:v>3.1E-4</x:v>
      </x:c>
    </x:row>
    <x:row r="306">
      <x:c r="A306" s="5">
        <x:v>2020</x:v>
      </x:c>
      <x:c r="B306" s="15" t="s">
        <x:v>8</x:v>
      </x:c>
      <x:c r="C306" s="15" t="s">
        <x:v>626</x:v>
      </x:c>
      <x:c r="D306" s="15" t="s">
        <x:v>627</x:v>
      </x:c>
      <x:c r="E306" s="6">
        <x:v>1180</x:v>
      </x:c>
      <x:c r="F306" s="6">
        <x:v>3563230</x:v>
      </x:c>
      <x:c r="G306" s="9">
        <x:v>3.3E-4</x:v>
      </x:c>
    </x:row>
    <x:row r="307">
      <x:c r="A307" s="5">
        <x:v>2020</x:v>
      </x:c>
      <x:c r="B307" s="15" t="s">
        <x:v>12</x:v>
      </x:c>
      <x:c r="C307" s="15" t="s">
        <x:v>623</x:v>
      </x:c>
      <x:c r="D307" s="15" t="s">
        <x:v>624</x:v>
      </x:c>
      <x:c r="E307" s="6">
        <x:v>2580</x:v>
      </x:c>
      <x:c r="F307" s="6">
        <x:v>1961870</x:v>
      </x:c>
      <x:c r="G307" s="9">
        <x:v>1.32E-3</x:v>
      </x:c>
    </x:row>
    <x:row r="308">
      <x:c r="A308" s="5">
        <x:v>2020</x:v>
      </x:c>
      <x:c r="B308" s="15" t="s">
        <x:v>12</x:v>
      </x:c>
      <x:c r="C308" s="15" t="s">
        <x:v>625</x:v>
      </x:c>
      <x:c r="D308" s="15" t="s">
        <x:v>16</x:v>
      </x:c>
      <x:c r="E308" s="6">
        <x:v>2420</x:v>
      </x:c>
      <x:c r="F308" s="6">
        <x:v>1865530</x:v>
      </x:c>
      <x:c r="G308" s="9">
        <x:v>1.2999999999999999E-3</x:v>
      </x:c>
    </x:row>
    <x:row r="309">
      <x:c r="A309" s="5">
        <x:v>2020</x:v>
      </x:c>
      <x:c r="B309" s="15" t="s">
        <x:v>12</x:v>
      </x:c>
      <x:c r="C309" s="15" t="s">
        <x:v>626</x:v>
      </x:c>
      <x:c r="D309" s="15" t="s">
        <x:v>627</x:v>
      </x:c>
      <x:c r="E309" s="6">
        <x:v>5000</x:v>
      </x:c>
      <x:c r="F309" s="6">
        <x:v>3827410</x:v>
      </x:c>
      <x:c r="G309" s="9">
        <x:v>1.31E-3</x:v>
      </x:c>
    </x:row>
    <x:row r="310">
      <x:c r="A310" s="5">
        <x:v>2020</x:v>
      </x:c>
      <x:c r="B310" s="15" t="s">
        <x:v>17</x:v>
      </x:c>
      <x:c r="C310" s="15" t="s">
        <x:v>623</x:v>
      </x:c>
      <x:c r="D310" s="15" t="s">
        <x:v>624</x:v>
      </x:c>
      <x:c r="E310" s="6">
        <x:v>5430</x:v>
      </x:c>
      <x:c r="F310" s="6">
        <x:v>2018970</x:v>
      </x:c>
      <x:c r="G310" s="9">
        <x:v>2.6900000000000001E-3</x:v>
      </x:c>
    </x:row>
    <x:row r="311">
      <x:c r="A311" s="5">
        <x:v>2020</x:v>
      </x:c>
      <x:c r="B311" s="15" t="s">
        <x:v>17</x:v>
      </x:c>
      <x:c r="C311" s="15" t="s">
        <x:v>625</x:v>
      </x:c>
      <x:c r="D311" s="15" t="s">
        <x:v>16</x:v>
      </x:c>
      <x:c r="E311" s="6">
        <x:v>5090</x:v>
      </x:c>
      <x:c r="F311" s="6">
        <x:v>1935520</x:v>
      </x:c>
      <x:c r="G311" s="9">
        <x:v>2.63E-3</x:v>
      </x:c>
    </x:row>
    <x:row r="312">
      <x:c r="A312" s="5">
        <x:v>2020</x:v>
      </x:c>
      <x:c r="B312" s="15" t="s">
        <x:v>17</x:v>
      </x:c>
      <x:c r="C312" s="15" t="s">
        <x:v>626</x:v>
      </x:c>
      <x:c r="D312" s="15" t="s">
        <x:v>627</x:v>
      </x:c>
      <x:c r="E312" s="6">
        <x:v>10510</x:v>
      </x:c>
      <x:c r="F312" s="6">
        <x:v>3954500</x:v>
      </x:c>
      <x:c r="G312" s="9">
        <x:v>2.66E-3</x:v>
      </x:c>
    </x:row>
    <x:row r="313">
      <x:c r="A313" s="5">
        <x:v>2020</x:v>
      </x:c>
      <x:c r="B313" s="15" t="s">
        <x:v>25</x:v>
      </x:c>
      <x:c r="C313" s="15" t="s">
        <x:v>623</x:v>
      </x:c>
      <x:c r="D313" s="15" t="s">
        <x:v>624</x:v>
      </x:c>
      <x:c r="E313" s="6">
        <x:v>7540</x:v>
      </x:c>
      <x:c r="F313" s="6">
        <x:v>1933470</x:v>
      </x:c>
      <x:c r="G313" s="9">
        <x:v>3.9000000000000003E-3</x:v>
      </x:c>
    </x:row>
    <x:row r="314">
      <x:c r="A314" s="5">
        <x:v>2020</x:v>
      </x:c>
      <x:c r="B314" s="15" t="s">
        <x:v>25</x:v>
      </x:c>
      <x:c r="C314" s="15" t="s">
        <x:v>625</x:v>
      </x:c>
      <x:c r="D314" s="15" t="s">
        <x:v>16</x:v>
      </x:c>
      <x:c r="E314" s="6">
        <x:v>6770</x:v>
      </x:c>
      <x:c r="F314" s="6">
        <x:v>1912000</x:v>
      </x:c>
      <x:c r="G314" s="9">
        <x:v>3.5399999999999997E-3</x:v>
      </x:c>
    </x:row>
    <x:row r="315">
      <x:c r="A315" s="5">
        <x:v>2020</x:v>
      </x:c>
      <x:c r="B315" s="15" t="s">
        <x:v>25</x:v>
      </x:c>
      <x:c r="C315" s="15" t="s">
        <x:v>626</x:v>
      </x:c>
      <x:c r="D315" s="15" t="s">
        <x:v>627</x:v>
      </x:c>
      <x:c r="E315" s="6">
        <x:v>14300</x:v>
      </x:c>
      <x:c r="F315" s="6">
        <x:v>3845480</x:v>
      </x:c>
      <x:c r="G315" s="9">
        <x:v>3.7199999999999998E-3</x:v>
      </x:c>
    </x:row>
    <x:row r="316">
      <x:c r="A316" s="5">
        <x:v>2020</x:v>
      </x:c>
      <x:c r="B316" s="15" t="s">
        <x:v>28</x:v>
      </x:c>
      <x:c r="C316" s="15" t="s">
        <x:v>623</x:v>
      </x:c>
      <x:c r="D316" s="15" t="s">
        <x:v>624</x:v>
      </x:c>
      <x:c r="E316" s="6">
        <x:v>8300</x:v>
      </x:c>
      <x:c r="F316" s="6">
        <x:v>1821560</x:v>
      </x:c>
      <x:c r="G316" s="9">
        <x:v>4.5599999999999998E-3</x:v>
      </x:c>
    </x:row>
    <x:row r="317">
      <x:c r="A317" s="5">
        <x:v>2020</x:v>
      </x:c>
      <x:c r="B317" s="15" t="s">
        <x:v>28</x:v>
      </x:c>
      <x:c r="C317" s="15" t="s">
        <x:v>625</x:v>
      </x:c>
      <x:c r="D317" s="15" t="s">
        <x:v>16</x:v>
      </x:c>
      <x:c r="E317" s="6">
        <x:v>8810</x:v>
      </x:c>
      <x:c r="F317" s="6">
        <x:v>1951500</x:v>
      </x:c>
      <x:c r="G317" s="9">
        <x:v>4.5199999999999997E-3</x:v>
      </x:c>
    </x:row>
    <x:row r="318">
      <x:c r="A318" s="5">
        <x:v>2020</x:v>
      </x:c>
      <x:c r="B318" s="15" t="s">
        <x:v>28</x:v>
      </x:c>
      <x:c r="C318" s="15" t="s">
        <x:v>626</x:v>
      </x:c>
      <x:c r="D318" s="15" t="s">
        <x:v>627</x:v>
      </x:c>
      <x:c r="E318" s="6">
        <x:v>17120</x:v>
      </x:c>
      <x:c r="F318" s="6">
        <x:v>3773060</x:v>
      </x:c>
      <x:c r="G318" s="9">
        <x:v>4.5399999999999998E-3</x:v>
      </x:c>
    </x:row>
    <x:row r="319">
      <x:c r="A319" s="5">
        <x:v>2020</x:v>
      </x:c>
      <x:c r="B319" s="15" t="s">
        <x:v>32</x:v>
      </x:c>
      <x:c r="C319" s="15" t="s">
        <x:v>623</x:v>
      </x:c>
      <x:c r="D319" s="15" t="s">
        <x:v>624</x:v>
      </x:c>
      <x:c r="E319" s="6">
        <x:v>10570</x:v>
      </x:c>
      <x:c r="F319" s="6">
        <x:v>1820990</x:v>
      </x:c>
      <x:c r="G319" s="9">
        <x:v>5.7999999999999996E-3</x:v>
      </x:c>
    </x:row>
    <x:row r="320">
      <x:c r="A320" s="5">
        <x:v>2020</x:v>
      </x:c>
      <x:c r="B320" s="15" t="s">
        <x:v>32</x:v>
      </x:c>
      <x:c r="C320" s="15" t="s">
        <x:v>625</x:v>
      </x:c>
      <x:c r="D320" s="15" t="s">
        <x:v>16</x:v>
      </x:c>
      <x:c r="E320" s="6">
        <x:v>12900</x:v>
      </x:c>
      <x:c r="F320" s="6">
        <x:v>1994350</x:v>
      </x:c>
      <x:c r="G320" s="9">
        <x:v>6.4700000000000001E-3</x:v>
      </x:c>
    </x:row>
    <x:row r="321">
      <x:c r="A321" s="5">
        <x:v>2020</x:v>
      </x:c>
      <x:c r="B321" s="15" t="s">
        <x:v>32</x:v>
      </x:c>
      <x:c r="C321" s="15" t="s">
        <x:v>626</x:v>
      </x:c>
      <x:c r="D321" s="15" t="s">
        <x:v>627</x:v>
      </x:c>
      <x:c r="E321" s="6">
        <x:v>23470</x:v>
      </x:c>
      <x:c r="F321" s="6">
        <x:v>3815340</x:v>
      </x:c>
      <x:c r="G321" s="9">
        <x:v>6.1500000000000001E-3</x:v>
      </x:c>
    </x:row>
    <x:row r="322">
      <x:c r="A322" s="5">
        <x:v>2020</x:v>
      </x:c>
      <x:c r="B322" s="15" t="s">
        <x:v>36</x:v>
      </x:c>
      <x:c r="C322" s="15" t="s">
        <x:v>623</x:v>
      </x:c>
      <x:c r="D322" s="15" t="s">
        <x:v>624</x:v>
      </x:c>
      <x:c r="E322" s="6">
        <x:v>16340</x:v>
      </x:c>
      <x:c r="F322" s="6">
        <x:v>1942850</x:v>
      </x:c>
      <x:c r="G322" s="9">
        <x:v>8.4099999999999991E-3</x:v>
      </x:c>
    </x:row>
    <x:row r="323">
      <x:c r="A323" s="5">
        <x:v>2020</x:v>
      </x:c>
      <x:c r="B323" s="15" t="s">
        <x:v>36</x:v>
      </x:c>
      <x:c r="C323" s="15" t="s">
        <x:v>625</x:v>
      </x:c>
      <x:c r="D323" s="15" t="s">
        <x:v>16</x:v>
      </x:c>
      <x:c r="E323" s="6">
        <x:v>20110</x:v>
      </x:c>
      <x:c r="F323" s="6">
        <x:v>2141520</x:v>
      </x:c>
      <x:c r="G323" s="9">
        <x:v>9.389999999999999E-3</x:v>
      </x:c>
    </x:row>
    <x:row r="324">
      <x:c r="A324" s="5">
        <x:v>2020</x:v>
      </x:c>
      <x:c r="B324" s="15" t="s">
        <x:v>36</x:v>
      </x:c>
      <x:c r="C324" s="15" t="s">
        <x:v>626</x:v>
      </x:c>
      <x:c r="D324" s="15" t="s">
        <x:v>627</x:v>
      </x:c>
      <x:c r="E324" s="6">
        <x:v>36450</x:v>
      </x:c>
      <x:c r="F324" s="6">
        <x:v>4084380</x:v>
      </x:c>
      <x:c r="G324" s="9">
        <x:v>8.9200000000000008E-3</x:v>
      </x:c>
    </x:row>
    <x:row r="325">
      <x:c r="A325" s="5">
        <x:v>2020</x:v>
      </x:c>
      <x:c r="B325" s="15" t="s">
        <x:v>40</x:v>
      </x:c>
      <x:c r="C325" s="15" t="s">
        <x:v>623</x:v>
      </x:c>
      <x:c r="D325" s="15" t="s">
        <x:v>624</x:v>
      </x:c>
      <x:c r="E325" s="6">
        <x:v>27000</x:v>
      </x:c>
      <x:c r="F325" s="6">
        <x:v>1969600</x:v>
      </x:c>
      <x:c r="G325" s="9">
        <x:v>1.371E-2</x:v>
      </x:c>
    </x:row>
    <x:row r="326">
      <x:c r="A326" s="5">
        <x:v>2020</x:v>
      </x:c>
      <x:c r="B326" s="15" t="s">
        <x:v>40</x:v>
      </x:c>
      <x:c r="C326" s="15" t="s">
        <x:v>625</x:v>
      </x:c>
      <x:c r="D326" s="15" t="s">
        <x:v>16</x:v>
      </x:c>
      <x:c r="E326" s="6">
        <x:v>28670</x:v>
      </x:c>
      <x:c r="F326" s="6">
        <x:v>2162380</x:v>
      </x:c>
      <x:c r="G326" s="9">
        <x:v>1.3260000000000001E-2</x:v>
      </x:c>
    </x:row>
    <x:row r="327">
      <x:c r="A327" s="5">
        <x:v>2020</x:v>
      </x:c>
      <x:c r="B327" s="15" t="s">
        <x:v>40</x:v>
      </x:c>
      <x:c r="C327" s="15" t="s">
        <x:v>626</x:v>
      </x:c>
      <x:c r="D327" s="15" t="s">
        <x:v>627</x:v>
      </x:c>
      <x:c r="E327" s="6">
        <x:v>55670</x:v>
      </x:c>
      <x:c r="F327" s="6">
        <x:v>4131980</x:v>
      </x:c>
      <x:c r="G327" s="9">
        <x:v>1.3469999999999999E-2</x:v>
      </x:c>
    </x:row>
    <x:row r="328">
      <x:c r="A328" s="5">
        <x:v>2020</x:v>
      </x:c>
      <x:c r="B328" s="15" t="s">
        <x:v>44</x:v>
      </x:c>
      <x:c r="C328" s="15" t="s">
        <x:v>623</x:v>
      </x:c>
      <x:c r="D328" s="15" t="s">
        <x:v>624</x:v>
      </x:c>
      <x:c r="E328" s="6">
        <x:v>46060</x:v>
      </x:c>
      <x:c r="F328" s="6">
        <x:v>1944490</x:v>
      </x:c>
      <x:c r="G328" s="9">
        <x:v>2.3690000000000003E-2</x:v>
      </x:c>
    </x:row>
    <x:row r="329">
      <x:c r="A329" s="5">
        <x:v>2020</x:v>
      </x:c>
      <x:c r="B329" s="15" t="s">
        <x:v>44</x:v>
      </x:c>
      <x:c r="C329" s="15" t="s">
        <x:v>625</x:v>
      </x:c>
      <x:c r="D329" s="15" t="s">
        <x:v>16</x:v>
      </x:c>
      <x:c r="E329" s="6">
        <x:v>39120</x:v>
      </x:c>
      <x:c r="F329" s="6">
        <x:v>2087170</x:v>
      </x:c>
      <x:c r="G329" s="9">
        <x:v>1.874E-2</x:v>
      </x:c>
    </x:row>
    <x:row r="330">
      <x:c r="A330" s="5">
        <x:v>2020</x:v>
      </x:c>
      <x:c r="B330" s="15" t="s">
        <x:v>44</x:v>
      </x:c>
      <x:c r="C330" s="15" t="s">
        <x:v>626</x:v>
      </x:c>
      <x:c r="D330" s="15" t="s">
        <x:v>627</x:v>
      </x:c>
      <x:c r="E330" s="6">
        <x:v>85180</x:v>
      </x:c>
      <x:c r="F330" s="6">
        <x:v>4031660</x:v>
      </x:c>
      <x:c r="G330" s="9">
        <x:v>2.1129999999999999E-2</x:v>
      </x:c>
    </x:row>
    <x:row r="331">
      <x:c r="A331" s="5">
        <x:v>2020</x:v>
      </x:c>
      <x:c r="B331" s="15" t="s">
        <x:v>48</x:v>
      </x:c>
      <x:c r="C331" s="15" t="s">
        <x:v>623</x:v>
      </x:c>
      <x:c r="D331" s="15" t="s">
        <x:v>624</x:v>
      </x:c>
      <x:c r="E331" s="6">
        <x:v>83750</x:v>
      </x:c>
      <x:c r="F331" s="6">
        <x:v>2113820</x:v>
      </x:c>
      <x:c r="G331" s="9">
        <x:v>3.9620000000000002E-2</x:v>
      </x:c>
    </x:row>
    <x:row r="332">
      <x:c r="A332" s="5">
        <x:v>2020</x:v>
      </x:c>
      <x:c r="B332" s="15" t="s">
        <x:v>48</x:v>
      </x:c>
      <x:c r="C332" s="15" t="s">
        <x:v>625</x:v>
      </x:c>
      <x:c r="D332" s="15" t="s">
        <x:v>16</x:v>
      </x:c>
      <x:c r="E332" s="6">
        <x:v>62590</x:v>
      </x:c>
      <x:c r="F332" s="6">
        <x:v>2216580</x:v>
      </x:c>
      <x:c r="G332" s="9">
        <x:v>2.8239999999999998E-2</x:v>
      </x:c>
    </x:row>
    <x:row r="333">
      <x:c r="A333" s="5">
        <x:v>2020</x:v>
      </x:c>
      <x:c r="B333" s="15" t="s">
        <x:v>48</x:v>
      </x:c>
      <x:c r="C333" s="15" t="s">
        <x:v>626</x:v>
      </x:c>
      <x:c r="D333" s="15" t="s">
        <x:v>627</x:v>
      </x:c>
      <x:c r="E333" s="6">
        <x:v>146340</x:v>
      </x:c>
      <x:c r="F333" s="6">
        <x:v>4330400</x:v>
      </x:c>
      <x:c r="G333" s="9">
        <x:v>3.3790000000000001E-2</x:v>
      </x:c>
    </x:row>
    <x:row r="334">
      <x:c r="A334" s="5">
        <x:v>2020</x:v>
      </x:c>
      <x:c r="B334" s="15" t="s">
        <x:v>52</x:v>
      </x:c>
      <x:c r="C334" s="15" t="s">
        <x:v>623</x:v>
      </x:c>
      <x:c r="D334" s="15" t="s">
        <x:v>624</x:v>
      </x:c>
      <x:c r="E334" s="6">
        <x:v>139160</x:v>
      </x:c>
      <x:c r="F334" s="6">
        <x:v>2114000</x:v>
      </x:c>
      <x:c r="G334" s="9">
        <x:v>6.583E-2</x:v>
      </x:c>
    </x:row>
    <x:row r="335">
      <x:c r="A335" s="5">
        <x:v>2020</x:v>
      </x:c>
      <x:c r="B335" s="15" t="s">
        <x:v>52</x:v>
      </x:c>
      <x:c r="C335" s="15" t="s">
        <x:v>625</x:v>
      </x:c>
      <x:c r="D335" s="15" t="s">
        <x:v>16</x:v>
      </x:c>
      <x:c r="E335" s="6">
        <x:v>100920</x:v>
      </x:c>
      <x:c r="F335" s="6">
        <x:v>2217280</x:v>
      </x:c>
      <x:c r="G335" s="9">
        <x:v>4.5510000000000002E-2</x:v>
      </x:c>
    </x:row>
    <x:row r="336">
      <x:c r="A336" s="5">
        <x:v>2020</x:v>
      </x:c>
      <x:c r="B336" s="15" t="s">
        <x:v>52</x:v>
      </x:c>
      <x:c r="C336" s="15" t="s">
        <x:v>626</x:v>
      </x:c>
      <x:c r="D336" s="15" t="s">
        <x:v>627</x:v>
      </x:c>
      <x:c r="E336" s="6">
        <x:v>240080</x:v>
      </x:c>
      <x:c r="F336" s="6">
        <x:v>4331280</x:v>
      </x:c>
      <x:c r="G336" s="9">
        <x:v>5.543E-2</x:v>
      </x:c>
    </x:row>
    <x:row r="337">
      <x:c r="A337" s="5">
        <x:v>2020</x:v>
      </x:c>
      <x:c r="B337" s="15" t="s">
        <x:v>56</x:v>
      </x:c>
      <x:c r="C337" s="15" t="s">
        <x:v>623</x:v>
      </x:c>
      <x:c r="D337" s="15" t="s">
        <x:v>624</x:v>
      </x:c>
      <x:c r="E337" s="6">
        <x:v>213880</x:v>
      </x:c>
      <x:c r="F337" s="6">
        <x:v>2079290</x:v>
      </x:c>
      <x:c r="G337" s="9">
        <x:v>0.10285999999999999</x:v>
      </x:c>
    </x:row>
    <x:row r="338">
      <x:c r="A338" s="5">
        <x:v>2020</x:v>
      </x:c>
      <x:c r="B338" s="15" t="s">
        <x:v>56</x:v>
      </x:c>
      <x:c r="C338" s="15" t="s">
        <x:v>625</x:v>
      </x:c>
      <x:c r="D338" s="15" t="s">
        <x:v>16</x:v>
      </x:c>
      <x:c r="E338" s="6">
        <x:v>150480</x:v>
      </x:c>
      <x:c r="F338" s="6">
        <x:v>2205760</x:v>
      </x:c>
      <x:c r="G338" s="9">
        <x:v>6.8220000000000003E-2</x:v>
      </x:c>
    </x:row>
    <x:row r="339">
      <x:c r="A339" s="5">
        <x:v>2020</x:v>
      </x:c>
      <x:c r="B339" s="15" t="s">
        <x:v>56</x:v>
      </x:c>
      <x:c r="C339" s="15" t="s">
        <x:v>626</x:v>
      </x:c>
      <x:c r="D339" s="15" t="s">
        <x:v>627</x:v>
      </x:c>
      <x:c r="E339" s="6">
        <x:v>364360</x:v>
      </x:c>
      <x:c r="F339" s="6">
        <x:v>4285050</x:v>
      </x:c>
      <x:c r="G339" s="9">
        <x:v>8.5029999999999994E-2</x:v>
      </x:c>
    </x:row>
    <x:row r="340">
      <x:c r="A340" s="5">
        <x:v>2020</x:v>
      </x:c>
      <x:c r="B340" s="15" t="s">
        <x:v>60</x:v>
      </x:c>
      <x:c r="C340" s="15" t="s">
        <x:v>623</x:v>
      </x:c>
      <x:c r="D340" s="15" t="s">
        <x:v>624</x:v>
      </x:c>
      <x:c r="E340" s="6">
        <x:v>289360</x:v>
      </x:c>
      <x:c r="F340" s="6">
        <x:v>1921920</x:v>
      </x:c>
      <x:c r="G340" s="9">
        <x:v>0.15056</x:v>
      </x:c>
    </x:row>
    <x:row r="341">
      <x:c r="A341" s="5">
        <x:v>2020</x:v>
      </x:c>
      <x:c r="B341" s="15" t="s">
        <x:v>60</x:v>
      </x:c>
      <x:c r="C341" s="15" t="s">
        <x:v>625</x:v>
      </x:c>
      <x:c r="D341" s="15" t="s">
        <x:v>16</x:v>
      </x:c>
      <x:c r="E341" s="6">
        <x:v>202010</x:v>
      </x:c>
      <x:c r="F341" s="6">
        <x:v>2087560</x:v>
      </x:c>
      <x:c r="G341" s="9">
        <x:v>9.6769999999999995E-2</x:v>
      </x:c>
    </x:row>
    <x:row r="342">
      <x:c r="A342" s="5">
        <x:v>2020</x:v>
      </x:c>
      <x:c r="B342" s="15" t="s">
        <x:v>60</x:v>
      </x:c>
      <x:c r="C342" s="15" t="s">
        <x:v>626</x:v>
      </x:c>
      <x:c r="D342" s="15" t="s">
        <x:v>627</x:v>
      </x:c>
      <x:c r="E342" s="6">
        <x:v>491380</x:v>
      </x:c>
      <x:c r="F342" s="6">
        <x:v>4009480</x:v>
      </x:c>
      <x:c r="G342" s="9">
        <x:v>0.12255000000000001</x:v>
      </x:c>
    </x:row>
    <x:row r="343">
      <x:c r="A343" s="5">
        <x:v>2020</x:v>
      </x:c>
      <x:c r="B343" s="15" t="s">
        <x:v>64</x:v>
      </x:c>
      <x:c r="C343" s="15" t="s">
        <x:v>623</x:v>
      </x:c>
      <x:c r="D343" s="15" t="s">
        <x:v>624</x:v>
      </x:c>
      <x:c r="E343" s="6">
        <x:v>353900</x:v>
      </x:c>
      <x:c r="F343" s="6">
        <x:v>1792960</x:v>
      </x:c>
      <x:c r="G343" s="9">
        <x:v>0.19738</x:v>
      </x:c>
    </x:row>
    <x:row r="344">
      <x:c r="A344" s="5">
        <x:v>2020</x:v>
      </x:c>
      <x:c r="B344" s="15" t="s">
        <x:v>64</x:v>
      </x:c>
      <x:c r="C344" s="15" t="s">
        <x:v>625</x:v>
      </x:c>
      <x:c r="D344" s="15" t="s">
        <x:v>16</x:v>
      </x:c>
      <x:c r="E344" s="6">
        <x:v>249090</x:v>
      </x:c>
      <x:c r="F344" s="6">
        <x:v>1996470</x:v>
      </x:c>
      <x:c r="G344" s="9">
        <x:v>0.12477000000000001</x:v>
      </x:c>
    </x:row>
    <x:row r="345">
      <x:c r="A345" s="5">
        <x:v>2020</x:v>
      </x:c>
      <x:c r="B345" s="15" t="s">
        <x:v>64</x:v>
      </x:c>
      <x:c r="C345" s="15" t="s">
        <x:v>626</x:v>
      </x:c>
      <x:c r="D345" s="15" t="s">
        <x:v>627</x:v>
      </x:c>
      <x:c r="E345" s="6">
        <x:v>602990</x:v>
      </x:c>
      <x:c r="F345" s="6">
        <x:v>3789430</x:v>
      </x:c>
      <x:c r="G345" s="9">
        <x:v>0.15912000000000001</x:v>
      </x:c>
    </x:row>
    <x:row r="346">
      <x:c r="A346" s="5">
        <x:v>2020</x:v>
      </x:c>
      <x:c r="B346" s="15" t="s">
        <x:v>68</x:v>
      </x:c>
      <x:c r="C346" s="15" t="s">
        <x:v>623</x:v>
      </x:c>
      <x:c r="D346" s="15" t="s">
        <x:v>624</x:v>
      </x:c>
      <x:c r="E346" s="6">
        <x:v>389070</x:v>
      </x:c>
      <x:c r="F346" s="6">
        <x:v>1701360</x:v>
      </x:c>
      <x:c r="G346" s="9">
        <x:v>0.22867999999999999</x:v>
      </x:c>
    </x:row>
    <x:row r="347">
      <x:c r="A347" s="5">
        <x:v>2020</x:v>
      </x:c>
      <x:c r="B347" s="15" t="s">
        <x:v>68</x:v>
      </x:c>
      <x:c r="C347" s="15" t="s">
        <x:v>625</x:v>
      </x:c>
      <x:c r="D347" s="15" t="s">
        <x:v>16</x:v>
      </x:c>
      <x:c r="E347" s="6">
        <x:v>276620</x:v>
      </x:c>
      <x:c r="F347" s="6">
        <x:v>1924490</x:v>
      </x:c>
      <x:c r="G347" s="9">
        <x:v>0.14374000000000001</x:v>
      </x:c>
    </x:row>
    <x:row r="348">
      <x:c r="A348" s="5">
        <x:v>2020</x:v>
      </x:c>
      <x:c r="B348" s="15" t="s">
        <x:v>68</x:v>
      </x:c>
      <x:c r="C348" s="15" t="s">
        <x:v>626</x:v>
      </x:c>
      <x:c r="D348" s="15" t="s">
        <x:v>627</x:v>
      </x:c>
      <x:c r="E348" s="6">
        <x:v>665690</x:v>
      </x:c>
      <x:c r="F348" s="6">
        <x:v>3625850</x:v>
      </x:c>
      <x:c r="G348" s="9">
        <x:v>0.18359999999999999</x:v>
      </x:c>
    </x:row>
    <x:row r="349">
      <x:c r="A349" s="5">
        <x:v>2020</x:v>
      </x:c>
      <x:c r="B349" s="15" t="s">
        <x:v>72</x:v>
      </x:c>
      <x:c r="C349" s="15" t="s">
        <x:v>623</x:v>
      </x:c>
      <x:c r="D349" s="15" t="s">
        <x:v>624</x:v>
      </x:c>
      <x:c r="E349" s="6">
        <x:v>256350</x:v>
      </x:c>
      <x:c r="F349" s="6">
        <x:v>1030260</x:v>
      </x:c>
      <x:c r="G349" s="9">
        <x:v>0.24882000000000001</x:v>
      </x:c>
    </x:row>
    <x:row r="350">
      <x:c r="A350" s="5">
        <x:v>2020</x:v>
      </x:c>
      <x:c r="B350" s="15" t="s">
        <x:v>72</x:v>
      </x:c>
      <x:c r="C350" s="15" t="s">
        <x:v>625</x:v>
      </x:c>
      <x:c r="D350" s="15" t="s">
        <x:v>16</x:v>
      </x:c>
      <x:c r="E350" s="6">
        <x:v>206860</x:v>
      </x:c>
      <x:c r="F350" s="6">
        <x:v>1227960</x:v>
      </x:c>
      <x:c r="G350" s="9">
        <x:v>0.16846</x:v>
      </x:c>
    </x:row>
    <x:row r="351">
      <x:c r="A351" s="5">
        <x:v>2020</x:v>
      </x:c>
      <x:c r="B351" s="15" t="s">
        <x:v>72</x:v>
      </x:c>
      <x:c r="C351" s="15" t="s">
        <x:v>626</x:v>
      </x:c>
      <x:c r="D351" s="15" t="s">
        <x:v>627</x:v>
      </x:c>
      <x:c r="E351" s="6">
        <x:v>463210</x:v>
      </x:c>
      <x:c r="F351" s="6">
        <x:v>2258220</x:v>
      </x:c>
      <x:c r="G351" s="9">
        <x:v>0.20512</x:v>
      </x:c>
    </x:row>
    <x:row r="352">
      <x:c r="A352" s="5">
        <x:v>2020</x:v>
      </x:c>
      <x:c r="B352" s="15" t="s">
        <x:v>76</x:v>
      </x:c>
      <x:c r="C352" s="15" t="s">
        <x:v>623</x:v>
      </x:c>
      <x:c r="D352" s="15" t="s">
        <x:v>624</x:v>
      </x:c>
      <x:c r="E352" s="6">
        <x:v>189910</x:v>
      </x:c>
      <x:c r="F352" s="6">
        <x:v>790990</x:v>
      </x:c>
      <x:c r="G352" s="9">
        <x:v>0.24009</x:v>
      </x:c>
    </x:row>
    <x:row r="353">
      <x:c r="A353" s="5">
        <x:v>2020</x:v>
      </x:c>
      <x:c r="B353" s="15" t="s">
        <x:v>76</x:v>
      </x:c>
      <x:c r="C353" s="15" t="s">
        <x:v>625</x:v>
      </x:c>
      <x:c r="D353" s="15" t="s">
        <x:v>16</x:v>
      </x:c>
      <x:c r="E353" s="6">
        <x:v>185790</x:v>
      </x:c>
      <x:c r="F353" s="6">
        <x:v>1074610</x:v>
      </x:c>
      <x:c r="G353" s="9">
        <x:v>0.17289000000000002</x:v>
      </x:c>
    </x:row>
    <x:row r="354">
      <x:c r="A354" s="5">
        <x:v>2020</x:v>
      </x:c>
      <x:c r="B354" s="15" t="s">
        <x:v>76</x:v>
      </x:c>
      <x:c r="C354" s="15" t="s">
        <x:v>626</x:v>
      </x:c>
      <x:c r="D354" s="15" t="s">
        <x:v>627</x:v>
      </x:c>
      <x:c r="E354" s="6">
        <x:v>375700</x:v>
      </x:c>
      <x:c r="F354" s="6">
        <x:v>1865600</x:v>
      </x:c>
      <x:c r="G354" s="9">
        <x:v>0.20138</x:v>
      </x:c>
    </x:row>
    <x:row r="355">
      <x:c r="A355" s="5">
        <x:v>2020</x:v>
      </x:c>
      <x:c r="B355" s="15" t="s">
        <x:v>80</x:v>
      </x:c>
      <x:c r="C355" s="15" t="s">
        <x:v>623</x:v>
      </x:c>
      <x:c r="D355" s="15" t="s">
        <x:v>624</x:v>
      </x:c>
      <x:c r="E355" s="6">
        <x:v>119200</x:v>
      </x:c>
      <x:c r="F355" s="6">
        <x:v>532440</x:v>
      </x:c>
      <x:c r="G355" s="9">
        <x:v>0.22388000000000002</x:v>
      </x:c>
    </x:row>
    <x:row r="356">
      <x:c r="A356" s="5">
        <x:v>2020</x:v>
      </x:c>
      <x:c r="B356" s="15" t="s">
        <x:v>80</x:v>
      </x:c>
      <x:c r="C356" s="15" t="s">
        <x:v>625</x:v>
      </x:c>
      <x:c r="D356" s="15" t="s">
        <x:v>16</x:v>
      </x:c>
      <x:c r="E356" s="6">
        <x:v>151500</x:v>
      </x:c>
      <x:c r="F356" s="6">
        <x:v>899580</x:v>
      </x:c>
      <x:c r="G356" s="9">
        <x:v>0.16841</x:v>
      </x:c>
    </x:row>
    <x:row r="357">
      <x:c r="A357" s="5">
        <x:v>2020</x:v>
      </x:c>
      <x:c r="B357" s="15" t="s">
        <x:v>80</x:v>
      </x:c>
      <x:c r="C357" s="15" t="s">
        <x:v>626</x:v>
      </x:c>
      <x:c r="D357" s="15" t="s">
        <x:v>627</x:v>
      </x:c>
      <x:c r="E357" s="6">
        <x:v>270710</x:v>
      </x:c>
      <x:c r="F357" s="6">
        <x:v>1432010</x:v>
      </x:c>
      <x:c r="G357" s="9">
        <x:v>0.18903999999999999</x:v>
      </x:c>
    </x:row>
    <x:row r="358">
      <x:c r="A358" s="5">
        <x:v>2020</x:v>
      </x:c>
      <x:c r="B358" s="15" t="s">
        <x:v>84</x:v>
      </x:c>
      <x:c r="C358" s="15" t="s">
        <x:v>623</x:v>
      </x:c>
      <x:c r="D358" s="15" t="s">
        <x:v>624</x:v>
      </x:c>
      <x:c r="E358" s="6">
        <x:v>43480</x:v>
      </x:c>
      <x:c r="F358" s="6">
        <x:v>237280</x:v>
      </x:c>
      <x:c r="G358" s="9">
        <x:v>0.18323</x:v>
      </x:c>
    </x:row>
    <x:row r="359">
      <x:c r="A359" s="5">
        <x:v>2020</x:v>
      </x:c>
      <x:c r="B359" s="15" t="s">
        <x:v>84</x:v>
      </x:c>
      <x:c r="C359" s="15" t="s">
        <x:v>625</x:v>
      </x:c>
      <x:c r="D359" s="15" t="s">
        <x:v>16</x:v>
      </x:c>
      <x:c r="E359" s="6">
        <x:v>76400</x:v>
      </x:c>
      <x:c r="F359" s="6">
        <x:v>540370</x:v>
      </x:c>
      <x:c r="G359" s="9">
        <x:v>0.14138999999999999</x:v>
      </x:c>
    </x:row>
    <x:row r="360">
      <x:c r="A360" s="5">
        <x:v>2020</x:v>
      </x:c>
      <x:c r="B360" s="15" t="s">
        <x:v>84</x:v>
      </x:c>
      <x:c r="C360" s="15" t="s">
        <x:v>626</x:v>
      </x:c>
      <x:c r="D360" s="15" t="s">
        <x:v>627</x:v>
      </x:c>
      <x:c r="E360" s="6">
        <x:v>119880</x:v>
      </x:c>
      <x:c r="F360" s="6">
        <x:v>777650</x:v>
      </x:c>
      <x:c r="G360" s="9">
        <x:v>0.15415999999999999</x:v>
      </x:c>
    </x:row>
    <x:row r="361">
      <x:c r="A361" s="5">
        <x:v>2020</x:v>
      </x:c>
      <x:c r="B361" s="15" t="s">
        <x:v>87</x:v>
      </x:c>
      <x:c r="C361" s="15" t="s">
        <x:v>623</x:v>
      </x:c>
      <x:c r="D361" s="15" t="s">
        <x:v>624</x:v>
      </x:c>
      <x:c r="E361" s="6">
        <x:v>8470</x:v>
      </x:c>
      <x:c r="F361" s="6">
        <x:v>63750</x:v>
      </x:c>
      <x:c r="G361" s="9">
        <x:v>0.13292999999999999</x:v>
      </x:c>
    </x:row>
    <x:row r="362">
      <x:c r="A362" s="5">
        <x:v>2020</x:v>
      </x:c>
      <x:c r="B362" s="15" t="s">
        <x:v>87</x:v>
      </x:c>
      <x:c r="C362" s="15" t="s">
        <x:v>625</x:v>
      </x:c>
      <x:c r="D362" s="15" t="s">
        <x:v>16</x:v>
      </x:c>
      <x:c r="E362" s="6">
        <x:v>22720</x:v>
      </x:c>
      <x:c r="F362" s="6">
        <x:v>225990</x:v>
      </x:c>
      <x:c r="G362" s="9">
        <x:v>0.10052</x:v>
      </x:c>
    </x:row>
    <x:row r="363">
      <x:c r="A363" s="5">
        <x:v>2020</x:v>
      </x:c>
      <x:c r="B363" s="15" t="s">
        <x:v>87</x:v>
      </x:c>
      <x:c r="C363" s="15" t="s">
        <x:v>626</x:v>
      </x:c>
      <x:c r="D363" s="15" t="s">
        <x:v>627</x:v>
      </x:c>
      <x:c r="E363" s="6">
        <x:v>31190</x:v>
      </x:c>
      <x:c r="F363" s="6">
        <x:v>289730</x:v>
      </x:c>
      <x:c r="G363" s="9">
        <x:v>0.10765000000000001</x:v>
      </x:c>
    </x:row>
    <x:row r="364">
      <x:c r="A364" s="5">
        <x:v>2021</x:v>
      </x:c>
      <x:c r="B364" s="15" t="s">
        <x:v>8</x:v>
      </x:c>
      <x:c r="C364" s="15" t="s">
        <x:v>623</x:v>
      </x:c>
      <x:c r="D364" s="15" t="s">
        <x:v>624</x:v>
      </x:c>
      <x:c r="E364" s="6">
        <x:v>710</x:v>
      </x:c>
      <x:c r="F364" s="6">
        <x:v>1837490</x:v>
      </x:c>
      <x:c r="G364" s="9">
        <x:v>3.8999999999999999E-4</x:v>
      </x:c>
    </x:row>
    <x:row r="365">
      <x:c r="A365" s="5">
        <x:v>2021</x:v>
      </x:c>
      <x:c r="B365" s="15" t="s">
        <x:v>8</x:v>
      </x:c>
      <x:c r="C365" s="15" t="s">
        <x:v>625</x:v>
      </x:c>
      <x:c r="D365" s="15" t="s">
        <x:v>16</x:v>
      </x:c>
      <x:c r="E365" s="6">
        <x:v>590</x:v>
      </x:c>
      <x:c r="F365" s="6">
        <x:v>1750930</x:v>
      </x:c>
      <x:c r="G365" s="9">
        <x:v>3.3E-4</x:v>
      </x:c>
    </x:row>
    <x:row r="366">
      <x:c r="A366" s="5">
        <x:v>2021</x:v>
      </x:c>
      <x:c r="B366" s="15" t="s">
        <x:v>8</x:v>
      </x:c>
      <x:c r="C366" s="15" t="s">
        <x:v>626</x:v>
      </x:c>
      <x:c r="D366" s="15" t="s">
        <x:v>627</x:v>
      </x:c>
      <x:c r="E366" s="6">
        <x:v>1300</x:v>
      </x:c>
      <x:c r="F366" s="6">
        <x:v>3588430</x:v>
      </x:c>
      <x:c r="G366" s="9">
        <x:v>3.5999999999999997E-4</x:v>
      </x:c>
    </x:row>
    <x:row r="367">
      <x:c r="A367" s="5">
        <x:v>2021</x:v>
      </x:c>
      <x:c r="B367" s="15" t="s">
        <x:v>12</x:v>
      </x:c>
      <x:c r="C367" s="15" t="s">
        <x:v>623</x:v>
      </x:c>
      <x:c r="D367" s="15" t="s">
        <x:v>624</x:v>
      </x:c>
      <x:c r="E367" s="6">
        <x:v>2810</x:v>
      </x:c>
      <x:c r="F367" s="6">
        <x:v>2012330</x:v>
      </x:c>
      <x:c r="G367" s="9">
        <x:v>1.4000000000000002E-3</x:v>
      </x:c>
    </x:row>
    <x:row r="368">
      <x:c r="A368" s="5">
        <x:v>2021</x:v>
      </x:c>
      <x:c r="B368" s="15" t="s">
        <x:v>12</x:v>
      </x:c>
      <x:c r="C368" s="15" t="s">
        <x:v>625</x:v>
      </x:c>
      <x:c r="D368" s="15" t="s">
        <x:v>16</x:v>
      </x:c>
      <x:c r="E368" s="6">
        <x:v>2550</x:v>
      </x:c>
      <x:c r="F368" s="6">
        <x:v>1922090</x:v>
      </x:c>
      <x:c r="G368" s="9">
        <x:v>1.33E-3</x:v>
      </x:c>
    </x:row>
    <x:row r="369">
      <x:c r="A369" s="5">
        <x:v>2021</x:v>
      </x:c>
      <x:c r="B369" s="15" t="s">
        <x:v>12</x:v>
      </x:c>
      <x:c r="C369" s="15" t="s">
        <x:v>626</x:v>
      </x:c>
      <x:c r="D369" s="15" t="s">
        <x:v>627</x:v>
      </x:c>
      <x:c r="E369" s="6">
        <x:v>5360</x:v>
      </x:c>
      <x:c r="F369" s="6">
        <x:v>3934420</x:v>
      </x:c>
      <x:c r="G369" s="9">
        <x:v>1.3600000000000001E-3</x:v>
      </x:c>
    </x:row>
    <x:row r="370">
      <x:c r="A370" s="5">
        <x:v>2021</x:v>
      </x:c>
      <x:c r="B370" s="15" t="s">
        <x:v>17</x:v>
      </x:c>
      <x:c r="C370" s="15" t="s">
        <x:v>623</x:v>
      </x:c>
      <x:c r="D370" s="15" t="s">
        <x:v>624</x:v>
      </x:c>
      <x:c r="E370" s="6">
        <x:v>5470</x:v>
      </x:c>
      <x:c r="F370" s="6">
        <x:v>2105710</x:v>
      </x:c>
      <x:c r="G370" s="9">
        <x:v>2.5999999999999999E-3</x:v>
      </x:c>
    </x:row>
    <x:row r="371">
      <x:c r="A371" s="5">
        <x:v>2021</x:v>
      </x:c>
      <x:c r="B371" s="15" t="s">
        <x:v>17</x:v>
      </x:c>
      <x:c r="C371" s="15" t="s">
        <x:v>625</x:v>
      </x:c>
      <x:c r="D371" s="15" t="s">
        <x:v>16</x:v>
      </x:c>
      <x:c r="E371" s="6">
        <x:v>5230</x:v>
      </x:c>
      <x:c r="F371" s="6">
        <x:v>2015660</x:v>
      </x:c>
      <x:c r="G371" s="9">
        <x:v>2.5900000000000003E-3</x:v>
      </x:c>
    </x:row>
    <x:row r="372">
      <x:c r="A372" s="5">
        <x:v>2021</x:v>
      </x:c>
      <x:c r="B372" s="15" t="s">
        <x:v>17</x:v>
      </x:c>
      <x:c r="C372" s="15" t="s">
        <x:v>626</x:v>
      </x:c>
      <x:c r="D372" s="15" t="s">
        <x:v>627</x:v>
      </x:c>
      <x:c r="E372" s="6">
        <x:v>10700</x:v>
      </x:c>
      <x:c r="F372" s="6">
        <x:v>4121370</x:v>
      </x:c>
      <x:c r="G372" s="9">
        <x:v>2.5999999999999999E-3</x:v>
      </x:c>
    </x:row>
    <x:row r="373">
      <x:c r="A373" s="5">
        <x:v>2021</x:v>
      </x:c>
      <x:c r="B373" s="15" t="s">
        <x:v>25</x:v>
      </x:c>
      <x:c r="C373" s="15" t="s">
        <x:v>623</x:v>
      </x:c>
      <x:c r="D373" s="15" t="s">
        <x:v>624</x:v>
      </x:c>
      <x:c r="E373" s="6">
        <x:v>7950</x:v>
      </x:c>
      <x:c r="F373" s="6">
        <x:v>2069460</x:v>
      </x:c>
      <x:c r="G373" s="9">
        <x:v>3.8400000000000001E-3</x:v>
      </x:c>
    </x:row>
    <x:row r="374">
      <x:c r="A374" s="5">
        <x:v>2021</x:v>
      </x:c>
      <x:c r="B374" s="15" t="s">
        <x:v>25</x:v>
      </x:c>
      <x:c r="C374" s="15" t="s">
        <x:v>625</x:v>
      </x:c>
      <x:c r="D374" s="15" t="s">
        <x:v>16</x:v>
      </x:c>
      <x:c r="E374" s="6">
        <x:v>7120</x:v>
      </x:c>
      <x:c r="F374" s="6">
        <x:v>1987080</x:v>
      </x:c>
      <x:c r="G374" s="9">
        <x:v>3.5799999999999998E-3</x:v>
      </x:c>
    </x:row>
    <x:row r="375">
      <x:c r="A375" s="5">
        <x:v>2021</x:v>
      </x:c>
      <x:c r="B375" s="15" t="s">
        <x:v>25</x:v>
      </x:c>
      <x:c r="C375" s="15" t="s">
        <x:v>626</x:v>
      </x:c>
      <x:c r="D375" s="15" t="s">
        <x:v>627</x:v>
      </x:c>
      <x:c r="E375" s="6">
        <x:v>15070</x:v>
      </x:c>
      <x:c r="F375" s="6">
        <x:v>4056540</x:v>
      </x:c>
      <x:c r="G375" s="9">
        <x:v>3.7199999999999998E-3</x:v>
      </x:c>
    </x:row>
    <x:row r="376">
      <x:c r="A376" s="5">
        <x:v>2021</x:v>
      </x:c>
      <x:c r="B376" s="15" t="s">
        <x:v>28</x:v>
      </x:c>
      <x:c r="C376" s="15" t="s">
        <x:v>623</x:v>
      </x:c>
      <x:c r="D376" s="15" t="s">
        <x:v>624</x:v>
      </x:c>
      <x:c r="E376" s="6">
        <x:v>9000</x:v>
      </x:c>
      <x:c r="F376" s="6">
        <x:v>2060480</x:v>
      </x:c>
      <x:c r="G376" s="9">
        <x:v>4.3699999999999998E-3</x:v>
      </x:c>
    </x:row>
    <x:row r="377">
      <x:c r="A377" s="5">
        <x:v>2021</x:v>
      </x:c>
      <x:c r="B377" s="15" t="s">
        <x:v>28</x:v>
      </x:c>
      <x:c r="C377" s="15" t="s">
        <x:v>625</x:v>
      </x:c>
      <x:c r="D377" s="15" t="s">
        <x:v>16</x:v>
      </x:c>
      <x:c r="E377" s="6">
        <x:v>9590</x:v>
      </x:c>
      <x:c r="F377" s="6">
        <x:v>2039890</x:v>
      </x:c>
      <x:c r="G377" s="9">
        <x:v>4.6999999999999993E-3</x:v>
      </x:c>
    </x:row>
    <x:row r="378">
      <x:c r="A378" s="5">
        <x:v>2021</x:v>
      </x:c>
      <x:c r="B378" s="15" t="s">
        <x:v>28</x:v>
      </x:c>
      <x:c r="C378" s="15" t="s">
        <x:v>626</x:v>
      </x:c>
      <x:c r="D378" s="15" t="s">
        <x:v>627</x:v>
      </x:c>
      <x:c r="E378" s="6">
        <x:v>18590</x:v>
      </x:c>
      <x:c r="F378" s="6">
        <x:v>4100370</x:v>
      </x:c>
      <x:c r="G378" s="9">
        <x:v>4.5300000000000002E-3</x:v>
      </x:c>
    </x:row>
    <x:row r="379">
      <x:c r="A379" s="5">
        <x:v>2021</x:v>
      </x:c>
      <x:c r="B379" s="15" t="s">
        <x:v>32</x:v>
      </x:c>
      <x:c r="C379" s="15" t="s">
        <x:v>623</x:v>
      </x:c>
      <x:c r="D379" s="15" t="s">
        <x:v>624</x:v>
      </x:c>
      <x:c r="E379" s="6">
        <x:v>11060</x:v>
      </x:c>
      <x:c r="F379" s="6">
        <x:v>2024380</x:v>
      </x:c>
      <x:c r="G379" s="9">
        <x:v>5.4600000000000004E-3</x:v>
      </x:c>
    </x:row>
    <x:row r="380">
      <x:c r="A380" s="5">
        <x:v>2021</x:v>
      </x:c>
      <x:c r="B380" s="15" t="s">
        <x:v>32</x:v>
      </x:c>
      <x:c r="C380" s="15" t="s">
        <x:v>625</x:v>
      </x:c>
      <x:c r="D380" s="15" t="s">
        <x:v>16</x:v>
      </x:c>
      <x:c r="E380" s="6">
        <x:v>13800</x:v>
      </x:c>
      <x:c r="F380" s="6">
        <x:v>2042740</x:v>
      </x:c>
      <x:c r="G380" s="9">
        <x:v>6.7500000000000008E-3</x:v>
      </x:c>
    </x:row>
    <x:row r="381">
      <x:c r="A381" s="5">
        <x:v>2021</x:v>
      </x:c>
      <x:c r="B381" s="15" t="s">
        <x:v>32</x:v>
      </x:c>
      <x:c r="C381" s="15" t="s">
        <x:v>626</x:v>
      </x:c>
      <x:c r="D381" s="15" t="s">
        <x:v>627</x:v>
      </x:c>
      <x:c r="E381" s="6">
        <x:v>24860</x:v>
      </x:c>
      <x:c r="F381" s="6">
        <x:v>4067130</x:v>
      </x:c>
      <x:c r="G381" s="9">
        <x:v>6.11E-3</x:v>
      </x:c>
    </x:row>
    <x:row r="382">
      <x:c r="A382" s="5">
        <x:v>2021</x:v>
      </x:c>
      <x:c r="B382" s="15" t="s">
        <x:v>36</x:v>
      </x:c>
      <x:c r="C382" s="15" t="s">
        <x:v>623</x:v>
      </x:c>
      <x:c r="D382" s="15" t="s">
        <x:v>624</x:v>
      </x:c>
      <x:c r="E382" s="6">
        <x:v>17020</x:v>
      </x:c>
      <x:c r="F382" s="6">
        <x:v>2124980</x:v>
      </x:c>
      <x:c r="G382" s="9">
        <x:v>8.0099999999999998E-3</x:v>
      </x:c>
    </x:row>
    <x:row r="383">
      <x:c r="A383" s="5">
        <x:v>2021</x:v>
      </x:c>
      <x:c r="B383" s="15" t="s">
        <x:v>36</x:v>
      </x:c>
      <x:c r="C383" s="15" t="s">
        <x:v>625</x:v>
      </x:c>
      <x:c r="D383" s="15" t="s">
        <x:v>16</x:v>
      </x:c>
      <x:c r="E383" s="6">
        <x:v>21590</x:v>
      </x:c>
      <x:c r="F383" s="6">
        <x:v>2181060</x:v>
      </x:c>
      <x:c r="G383" s="9">
        <x:v>9.8999999999999991E-3</x:v>
      </x:c>
    </x:row>
    <x:row r="384">
      <x:c r="A384" s="5">
        <x:v>2021</x:v>
      </x:c>
      <x:c r="B384" s="15" t="s">
        <x:v>36</x:v>
      </x:c>
      <x:c r="C384" s="15" t="s">
        <x:v>626</x:v>
      </x:c>
      <x:c r="D384" s="15" t="s">
        <x:v>627</x:v>
      </x:c>
      <x:c r="E384" s="6">
        <x:v>38610</x:v>
      </x:c>
      <x:c r="F384" s="6">
        <x:v>4306040</x:v>
      </x:c>
      <x:c r="G384" s="9">
        <x:v>8.9700000000000005E-3</x:v>
      </x:c>
    </x:row>
    <x:row r="385">
      <x:c r="A385" s="5">
        <x:v>2021</x:v>
      </x:c>
      <x:c r="B385" s="15" t="s">
        <x:v>40</x:v>
      </x:c>
      <x:c r="C385" s="15" t="s">
        <x:v>623</x:v>
      </x:c>
      <x:c r="D385" s="15" t="s">
        <x:v>624</x:v>
      </x:c>
      <x:c r="E385" s="6">
        <x:v>28200</x:v>
      </x:c>
      <x:c r="F385" s="6">
        <x:v>2127130</x:v>
      </x:c>
      <x:c r="G385" s="9">
        <x:v>1.3260000000000001E-2</x:v>
      </x:c>
    </x:row>
    <x:row r="386">
      <x:c r="A386" s="5">
        <x:v>2021</x:v>
      </x:c>
      <x:c r="B386" s="15" t="s">
        <x:v>40</x:v>
      </x:c>
      <x:c r="C386" s="15" t="s">
        <x:v>625</x:v>
      </x:c>
      <x:c r="D386" s="15" t="s">
        <x:v>16</x:v>
      </x:c>
      <x:c r="E386" s="6">
        <x:v>30710</x:v>
      </x:c>
      <x:c r="F386" s="6">
        <x:v>2203260</x:v>
      </x:c>
      <x:c r="G386" s="9">
        <x:v>1.3939999999999999E-2</x:v>
      </x:c>
    </x:row>
    <x:row r="387">
      <x:c r="A387" s="5">
        <x:v>2021</x:v>
      </x:c>
      <x:c r="B387" s="15" t="s">
        <x:v>40</x:v>
      </x:c>
      <x:c r="C387" s="15" t="s">
        <x:v>626</x:v>
      </x:c>
      <x:c r="D387" s="15" t="s">
        <x:v>627</x:v>
      </x:c>
      <x:c r="E387" s="6">
        <x:v>58910</x:v>
      </x:c>
      <x:c r="F387" s="6">
        <x:v>4330390</x:v>
      </x:c>
      <x:c r="G387" s="9">
        <x:v>1.3600000000000001E-2</x:v>
      </x:c>
    </x:row>
    <x:row r="388">
      <x:c r="A388" s="5">
        <x:v>2021</x:v>
      </x:c>
      <x:c r="B388" s="15" t="s">
        <x:v>44</x:v>
      </x:c>
      <x:c r="C388" s="15" t="s">
        <x:v>623</x:v>
      </x:c>
      <x:c r="D388" s="15" t="s">
        <x:v>624</x:v>
      </x:c>
      <x:c r="E388" s="6">
        <x:v>48780</x:v>
      </x:c>
      <x:c r="F388" s="6">
        <x:v>2121320</x:v>
      </x:c>
      <x:c r="G388" s="9">
        <x:v>2.299E-2</x:v>
      </x:c>
    </x:row>
    <x:row r="389">
      <x:c r="A389" s="5">
        <x:v>2021</x:v>
      </x:c>
      <x:c r="B389" s="15" t="s">
        <x:v>44</x:v>
      </x:c>
      <x:c r="C389" s="15" t="s">
        <x:v>625</x:v>
      </x:c>
      <x:c r="D389" s="15" t="s">
        <x:v>16</x:v>
      </x:c>
      <x:c r="E389" s="6">
        <x:v>41870</x:v>
      </x:c>
      <x:c r="F389" s="6">
        <x:v>2178820</x:v>
      </x:c>
      <x:c r="G389" s="9">
        <x:v>1.9220000000000001E-2</x:v>
      </x:c>
    </x:row>
    <x:row r="390">
      <x:c r="A390" s="5">
        <x:v>2021</x:v>
      </x:c>
      <x:c r="B390" s="15" t="s">
        <x:v>44</x:v>
      </x:c>
      <x:c r="C390" s="15" t="s">
        <x:v>626</x:v>
      </x:c>
      <x:c r="D390" s="15" t="s">
        <x:v>627</x:v>
      </x:c>
      <x:c r="E390" s="6">
        <x:v>90650</x:v>
      </x:c>
      <x:c r="F390" s="6">
        <x:v>4300140</x:v>
      </x:c>
      <x:c r="G390" s="9">
        <x:v>2.1080000000000002E-2</x:v>
      </x:c>
    </x:row>
    <x:row r="391">
      <x:c r="A391" s="5">
        <x:v>2021</x:v>
      </x:c>
      <x:c r="B391" s="15" t="s">
        <x:v>48</x:v>
      </x:c>
      <x:c r="C391" s="15" t="s">
        <x:v>623</x:v>
      </x:c>
      <x:c r="D391" s="15" t="s">
        <x:v>624</x:v>
      </x:c>
      <x:c r="E391" s="6">
        <x:v>85910</x:v>
      </x:c>
      <x:c r="F391" s="6">
        <x:v>2170900</x:v>
      </x:c>
      <x:c r="G391" s="9">
        <x:v>3.9570000000000001E-2</x:v>
      </x:c>
    </x:row>
    <x:row r="392">
      <x:c r="A392" s="5">
        <x:v>2021</x:v>
      </x:c>
      <x:c r="B392" s="15" t="s">
        <x:v>48</x:v>
      </x:c>
      <x:c r="C392" s="15" t="s">
        <x:v>625</x:v>
      </x:c>
      <x:c r="D392" s="15" t="s">
        <x:v>16</x:v>
      </x:c>
      <x:c r="E392" s="6">
        <x:v>64080</x:v>
      </x:c>
      <x:c r="F392" s="6">
        <x:v>2196380</x:v>
      </x:c>
      <x:c r="G392" s="9">
        <x:v>2.9169999999999998E-2</x:v>
      </x:c>
    </x:row>
    <x:row r="393">
      <x:c r="A393" s="5">
        <x:v>2021</x:v>
      </x:c>
      <x:c r="B393" s="15" t="s">
        <x:v>48</x:v>
      </x:c>
      <x:c r="C393" s="15" t="s">
        <x:v>626</x:v>
      </x:c>
      <x:c r="D393" s="15" t="s">
        <x:v>627</x:v>
      </x:c>
      <x:c r="E393" s="6">
        <x:v>149980</x:v>
      </x:c>
      <x:c r="F393" s="6">
        <x:v>4367270</x:v>
      </x:c>
      <x:c r="G393" s="9">
        <x:v>3.4340000000000002E-2</x:v>
      </x:c>
    </x:row>
    <x:row r="394">
      <x:c r="A394" s="5">
        <x:v>2021</x:v>
      </x:c>
      <x:c r="B394" s="15" t="s">
        <x:v>52</x:v>
      </x:c>
      <x:c r="C394" s="15" t="s">
        <x:v>623</x:v>
      </x:c>
      <x:c r="D394" s="15" t="s">
        <x:v>624</x:v>
      </x:c>
      <x:c r="E394" s="6">
        <x:v>142630</x:v>
      </x:c>
      <x:c r="F394" s="6">
        <x:v>2224990</x:v>
      </x:c>
      <x:c r="G394" s="9">
        <x:v>6.4100000000000004E-2</x:v>
      </x:c>
    </x:row>
    <x:row r="395">
      <x:c r="A395" s="5">
        <x:v>2021</x:v>
      </x:c>
      <x:c r="B395" s="15" t="s">
        <x:v>52</x:v>
      </x:c>
      <x:c r="C395" s="15" t="s">
        <x:v>625</x:v>
      </x:c>
      <x:c r="D395" s="15" t="s">
        <x:v>16</x:v>
      </x:c>
      <x:c r="E395" s="6">
        <x:v>103490</x:v>
      </x:c>
      <x:c r="F395" s="6">
        <x:v>2268130</x:v>
      </x:c>
      <x:c r="G395" s="9">
        <x:v>4.5629999999999997E-2</x:v>
      </x:c>
    </x:row>
    <x:row r="396">
      <x:c r="A396" s="5">
        <x:v>2021</x:v>
      </x:c>
      <x:c r="B396" s="15" t="s">
        <x:v>52</x:v>
      </x:c>
      <x:c r="C396" s="15" t="s">
        <x:v>626</x:v>
      </x:c>
      <x:c r="D396" s="15" t="s">
        <x:v>627</x:v>
      </x:c>
      <x:c r="E396" s="6">
        <x:v>246110</x:v>
      </x:c>
      <x:c r="F396" s="6">
        <x:v>4493110</x:v>
      </x:c>
      <x:c r="G396" s="9">
        <x:v>5.4779999999999995E-2</x:v>
      </x:c>
    </x:row>
    <x:row r="397">
      <x:c r="A397" s="5">
        <x:v>2021</x:v>
      </x:c>
      <x:c r="B397" s="15" t="s">
        <x:v>56</x:v>
      </x:c>
      <x:c r="C397" s="15" t="s">
        <x:v>623</x:v>
      </x:c>
      <x:c r="D397" s="15" t="s">
        <x:v>624</x:v>
      </x:c>
      <x:c r="E397" s="6">
        <x:v>219720</x:v>
      </x:c>
      <x:c r="F397" s="6">
        <x:v>2180600</x:v>
      </x:c>
      <x:c r="G397" s="9">
        <x:v>0.10076</x:v>
      </x:c>
    </x:row>
    <x:row r="398">
      <x:c r="A398" s="5">
        <x:v>2021</x:v>
      </x:c>
      <x:c r="B398" s="15" t="s">
        <x:v>56</x:v>
      </x:c>
      <x:c r="C398" s="15" t="s">
        <x:v>625</x:v>
      </x:c>
      <x:c r="D398" s="15" t="s">
        <x:v>16</x:v>
      </x:c>
      <x:c r="E398" s="6">
        <x:v>155070</x:v>
      </x:c>
      <x:c r="F398" s="6">
        <x:v>2258140</x:v>
      </x:c>
      <x:c r="G398" s="9">
        <x:v>6.8669999999999995E-2</x:v>
      </x:c>
    </x:row>
    <x:row r="399">
      <x:c r="A399" s="5">
        <x:v>2021</x:v>
      </x:c>
      <x:c r="B399" s="15" t="s">
        <x:v>56</x:v>
      </x:c>
      <x:c r="C399" s="15" t="s">
        <x:v>626</x:v>
      </x:c>
      <x:c r="D399" s="15" t="s">
        <x:v>627</x:v>
      </x:c>
      <x:c r="E399" s="6">
        <x:v>374790</x:v>
      </x:c>
      <x:c r="F399" s="6">
        <x:v>4438740</x:v>
      </x:c>
      <x:c r="G399" s="9">
        <x:v>8.4440000000000015E-2</x:v>
      </x:c>
    </x:row>
    <x:row r="400">
      <x:c r="A400" s="5">
        <x:v>2021</x:v>
      </x:c>
      <x:c r="B400" s="15" t="s">
        <x:v>60</x:v>
      </x:c>
      <x:c r="C400" s="15" t="s">
        <x:v>623</x:v>
      </x:c>
      <x:c r="D400" s="15" t="s">
        <x:v>624</x:v>
      </x:c>
      <x:c r="E400" s="6">
        <x:v>295570</x:v>
      </x:c>
      <x:c r="F400" s="6">
        <x:v>2000530</x:v>
      </x:c>
      <x:c r="G400" s="9">
        <x:v>0.14774999999999999</x:v>
      </x:c>
    </x:row>
    <x:row r="401">
      <x:c r="A401" s="5">
        <x:v>2021</x:v>
      </x:c>
      <x:c r="B401" s="15" t="s">
        <x:v>60</x:v>
      </x:c>
      <x:c r="C401" s="15" t="s">
        <x:v>625</x:v>
      </x:c>
      <x:c r="D401" s="15" t="s">
        <x:v>16</x:v>
      </x:c>
      <x:c r="E401" s="6">
        <x:v>205930</x:v>
      </x:c>
      <x:c r="F401" s="6">
        <x:v>2138460</x:v>
      </x:c>
      <x:c r="G401" s="9">
        <x:v>9.6300000000000011E-2</x:v>
      </x:c>
    </x:row>
    <x:row r="402">
      <x:c r="A402" s="5">
        <x:v>2021</x:v>
      </x:c>
      <x:c r="B402" s="15" t="s">
        <x:v>60</x:v>
      </x:c>
      <x:c r="C402" s="15" t="s">
        <x:v>626</x:v>
      </x:c>
      <x:c r="D402" s="15" t="s">
        <x:v>627</x:v>
      </x:c>
      <x:c r="E402" s="6">
        <x:v>501500</x:v>
      </x:c>
      <x:c r="F402" s="6">
        <x:v>4138990</x:v>
      </x:c>
      <x:c r="G402" s="9">
        <x:v>0.12117000000000001</x:v>
      </x:c>
    </x:row>
    <x:row r="403">
      <x:c r="A403" s="5">
        <x:v>2021</x:v>
      </x:c>
      <x:c r="B403" s="15" t="s">
        <x:v>64</x:v>
      </x:c>
      <x:c r="C403" s="15" t="s">
        <x:v>623</x:v>
      </x:c>
      <x:c r="D403" s="15" t="s">
        <x:v>624</x:v>
      </x:c>
      <x:c r="E403" s="6">
        <x:v>357300</x:v>
      </x:c>
      <x:c r="F403" s="6">
        <x:v>1826390</x:v>
      </x:c>
      <x:c r="G403" s="9">
        <x:v>0.19563</x:v>
      </x:c>
    </x:row>
    <x:row r="404">
      <x:c r="A404" s="5">
        <x:v>2021</x:v>
      </x:c>
      <x:c r="B404" s="15" t="s">
        <x:v>64</x:v>
      </x:c>
      <x:c r="C404" s="15" t="s">
        <x:v>625</x:v>
      </x:c>
      <x:c r="D404" s="15" t="s">
        <x:v>16</x:v>
      </x:c>
      <x:c r="E404" s="6">
        <x:v>254790</x:v>
      </x:c>
      <x:c r="F404" s="6">
        <x:v>2026940</x:v>
      </x:c>
      <x:c r="G404" s="9">
        <x:v>0.12570000000000001</x:v>
      </x:c>
    </x:row>
    <x:row r="405">
      <x:c r="A405" s="5">
        <x:v>2021</x:v>
      </x:c>
      <x:c r="B405" s="15" t="s">
        <x:v>64</x:v>
      </x:c>
      <x:c r="C405" s="15" t="s">
        <x:v>626</x:v>
      </x:c>
      <x:c r="D405" s="15" t="s">
        <x:v>627</x:v>
      </x:c>
      <x:c r="E405" s="6">
        <x:v>612090</x:v>
      </x:c>
      <x:c r="F405" s="6">
        <x:v>3853330</x:v>
      </x:c>
      <x:c r="G405" s="9">
        <x:v>0.15884999999999999</x:v>
      </x:c>
    </x:row>
    <x:row r="406">
      <x:c r="A406" s="5">
        <x:v>2021</x:v>
      </x:c>
      <x:c r="B406" s="15" t="s">
        <x:v>68</x:v>
      </x:c>
      <x:c r="C406" s="15" t="s">
        <x:v>623</x:v>
      </x:c>
      <x:c r="D406" s="15" t="s">
        <x:v>624</x:v>
      </x:c>
      <x:c r="E406" s="6">
        <x:v>395210</x:v>
      </x:c>
      <x:c r="F406" s="6">
        <x:v>1720350</x:v>
      </x:c>
      <x:c r="G406" s="9">
        <x:v>0.22972999999999999</x:v>
      </x:c>
    </x:row>
    <x:row r="407">
      <x:c r="A407" s="5">
        <x:v>2021</x:v>
      </x:c>
      <x:c r="B407" s="15" t="s">
        <x:v>68</x:v>
      </x:c>
      <x:c r="C407" s="15" t="s">
        <x:v>625</x:v>
      </x:c>
      <x:c r="D407" s="15" t="s">
        <x:v>16</x:v>
      </x:c>
      <x:c r="E407" s="6">
        <x:v>282970</x:v>
      </x:c>
      <x:c r="F407" s="6">
        <x:v>1952380</x:v>
      </x:c>
      <x:c r="G407" s="9">
        <x:v>0.14493999999999999</x:v>
      </x:c>
    </x:row>
    <x:row r="408">
      <x:c r="A408" s="5">
        <x:v>2021</x:v>
      </x:c>
      <x:c r="B408" s="15" t="s">
        <x:v>68</x:v>
      </x:c>
      <x:c r="C408" s="15" t="s">
        <x:v>626</x:v>
      </x:c>
      <x:c r="D408" s="15" t="s">
        <x:v>627</x:v>
      </x:c>
      <x:c r="E408" s="6">
        <x:v>678190</x:v>
      </x:c>
      <x:c r="F408" s="6">
        <x:v>3672730</x:v>
      </x:c>
      <x:c r="G408" s="9">
        <x:v>0.18465000000000001</x:v>
      </x:c>
    </x:row>
    <x:row r="409">
      <x:c r="A409" s="5">
        <x:v>2021</x:v>
      </x:c>
      <x:c r="B409" s="15" t="s">
        <x:v>72</x:v>
      </x:c>
      <x:c r="C409" s="15" t="s">
        <x:v>623</x:v>
      </x:c>
      <x:c r="D409" s="15" t="s">
        <x:v>624</x:v>
      </x:c>
      <x:c r="E409" s="6">
        <x:v>286220</x:v>
      </x:c>
      <x:c r="F409" s="6">
        <x:v>1145450</x:v>
      </x:c>
      <x:c r="G409" s="9">
        <x:v>0.24986999999999998</x:v>
      </x:c>
    </x:row>
    <x:row r="410">
      <x:c r="A410" s="5">
        <x:v>2021</x:v>
      </x:c>
      <x:c r="B410" s="15" t="s">
        <x:v>72</x:v>
      </x:c>
      <x:c r="C410" s="15" t="s">
        <x:v>625</x:v>
      </x:c>
      <x:c r="D410" s="15" t="s">
        <x:v>16</x:v>
      </x:c>
      <x:c r="E410" s="6">
        <x:v>228540</x:v>
      </x:c>
      <x:c r="F410" s="6">
        <x:v>1363470</x:v>
      </x:c>
      <x:c r="G410" s="9">
        <x:v>0.16760999999999998</x:v>
      </x:c>
    </x:row>
    <x:row r="411">
      <x:c r="A411" s="5">
        <x:v>2021</x:v>
      </x:c>
      <x:c r="B411" s="15" t="s">
        <x:v>72</x:v>
      </x:c>
      <x:c r="C411" s="15" t="s">
        <x:v>626</x:v>
      </x:c>
      <x:c r="D411" s="15" t="s">
        <x:v>627</x:v>
      </x:c>
      <x:c r="E411" s="6">
        <x:v>514750</x:v>
      </x:c>
      <x:c r="F411" s="6">
        <x:v>2508920</x:v>
      </x:c>
      <x:c r="G411" s="9">
        <x:v>0.20516999999999999</x:v>
      </x:c>
    </x:row>
    <x:row r="412">
      <x:c r="A412" s="5">
        <x:v>2021</x:v>
      </x:c>
      <x:c r="B412" s="15" t="s">
        <x:v>76</x:v>
      </x:c>
      <x:c r="C412" s="15" t="s">
        <x:v>623</x:v>
      </x:c>
      <x:c r="D412" s="15" t="s">
        <x:v>624</x:v>
      </x:c>
      <x:c r="E412" s="6">
        <x:v>189920</x:v>
      </x:c>
      <x:c r="F412" s="6">
        <x:v>776830</x:v>
      </x:c>
      <x:c r="G412" s="9">
        <x:v>0.24448</x:v>
      </x:c>
    </x:row>
    <x:row r="413">
      <x:c r="A413" s="5">
        <x:v>2021</x:v>
      </x:c>
      <x:c r="B413" s="15" t="s">
        <x:v>76</x:v>
      </x:c>
      <x:c r="C413" s="15" t="s">
        <x:v>625</x:v>
      </x:c>
      <x:c r="D413" s="15" t="s">
        <x:v>16</x:v>
      </x:c>
      <x:c r="E413" s="6">
        <x:v>182700</x:v>
      </x:c>
      <x:c r="F413" s="6">
        <x:v>1046240</x:v>
      </x:c>
      <x:c r="G413" s="9">
        <x:v>0.17463000000000001</x:v>
      </x:c>
    </x:row>
    <x:row r="414">
      <x:c r="A414" s="5">
        <x:v>2021</x:v>
      </x:c>
      <x:c r="B414" s="15" t="s">
        <x:v>76</x:v>
      </x:c>
      <x:c r="C414" s="15" t="s">
        <x:v>626</x:v>
      </x:c>
      <x:c r="D414" s="15" t="s">
        <x:v>627</x:v>
      </x:c>
      <x:c r="E414" s="6">
        <x:v>372620</x:v>
      </x:c>
      <x:c r="F414" s="6">
        <x:v>1823080</x:v>
      </x:c>
      <x:c r="G414" s="9">
        <x:v>0.20438999999999999</x:v>
      </x:c>
    </x:row>
    <x:row r="415">
      <x:c r="A415" s="5">
        <x:v>2021</x:v>
      </x:c>
      <x:c r="B415" s="15" t="s">
        <x:v>80</x:v>
      </x:c>
      <x:c r="C415" s="15" t="s">
        <x:v>623</x:v>
      </x:c>
      <x:c r="D415" s="15" t="s">
        <x:v>624</x:v>
      </x:c>
      <x:c r="E415" s="6">
        <x:v>121750</x:v>
      </x:c>
      <x:c r="F415" s="6">
        <x:v>536090</x:v>
      </x:c>
      <x:c r="G415" s="9">
        <x:v>0.22710999999999998</x:v>
      </x:c>
    </x:row>
    <x:row r="416">
      <x:c r="A416" s="5">
        <x:v>2021</x:v>
      </x:c>
      <x:c r="B416" s="15" t="s">
        <x:v>80</x:v>
      </x:c>
      <x:c r="C416" s="15" t="s">
        <x:v>625</x:v>
      </x:c>
      <x:c r="D416" s="15" t="s">
        <x:v>16</x:v>
      </x:c>
      <x:c r="E416" s="6">
        <x:v>152020</x:v>
      </x:c>
      <x:c r="F416" s="6">
        <x:v>891770</x:v>
      </x:c>
      <x:c r="G416" s="9">
        <x:v>0.17047000000000001</x:v>
      </x:c>
    </x:row>
    <x:row r="417">
      <x:c r="A417" s="5">
        <x:v>2021</x:v>
      </x:c>
      <x:c r="B417" s="15" t="s">
        <x:v>80</x:v>
      </x:c>
      <x:c r="C417" s="15" t="s">
        <x:v>626</x:v>
      </x:c>
      <x:c r="D417" s="15" t="s">
        <x:v>627</x:v>
      </x:c>
      <x:c r="E417" s="6">
        <x:v>273770</x:v>
      </x:c>
      <x:c r="F417" s="6">
        <x:v>1427860</x:v>
      </x:c>
      <x:c r="G417" s="9">
        <x:v>0.19172999999999998</x:v>
      </x:c>
    </x:row>
    <x:row r="418">
      <x:c r="A418" s="5">
        <x:v>2021</x:v>
      </x:c>
      <x:c r="B418" s="15" t="s">
        <x:v>84</x:v>
      </x:c>
      <x:c r="C418" s="15" t="s">
        <x:v>623</x:v>
      </x:c>
      <x:c r="D418" s="15" t="s">
        <x:v>624</x:v>
      </x:c>
      <x:c r="E418" s="6">
        <x:v>45790</x:v>
      </x:c>
      <x:c r="F418" s="6">
        <x:v>242970</x:v>
      </x:c>
      <x:c r="G418" s="9">
        <x:v>0.18845999999999999</x:v>
      </x:c>
    </x:row>
    <x:row r="419">
      <x:c r="A419" s="5">
        <x:v>2021</x:v>
      </x:c>
      <x:c r="B419" s="15" t="s">
        <x:v>84</x:v>
      </x:c>
      <x:c r="C419" s="15" t="s">
        <x:v>625</x:v>
      </x:c>
      <x:c r="D419" s="15" t="s">
        <x:v>16</x:v>
      </x:c>
      <x:c r="E419" s="6">
        <x:v>79370</x:v>
      </x:c>
      <x:c r="F419" s="6">
        <x:v>547050</x:v>
      </x:c>
      <x:c r="G419" s="9">
        <x:v>0.14507999999999999</x:v>
      </x:c>
    </x:row>
    <x:row r="420">
      <x:c r="A420" s="5">
        <x:v>2021</x:v>
      </x:c>
      <x:c r="B420" s="15" t="s">
        <x:v>84</x:v>
      </x:c>
      <x:c r="C420" s="15" t="s">
        <x:v>626</x:v>
      </x:c>
      <x:c r="D420" s="15" t="s">
        <x:v>627</x:v>
      </x:c>
      <x:c r="E420" s="6">
        <x:v>125150</x:v>
      </x:c>
      <x:c r="F420" s="6">
        <x:v>790020</x:v>
      </x:c>
      <x:c r="G420" s="9">
        <x:v>0.15842000000000001</x:v>
      </x:c>
    </x:row>
    <x:row r="421">
      <x:c r="A421" s="5">
        <x:v>2021</x:v>
      </x:c>
      <x:c r="B421" s="15" t="s">
        <x:v>87</x:v>
      </x:c>
      <x:c r="C421" s="15" t="s">
        <x:v>623</x:v>
      </x:c>
      <x:c r="D421" s="15" t="s">
        <x:v>624</x:v>
      </x:c>
      <x:c r="E421" s="6">
        <x:v>8800</x:v>
      </x:c>
      <x:c r="F421" s="6">
        <x:v>64880</x:v>
      </x:c>
      <x:c r="G421" s="9">
        <x:v>0.13555</x:v>
      </x:c>
    </x:row>
    <x:row r="422">
      <x:c r="A422" s="5">
        <x:v>2021</x:v>
      </x:c>
      <x:c r="B422" s="15" t="s">
        <x:v>87</x:v>
      </x:c>
      <x:c r="C422" s="15" t="s">
        <x:v>625</x:v>
      </x:c>
      <x:c r="D422" s="15" t="s">
        <x:v>16</x:v>
      </x:c>
      <x:c r="E422" s="6">
        <x:v>23860</x:v>
      </x:c>
      <x:c r="F422" s="6">
        <x:v>232010</x:v>
      </x:c>
      <x:c r="G422" s="9">
        <x:v>0.10285999999999999</x:v>
      </x:c>
    </x:row>
    <x:row r="423">
      <x:c r="A423" s="5">
        <x:v>2021</x:v>
      </x:c>
      <x:c r="B423" s="15" t="s">
        <x:v>87</x:v>
      </x:c>
      <x:c r="C423" s="15" t="s">
        <x:v>626</x:v>
      </x:c>
      <x:c r="D423" s="15" t="s">
        <x:v>627</x:v>
      </x:c>
      <x:c r="E423" s="6">
        <x:v>32660</x:v>
      </x:c>
      <x:c r="F423" s="6">
        <x:v>296890</x:v>
      </x:c>
      <x:c r="G423" s="9">
        <x:v>0.11</x:v>
      </x:c>
    </x:row>
    <x:row r="424">
      <x:c r="A424" s="5">
        <x:v>2022</x:v>
      </x:c>
      <x:c r="B424" s="15" t="s">
        <x:v>8</x:v>
      </x:c>
      <x:c r="C424" s="15" t="s">
        <x:v>623</x:v>
      </x:c>
      <x:c r="D424" s="15" t="s">
        <x:v>624</x:v>
      </x:c>
      <x:c r="E424" s="6">
        <x:v>780</x:v>
      </x:c>
      <x:c r="F424" s="6">
        <x:v>1831730</x:v>
      </x:c>
      <x:c r="G424" s="9">
        <x:v>4.2000000000000002E-4</x:v>
      </x:c>
    </x:row>
    <x:row r="425">
      <x:c r="A425" s="5">
        <x:v>2022</x:v>
      </x:c>
      <x:c r="B425" s="15" t="s">
        <x:v>8</x:v>
      </x:c>
      <x:c r="C425" s="15" t="s">
        <x:v>625</x:v>
      </x:c>
      <x:c r="D425" s="15" t="s">
        <x:v>16</x:v>
      </x:c>
      <x:c r="E425" s="6">
        <x:v>600</x:v>
      </x:c>
      <x:c r="F425" s="6">
        <x:v>1747110</x:v>
      </x:c>
      <x:c r="G425" s="9">
        <x:v>3.4000000000000002E-4</x:v>
      </x:c>
    </x:row>
    <x:row r="426">
      <x:c r="A426" s="5">
        <x:v>2022</x:v>
      </x:c>
      <x:c r="B426" s="15" t="s">
        <x:v>8</x:v>
      </x:c>
      <x:c r="C426" s="15" t="s">
        <x:v>626</x:v>
      </x:c>
      <x:c r="D426" s="15" t="s">
        <x:v>627</x:v>
      </x:c>
      <x:c r="E426" s="6">
        <x:v>1370</x:v>
      </x:c>
      <x:c r="F426" s="6">
        <x:v>3578830</x:v>
      </x:c>
      <x:c r="G426" s="9">
        <x:v>3.7999999999999997E-4</x:v>
      </x:c>
    </x:row>
    <x:row r="427">
      <x:c r="A427" s="5">
        <x:v>2022</x:v>
      </x:c>
      <x:c r="B427" s="15" t="s">
        <x:v>12</x:v>
      </x:c>
      <x:c r="C427" s="15" t="s">
        <x:v>623</x:v>
      </x:c>
      <x:c r="D427" s="15" t="s">
        <x:v>624</x:v>
      </x:c>
      <x:c r="E427" s="6">
        <x:v>2930</x:v>
      </x:c>
      <x:c r="F427" s="6">
        <x:v>2009020</x:v>
      </x:c>
      <x:c r="G427" s="9">
        <x:v>1.4599999999999999E-3</x:v>
      </x:c>
    </x:row>
    <x:row r="428">
      <x:c r="A428" s="5">
        <x:v>2022</x:v>
      </x:c>
      <x:c r="B428" s="15" t="s">
        <x:v>12</x:v>
      </x:c>
      <x:c r="C428" s="15" t="s">
        <x:v>625</x:v>
      </x:c>
      <x:c r="D428" s="15" t="s">
        <x:v>16</x:v>
      </x:c>
      <x:c r="E428" s="6">
        <x:v>2730</x:v>
      </x:c>
      <x:c r="F428" s="6">
        <x:v>1921370</x:v>
      </x:c>
      <x:c r="G428" s="9">
        <x:v>1.4199999999999998E-3</x:v>
      </x:c>
    </x:row>
    <x:row r="429">
      <x:c r="A429" s="5">
        <x:v>2022</x:v>
      </x:c>
      <x:c r="B429" s="15" t="s">
        <x:v>12</x:v>
      </x:c>
      <x:c r="C429" s="15" t="s">
        <x:v>626</x:v>
      </x:c>
      <x:c r="D429" s="15" t="s">
        <x:v>627</x:v>
      </x:c>
      <x:c r="E429" s="6">
        <x:v>5660</x:v>
      </x:c>
      <x:c r="F429" s="6">
        <x:v>3930390</x:v>
      </x:c>
      <x:c r="G429" s="9">
        <x:v>1.4399999999999999E-3</x:v>
      </x:c>
    </x:row>
    <x:row r="430">
      <x:c r="A430" s="5">
        <x:v>2022</x:v>
      </x:c>
      <x:c r="B430" s="15" t="s">
        <x:v>17</x:v>
      </x:c>
      <x:c r="C430" s="15" t="s">
        <x:v>623</x:v>
      </x:c>
      <x:c r="D430" s="15" t="s">
        <x:v>624</x:v>
      </x:c>
      <x:c r="E430" s="6">
        <x:v>5620</x:v>
      </x:c>
      <x:c r="F430" s="6">
        <x:v>2132170</x:v>
      </x:c>
      <x:c r="G430" s="9">
        <x:v>2.63E-3</x:v>
      </x:c>
    </x:row>
    <x:row r="431">
      <x:c r="A431" s="5">
        <x:v>2022</x:v>
      </x:c>
      <x:c r="B431" s="15" t="s">
        <x:v>17</x:v>
      </x:c>
      <x:c r="C431" s="15" t="s">
        <x:v>625</x:v>
      </x:c>
      <x:c r="D431" s="15" t="s">
        <x:v>16</x:v>
      </x:c>
      <x:c r="E431" s="6">
        <x:v>5380</x:v>
      </x:c>
      <x:c r="F431" s="6">
        <x:v>2039030</x:v>
      </x:c>
      <x:c r="G431" s="9">
        <x:v>2.64E-3</x:v>
      </x:c>
    </x:row>
    <x:row r="432">
      <x:c r="A432" s="5">
        <x:v>2022</x:v>
      </x:c>
      <x:c r="B432" s="15" t="s">
        <x:v>17</x:v>
      </x:c>
      <x:c r="C432" s="15" t="s">
        <x:v>626</x:v>
      </x:c>
      <x:c r="D432" s="15" t="s">
        <x:v>627</x:v>
      </x:c>
      <x:c r="E432" s="6">
        <x:v>11000</x:v>
      </x:c>
      <x:c r="F432" s="6">
        <x:v>4171200</x:v>
      </x:c>
      <x:c r="G432" s="9">
        <x:v>2.64E-3</x:v>
      </x:c>
    </x:row>
    <x:row r="433">
      <x:c r="A433" s="5">
        <x:v>2022</x:v>
      </x:c>
      <x:c r="B433" s="15" t="s">
        <x:v>25</x:v>
      </x:c>
      <x:c r="C433" s="15" t="s">
        <x:v>623</x:v>
      </x:c>
      <x:c r="D433" s="15" t="s">
        <x:v>624</x:v>
      </x:c>
      <x:c r="E433" s="6">
        <x:v>8350</x:v>
      </x:c>
      <x:c r="F433" s="6">
        <x:v>2091190</x:v>
      </x:c>
      <x:c r="G433" s="9">
        <x:v>3.9900000000000005E-3</x:v>
      </x:c>
    </x:row>
    <x:row r="434">
      <x:c r="A434" s="5">
        <x:v>2022</x:v>
      </x:c>
      <x:c r="B434" s="15" t="s">
        <x:v>25</x:v>
      </x:c>
      <x:c r="C434" s="15" t="s">
        <x:v>625</x:v>
      </x:c>
      <x:c r="D434" s="15" t="s">
        <x:v>16</x:v>
      </x:c>
      <x:c r="E434" s="6">
        <x:v>7450</x:v>
      </x:c>
      <x:c r="F434" s="6">
        <x:v>2007920</x:v>
      </x:c>
      <x:c r="G434" s="9">
        <x:v>3.7099999999999998E-3</x:v>
      </x:c>
    </x:row>
    <x:row r="435">
      <x:c r="A435" s="5">
        <x:v>2022</x:v>
      </x:c>
      <x:c r="B435" s="15" t="s">
        <x:v>25</x:v>
      </x:c>
      <x:c r="C435" s="15" t="s">
        <x:v>626</x:v>
      </x:c>
      <x:c r="D435" s="15" t="s">
        <x:v>627</x:v>
      </x:c>
      <x:c r="E435" s="6">
        <x:v>15800</x:v>
      </x:c>
      <x:c r="F435" s="6">
        <x:v>4099110</x:v>
      </x:c>
      <x:c r="G435" s="9">
        <x:v>3.8500000000000001E-3</x:v>
      </x:c>
    </x:row>
    <x:row r="436">
      <x:c r="A436" s="5">
        <x:v>2022</x:v>
      </x:c>
      <x:c r="B436" s="15" t="s">
        <x:v>28</x:v>
      </x:c>
      <x:c r="C436" s="15" t="s">
        <x:v>623</x:v>
      </x:c>
      <x:c r="D436" s="15" t="s">
        <x:v>624</x:v>
      </x:c>
      <x:c r="E436" s="6">
        <x:v>9670</x:v>
      </x:c>
      <x:c r="F436" s="6">
        <x:v>2049280</x:v>
      </x:c>
      <x:c r="G436" s="9">
        <x:v>4.7199999999999994E-3</x:v>
      </x:c>
    </x:row>
    <x:row r="437">
      <x:c r="A437" s="5">
        <x:v>2022</x:v>
      </x:c>
      <x:c r="B437" s="15" t="s">
        <x:v>28</x:v>
      </x:c>
      <x:c r="C437" s="15" t="s">
        <x:v>625</x:v>
      </x:c>
      <x:c r="D437" s="15" t="s">
        <x:v>16</x:v>
      </x:c>
      <x:c r="E437" s="6">
        <x:v>10230</x:v>
      </x:c>
      <x:c r="F437" s="6">
        <x:v>2057520</x:v>
      </x:c>
      <x:c r="G437" s="9">
        <x:v>4.9699999999999996E-3</x:v>
      </x:c>
    </x:row>
    <x:row r="438">
      <x:c r="A438" s="5">
        <x:v>2022</x:v>
      </x:c>
      <x:c r="B438" s="15" t="s">
        <x:v>28</x:v>
      </x:c>
      <x:c r="C438" s="15" t="s">
        <x:v>626</x:v>
      </x:c>
      <x:c r="D438" s="15" t="s">
        <x:v>627</x:v>
      </x:c>
      <x:c r="E438" s="6">
        <x:v>19900</x:v>
      </x:c>
      <x:c r="F438" s="6">
        <x:v>4106800</x:v>
      </x:c>
      <x:c r="G438" s="9">
        <x:v>4.8500000000000001E-3</x:v>
      </x:c>
    </x:row>
    <x:row r="439">
      <x:c r="A439" s="5">
        <x:v>2022</x:v>
      </x:c>
      <x:c r="B439" s="15" t="s">
        <x:v>32</x:v>
      </x:c>
      <x:c r="C439" s="15" t="s">
        <x:v>623</x:v>
      </x:c>
      <x:c r="D439" s="15" t="s">
        <x:v>624</x:v>
      </x:c>
      <x:c r="E439" s="6">
        <x:v>11400</x:v>
      </x:c>
      <x:c r="F439" s="6">
        <x:v>1981840</x:v>
      </x:c>
      <x:c r="G439" s="9">
        <x:v>5.7499999999999999E-3</x:v>
      </x:c>
    </x:row>
    <x:row r="440">
      <x:c r="A440" s="5">
        <x:v>2022</x:v>
      </x:c>
      <x:c r="B440" s="15" t="s">
        <x:v>32</x:v>
      </x:c>
      <x:c r="C440" s="15" t="s">
        <x:v>625</x:v>
      </x:c>
      <x:c r="D440" s="15" t="s">
        <x:v>16</x:v>
      </x:c>
      <x:c r="E440" s="6">
        <x:v>14520</x:v>
      </x:c>
      <x:c r="F440" s="6">
        <x:v>2034460</x:v>
      </x:c>
      <x:c r="G440" s="9">
        <x:v>7.1399999999999996E-3</x:v>
      </x:c>
    </x:row>
    <x:row r="441">
      <x:c r="A441" s="5">
        <x:v>2022</x:v>
      </x:c>
      <x:c r="B441" s="15" t="s">
        <x:v>32</x:v>
      </x:c>
      <x:c r="C441" s="15" t="s">
        <x:v>626</x:v>
      </x:c>
      <x:c r="D441" s="15" t="s">
        <x:v>627</x:v>
      </x:c>
      <x:c r="E441" s="6">
        <x:v>25920</x:v>
      </x:c>
      <x:c r="F441" s="6">
        <x:v>4016300</x:v>
      </x:c>
      <x:c r="G441" s="9">
        <x:v>6.45E-3</x:v>
      </x:c>
    </x:row>
    <x:row r="442">
      <x:c r="A442" s="5">
        <x:v>2022</x:v>
      </x:c>
      <x:c r="B442" s="15" t="s">
        <x:v>36</x:v>
      </x:c>
      <x:c r="C442" s="15" t="s">
        <x:v>623</x:v>
      </x:c>
      <x:c r="D442" s="15" t="s">
        <x:v>624</x:v>
      </x:c>
      <x:c r="E442" s="6">
        <x:v>17410</x:v>
      </x:c>
      <x:c r="F442" s="6">
        <x:v>2087350</x:v>
      </x:c>
      <x:c r="G442" s="9">
        <x:v>8.3400000000000002E-3</x:v>
      </x:c>
    </x:row>
    <x:row r="443">
      <x:c r="A443" s="5">
        <x:v>2022</x:v>
      </x:c>
      <x:c r="B443" s="15" t="s">
        <x:v>36</x:v>
      </x:c>
      <x:c r="C443" s="15" t="s">
        <x:v>625</x:v>
      </x:c>
      <x:c r="D443" s="15" t="s">
        <x:v>16</x:v>
      </x:c>
      <x:c r="E443" s="6">
        <x:v>22640</x:v>
      </x:c>
      <x:c r="F443" s="6">
        <x:v>2166280</x:v>
      </x:c>
      <x:c r="G443" s="9">
        <x:v>1.0449999999999999E-2</x:v>
      </x:c>
    </x:row>
    <x:row r="444">
      <x:c r="A444" s="5">
        <x:v>2022</x:v>
      </x:c>
      <x:c r="B444" s="15" t="s">
        <x:v>36</x:v>
      </x:c>
      <x:c r="C444" s="15" t="s">
        <x:v>626</x:v>
      </x:c>
      <x:c r="D444" s="15" t="s">
        <x:v>627</x:v>
      </x:c>
      <x:c r="E444" s="6">
        <x:v>40040</x:v>
      </x:c>
      <x:c r="F444" s="6">
        <x:v>4253630</x:v>
      </x:c>
      <x:c r="G444" s="9">
        <x:v>9.41E-3</x:v>
      </x:c>
    </x:row>
    <x:row r="445">
      <x:c r="A445" s="5">
        <x:v>2022</x:v>
      </x:c>
      <x:c r="B445" s="15" t="s">
        <x:v>40</x:v>
      </x:c>
      <x:c r="C445" s="15" t="s">
        <x:v>623</x:v>
      </x:c>
      <x:c r="D445" s="15" t="s">
        <x:v>624</x:v>
      </x:c>
      <x:c r="E445" s="6">
        <x:v>28960</x:v>
      </x:c>
      <x:c r="F445" s="6">
        <x:v>2098280</x:v>
      </x:c>
      <x:c r="G445" s="9">
        <x:v>1.38E-2</x:v>
      </x:c>
    </x:row>
    <x:row r="446">
      <x:c r="A446" s="5">
        <x:v>2022</x:v>
      </x:c>
      <x:c r="B446" s="15" t="s">
        <x:v>40</x:v>
      </x:c>
      <x:c r="C446" s="15" t="s">
        <x:v>625</x:v>
      </x:c>
      <x:c r="D446" s="15" t="s">
        <x:v>16</x:v>
      </x:c>
      <x:c r="E446" s="6">
        <x:v>31670</x:v>
      </x:c>
      <x:c r="F446" s="6">
        <x:v>2200860</x:v>
      </x:c>
      <x:c r="G446" s="9">
        <x:v>1.439E-2</x:v>
      </x:c>
    </x:row>
    <x:row r="447">
      <x:c r="A447" s="5">
        <x:v>2022</x:v>
      </x:c>
      <x:c r="B447" s="15" t="s">
        <x:v>40</x:v>
      </x:c>
      <x:c r="C447" s="15" t="s">
        <x:v>626</x:v>
      </x:c>
      <x:c r="D447" s="15" t="s">
        <x:v>627</x:v>
      </x:c>
      <x:c r="E447" s="6">
        <x:v>60630</x:v>
      </x:c>
      <x:c r="F447" s="6">
        <x:v>4299140</x:v>
      </x:c>
      <x:c r="G447" s="9">
        <x:v>1.41E-2</x:v>
      </x:c>
    </x:row>
    <x:row r="448">
      <x:c r="A448" s="5">
        <x:v>2022</x:v>
      </x:c>
      <x:c r="B448" s="15" t="s">
        <x:v>44</x:v>
      </x:c>
      <x:c r="C448" s="15" t="s">
        <x:v>623</x:v>
      </x:c>
      <x:c r="D448" s="15" t="s">
        <x:v>624</x:v>
      </x:c>
      <x:c r="E448" s="6">
        <x:v>50110</x:v>
      </x:c>
      <x:c r="F448" s="6">
        <x:v>2130200</x:v>
      </x:c>
      <x:c r="G448" s="9">
        <x:v>2.3519999999999999E-2</x:v>
      </x:c>
    </x:row>
    <x:row r="449">
      <x:c r="A449" s="5">
        <x:v>2022</x:v>
      </x:c>
      <x:c r="B449" s="15" t="s">
        <x:v>44</x:v>
      </x:c>
      <x:c r="C449" s="15" t="s">
        <x:v>625</x:v>
      </x:c>
      <x:c r="D449" s="15" t="s">
        <x:v>16</x:v>
      </x:c>
      <x:c r="E449" s="6">
        <x:v>44250</x:v>
      </x:c>
      <x:c r="F449" s="6">
        <x:v>2218470</x:v>
      </x:c>
      <x:c r="G449" s="9">
        <x:v>1.9950000000000002E-2</x:v>
      </x:c>
    </x:row>
    <x:row r="450">
      <x:c r="A450" s="5">
        <x:v>2022</x:v>
      </x:c>
      <x:c r="B450" s="15" t="s">
        <x:v>44</x:v>
      </x:c>
      <x:c r="C450" s="15" t="s">
        <x:v>626</x:v>
      </x:c>
      <x:c r="D450" s="15" t="s">
        <x:v>627</x:v>
      </x:c>
      <x:c r="E450" s="6">
        <x:v>94360</x:v>
      </x:c>
      <x:c r="F450" s="6">
        <x:v>4348680</x:v>
      </x:c>
      <x:c r="G450" s="9">
        <x:v>2.1700000000000001E-2</x:v>
      </x:c>
    </x:row>
    <x:row r="451">
      <x:c r="A451" s="5">
        <x:v>2022</x:v>
      </x:c>
      <x:c r="B451" s="15" t="s">
        <x:v>48</x:v>
      </x:c>
      <x:c r="C451" s="15" t="s">
        <x:v>623</x:v>
      </x:c>
      <x:c r="D451" s="15" t="s">
        <x:v>624</x:v>
      </x:c>
      <x:c r="E451" s="6">
        <x:v>86390</x:v>
      </x:c>
      <x:c r="F451" s="6">
        <x:v>2110000</x:v>
      </x:c>
      <x:c r="G451" s="9">
        <x:v>4.0940000000000004E-2</x:v>
      </x:c>
    </x:row>
    <x:row r="452">
      <x:c r="A452" s="5">
        <x:v>2022</x:v>
      </x:c>
      <x:c r="B452" s="15" t="s">
        <x:v>48</x:v>
      </x:c>
      <x:c r="C452" s="15" t="s">
        <x:v>625</x:v>
      </x:c>
      <x:c r="D452" s="15" t="s">
        <x:v>16</x:v>
      </x:c>
      <x:c r="E452" s="6">
        <x:v>64850</x:v>
      </x:c>
      <x:c r="F452" s="6">
        <x:v>2151450</x:v>
      </x:c>
      <x:c r="G452" s="9">
        <x:v>3.0139999999999997E-2</x:v>
      </x:c>
    </x:row>
    <x:row r="453">
      <x:c r="A453" s="5">
        <x:v>2022</x:v>
      </x:c>
      <x:c r="B453" s="15" t="s">
        <x:v>48</x:v>
      </x:c>
      <x:c r="C453" s="15" t="s">
        <x:v>626</x:v>
      </x:c>
      <x:c r="D453" s="15" t="s">
        <x:v>627</x:v>
      </x:c>
      <x:c r="E453" s="6">
        <x:v>151240</x:v>
      </x:c>
      <x:c r="F453" s="6">
        <x:v>4261450</x:v>
      </x:c>
      <x:c r="G453" s="9">
        <x:v>3.5490000000000001E-2</x:v>
      </x:c>
    </x:row>
    <x:row r="454">
      <x:c r="A454" s="5">
        <x:v>2022</x:v>
      </x:c>
      <x:c r="B454" s="15" t="s">
        <x:v>52</x:v>
      </x:c>
      <x:c r="C454" s="15" t="s">
        <x:v>623</x:v>
      </x:c>
      <x:c r="D454" s="15" t="s">
        <x:v>624</x:v>
      </x:c>
      <x:c r="E454" s="6">
        <x:v>145750</x:v>
      </x:c>
      <x:c r="F454" s="6">
        <x:v>2242860</x:v>
      </x:c>
      <x:c r="G454" s="9">
        <x:v>6.4979999999999996E-2</x:v>
      </x:c>
    </x:row>
    <x:row r="455">
      <x:c r="A455" s="5">
        <x:v>2022</x:v>
      </x:c>
      <x:c r="B455" s="15" t="s">
        <x:v>52</x:v>
      </x:c>
      <x:c r="C455" s="15" t="s">
        <x:v>625</x:v>
      </x:c>
      <x:c r="D455" s="15" t="s">
        <x:v>16</x:v>
      </x:c>
      <x:c r="E455" s="6">
        <x:v>105950</x:v>
      </x:c>
      <x:c r="F455" s="6">
        <x:v>2295090</x:v>
      </x:c>
      <x:c r="G455" s="9">
        <x:v>4.616E-2</x:v>
      </x:c>
    </x:row>
    <x:row r="456">
      <x:c r="A456" s="5">
        <x:v>2022</x:v>
      </x:c>
      <x:c r="B456" s="15" t="s">
        <x:v>52</x:v>
      </x:c>
      <x:c r="C456" s="15" t="s">
        <x:v>626</x:v>
      </x:c>
      <x:c r="D456" s="15" t="s">
        <x:v>627</x:v>
      </x:c>
      <x:c r="E456" s="6">
        <x:v>251690</x:v>
      </x:c>
      <x:c r="F456" s="6">
        <x:v>4537950</x:v>
      </x:c>
      <x:c r="G456" s="9">
        <x:v>5.5460000000000002E-2</x:v>
      </x:c>
    </x:row>
    <x:row r="457">
      <x:c r="A457" s="5">
        <x:v>2022</x:v>
      </x:c>
      <x:c r="B457" s="15" t="s">
        <x:v>56</x:v>
      </x:c>
      <x:c r="C457" s="15" t="s">
        <x:v>623</x:v>
      </x:c>
      <x:c r="D457" s="15" t="s">
        <x:v>624</x:v>
      </x:c>
      <x:c r="E457" s="6">
        <x:v>223380</x:v>
      </x:c>
      <x:c r="F457" s="6">
        <x:v>2176530</x:v>
      </x:c>
      <x:c r="G457" s="9">
        <x:v>0.10263</x:v>
      </x:c>
    </x:row>
    <x:row r="458">
      <x:c r="A458" s="5">
        <x:v>2022</x:v>
      </x:c>
      <x:c r="B458" s="15" t="s">
        <x:v>56</x:v>
      </x:c>
      <x:c r="C458" s="15" t="s">
        <x:v>625</x:v>
      </x:c>
      <x:c r="D458" s="15" t="s">
        <x:v>16</x:v>
      </x:c>
      <x:c r="E458" s="6">
        <x:v>157380</x:v>
      </x:c>
      <x:c r="F458" s="6">
        <x:v>2261710</x:v>
      </x:c>
      <x:c r="G458" s="9">
        <x:v>6.9580000000000003E-2</x:v>
      </x:c>
    </x:row>
    <x:row r="459">
      <x:c r="A459" s="5">
        <x:v>2022</x:v>
      </x:c>
      <x:c r="B459" s="15" t="s">
        <x:v>56</x:v>
      </x:c>
      <x:c r="C459" s="15" t="s">
        <x:v>626</x:v>
      </x:c>
      <x:c r="D459" s="15" t="s">
        <x:v>627</x:v>
      </x:c>
      <x:c r="E459" s="6">
        <x:v>380750</x:v>
      </x:c>
      <x:c r="F459" s="6">
        <x:v>4438240</x:v>
      </x:c>
      <x:c r="G459" s="9">
        <x:v>8.5790000000000005E-2</x:v>
      </x:c>
    </x:row>
    <x:row r="460">
      <x:c r="A460" s="5">
        <x:v>2022</x:v>
      </x:c>
      <x:c r="B460" s="15" t="s">
        <x:v>60</x:v>
      </x:c>
      <x:c r="C460" s="15" t="s">
        <x:v>623</x:v>
      </x:c>
      <x:c r="D460" s="15" t="s">
        <x:v>624</x:v>
      </x:c>
      <x:c r="E460" s="6">
        <x:v>298990</x:v>
      </x:c>
      <x:c r="F460" s="6">
        <x:v>2012630</x:v>
      </x:c>
      <x:c r="G460" s="9">
        <x:v>0.14856</x:v>
      </x:c>
    </x:row>
    <x:row r="461">
      <x:c r="A461" s="5">
        <x:v>2022</x:v>
      </x:c>
      <x:c r="B461" s="15" t="s">
        <x:v>60</x:v>
      </x:c>
      <x:c r="C461" s="15" t="s">
        <x:v>625</x:v>
      </x:c>
      <x:c r="D461" s="15" t="s">
        <x:v>16</x:v>
      </x:c>
      <x:c r="E461" s="6">
        <x:v>208680</x:v>
      </x:c>
      <x:c r="F461" s="6">
        <x:v>2150070</x:v>
      </x:c>
      <x:c r="G461" s="9">
        <x:v>9.7059999999999994E-2</x:v>
      </x:c>
    </x:row>
    <x:row r="462">
      <x:c r="A462" s="5">
        <x:v>2022</x:v>
      </x:c>
      <x:c r="B462" s="15" t="s">
        <x:v>60</x:v>
      </x:c>
      <x:c r="C462" s="15" t="s">
        <x:v>626</x:v>
      </x:c>
      <x:c r="D462" s="15" t="s">
        <x:v>627</x:v>
      </x:c>
      <x:c r="E462" s="6">
        <x:v>507680</x:v>
      </x:c>
      <x:c r="F462" s="6">
        <x:v>4162710</x:v>
      </x:c>
      <x:c r="G462" s="9">
        <x:v>0.12196</x:v>
      </x:c>
    </x:row>
    <x:row r="463">
      <x:c r="A463" s="5">
        <x:v>2022</x:v>
      </x:c>
      <x:c r="B463" s="15" t="s">
        <x:v>64</x:v>
      </x:c>
      <x:c r="C463" s="15" t="s">
        <x:v>623</x:v>
      </x:c>
      <x:c r="D463" s="15" t="s">
        <x:v>624</x:v>
      </x:c>
      <x:c r="E463" s="6">
        <x:v>358160</x:v>
      </x:c>
      <x:c r="F463" s="6">
        <x:v>1827650</x:v>
      </x:c>
      <x:c r="G463" s="9">
        <x:v>0.19597000000000001</x:v>
      </x:c>
    </x:row>
    <x:row r="464">
      <x:c r="A464" s="5">
        <x:v>2022</x:v>
      </x:c>
      <x:c r="B464" s="15" t="s">
        <x:v>64</x:v>
      </x:c>
      <x:c r="C464" s="15" t="s">
        <x:v>625</x:v>
      </x:c>
      <x:c r="D464" s="15" t="s">
        <x:v>16</x:v>
      </x:c>
      <x:c r="E464" s="6">
        <x:v>256740</x:v>
      </x:c>
      <x:c r="F464" s="6">
        <x:v>2033220</x:v>
      </x:c>
      <x:c r="G464" s="9">
        <x:v>0.12626999999999999</x:v>
      </x:c>
    </x:row>
    <x:row r="465">
      <x:c r="A465" s="5">
        <x:v>2022</x:v>
      </x:c>
      <x:c r="B465" s="15" t="s">
        <x:v>64</x:v>
      </x:c>
      <x:c r="C465" s="15" t="s">
        <x:v>626</x:v>
      </x:c>
      <x:c r="D465" s="15" t="s">
        <x:v>627</x:v>
      </x:c>
      <x:c r="E465" s="6">
        <x:v>614900</x:v>
      </x:c>
      <x:c r="F465" s="6">
        <x:v>3860880</x:v>
      </x:c>
      <x:c r="G465" s="9">
        <x:v>0.15926000000000001</x:v>
      </x:c>
    </x:row>
    <x:row r="466">
      <x:c r="A466" s="5">
        <x:v>2022</x:v>
      </x:c>
      <x:c r="B466" s="15" t="s">
        <x:v>68</x:v>
      </x:c>
      <x:c r="C466" s="15" t="s">
        <x:v>623</x:v>
      </x:c>
      <x:c r="D466" s="15" t="s">
        <x:v>624</x:v>
      </x:c>
      <x:c r="E466" s="6">
        <x:v>398810</x:v>
      </x:c>
      <x:c r="F466" s="6">
        <x:v>1712680</x:v>
      </x:c>
      <x:c r="G466" s="9">
        <x:v>0.23286000000000001</x:v>
      </x:c>
    </x:row>
    <x:row r="467">
      <x:c r="A467" s="5">
        <x:v>2022</x:v>
      </x:c>
      <x:c r="B467" s="15" t="s">
        <x:v>68</x:v>
      </x:c>
      <x:c r="C467" s="15" t="s">
        <x:v>625</x:v>
      </x:c>
      <x:c r="D467" s="15" t="s">
        <x:v>16</x:v>
      </x:c>
      <x:c r="E467" s="6">
        <x:v>289190</x:v>
      </x:c>
      <x:c r="F467" s="6">
        <x:v>1956140</x:v>
      </x:c>
      <x:c r="G467" s="9">
        <x:v>0.14782999999999999</x:v>
      </x:c>
    </x:row>
    <x:row r="468">
      <x:c r="A468" s="5">
        <x:v>2022</x:v>
      </x:c>
      <x:c r="B468" s="15" t="s">
        <x:v>68</x:v>
      </x:c>
      <x:c r="C468" s="15" t="s">
        <x:v>626</x:v>
      </x:c>
      <x:c r="D468" s="15" t="s">
        <x:v>627</x:v>
      </x:c>
      <x:c r="E468" s="6">
        <x:v>687990</x:v>
      </x:c>
      <x:c r="F468" s="6">
        <x:v>3668820</x:v>
      </x:c>
      <x:c r="G468" s="9">
        <x:v>0.18751999999999999</x:v>
      </x:c>
    </x:row>
    <x:row r="469">
      <x:c r="A469" s="5">
        <x:v>2022</x:v>
      </x:c>
      <x:c r="B469" s="15" t="s">
        <x:v>72</x:v>
      </x:c>
      <x:c r="C469" s="15" t="s">
        <x:v>623</x:v>
      </x:c>
      <x:c r="D469" s="15" t="s">
        <x:v>624</x:v>
      </x:c>
      <x:c r="E469" s="6">
        <x:v>315030</x:v>
      </x:c>
      <x:c r="F469" s="6">
        <x:v>1250940</x:v>
      </x:c>
      <x:c r="G469" s="9">
        <x:v>0.25184000000000001</x:v>
      </x:c>
    </x:row>
    <x:row r="470">
      <x:c r="A470" s="5">
        <x:v>2022</x:v>
      </x:c>
      <x:c r="B470" s="15" t="s">
        <x:v>72</x:v>
      </x:c>
      <x:c r="C470" s="15" t="s">
        <x:v>625</x:v>
      </x:c>
      <x:c r="D470" s="15" t="s">
        <x:v>16</x:v>
      </x:c>
      <x:c r="E470" s="6">
        <x:v>247900</x:v>
      </x:c>
      <x:c r="F470" s="6">
        <x:v>1488900</x:v>
      </x:c>
      <x:c r="G470" s="9">
        <x:v>0.16649999999999998</x:v>
      </x:c>
    </x:row>
    <x:row r="471">
      <x:c r="A471" s="5">
        <x:v>2022</x:v>
      </x:c>
      <x:c r="B471" s="15" t="s">
        <x:v>72</x:v>
      </x:c>
      <x:c r="C471" s="15" t="s">
        <x:v>626</x:v>
      </x:c>
      <x:c r="D471" s="15" t="s">
        <x:v>627</x:v>
      </x:c>
      <x:c r="E471" s="6">
        <x:v>562930</x:v>
      </x:c>
      <x:c r="F471" s="6">
        <x:v>2739840</x:v>
      </x:c>
      <x:c r="G471" s="9">
        <x:v>0.20546</x:v>
      </x:c>
    </x:row>
    <x:row r="472">
      <x:c r="A472" s="5">
        <x:v>2022</x:v>
      </x:c>
      <x:c r="B472" s="15" t="s">
        <x:v>76</x:v>
      </x:c>
      <x:c r="C472" s="15" t="s">
        <x:v>623</x:v>
      </x:c>
      <x:c r="D472" s="15" t="s">
        <x:v>624</x:v>
      </x:c>
      <x:c r="E472" s="6">
        <x:v>195440</x:v>
      </x:c>
      <x:c r="F472" s="6">
        <x:v>781240</x:v>
      </x:c>
      <x:c r="G472" s="9">
        <x:v>0.25015999999999999</x:v>
      </x:c>
    </x:row>
    <x:row r="473">
      <x:c r="A473" s="5">
        <x:v>2022</x:v>
      </x:c>
      <x:c r="B473" s="15" t="s">
        <x:v>76</x:v>
      </x:c>
      <x:c r="C473" s="15" t="s">
        <x:v>625</x:v>
      </x:c>
      <x:c r="D473" s="15" t="s">
        <x:v>16</x:v>
      </x:c>
      <x:c r="E473" s="6">
        <x:v>184200</x:v>
      </x:c>
      <x:c r="F473" s="6">
        <x:v>1040010</x:v>
      </x:c>
      <x:c r="G473" s="9">
        <x:v>0.17710999999999999</x:v>
      </x:c>
    </x:row>
    <x:row r="474">
      <x:c r="A474" s="5">
        <x:v>2022</x:v>
      </x:c>
      <x:c r="B474" s="15" t="s">
        <x:v>76</x:v>
      </x:c>
      <x:c r="C474" s="15" t="s">
        <x:v>626</x:v>
      </x:c>
      <x:c r="D474" s="15" t="s">
        <x:v>627</x:v>
      </x:c>
      <x:c r="E474" s="6">
        <x:v>379630</x:v>
      </x:c>
      <x:c r="F474" s="6">
        <x:v>1821250</x:v>
      </x:c>
      <x:c r="G474" s="9">
        <x:v>0.20845</x:v>
      </x:c>
    </x:row>
    <x:row r="475">
      <x:c r="A475" s="5">
        <x:v>2022</x:v>
      </x:c>
      <x:c r="B475" s="15" t="s">
        <x:v>80</x:v>
      </x:c>
      <x:c r="C475" s="15" t="s">
        <x:v>623</x:v>
      </x:c>
      <x:c r="D475" s="15" t="s">
        <x:v>624</x:v>
      </x:c>
      <x:c r="E475" s="6">
        <x:v>123510</x:v>
      </x:c>
      <x:c r="F475" s="6">
        <x:v>538060</x:v>
      </x:c>
      <x:c r="G475" s="9">
        <x:v>0.22954999999999998</x:v>
      </x:c>
    </x:row>
    <x:row r="476">
      <x:c r="A476" s="5">
        <x:v>2022</x:v>
      </x:c>
      <x:c r="B476" s="15" t="s">
        <x:v>80</x:v>
      </x:c>
      <x:c r="C476" s="15" t="s">
        <x:v>625</x:v>
      </x:c>
      <x:c r="D476" s="15" t="s">
        <x:v>16</x:v>
      </x:c>
      <x:c r="E476" s="6">
        <x:v>151730</x:v>
      </x:c>
      <x:c r="F476" s="6">
        <x:v>879740</x:v>
      </x:c>
      <x:c r="G476" s="9">
        <x:v>0.17248000000000002</x:v>
      </x:c>
    </x:row>
    <x:row r="477">
      <x:c r="A477" s="5">
        <x:v>2022</x:v>
      </x:c>
      <x:c r="B477" s="15" t="s">
        <x:v>80</x:v>
      </x:c>
      <x:c r="C477" s="15" t="s">
        <x:v>626</x:v>
      </x:c>
      <x:c r="D477" s="15" t="s">
        <x:v>627</x:v>
      </x:c>
      <x:c r="E477" s="6">
        <x:v>275250</x:v>
      </x:c>
      <x:c r="F477" s="6">
        <x:v>1417800</x:v>
      </x:c>
      <x:c r="G477" s="9">
        <x:v>0.19414000000000001</x:v>
      </x:c>
    </x:row>
    <x:row r="478">
      <x:c r="A478" s="5">
        <x:v>2022</x:v>
      </x:c>
      <x:c r="B478" s="15" t="s">
        <x:v>84</x:v>
      </x:c>
      <x:c r="C478" s="15" t="s">
        <x:v>623</x:v>
      </x:c>
      <x:c r="D478" s="15" t="s">
        <x:v>624</x:v>
      </x:c>
      <x:c r="E478" s="6">
        <x:v>48600</x:v>
      </x:c>
      <x:c r="F478" s="6">
        <x:v>250250</x:v>
      </x:c>
      <x:c r="G478" s="9">
        <x:v>0.19420000000000001</x:v>
      </x:c>
    </x:row>
    <x:row r="479">
      <x:c r="A479" s="5">
        <x:v>2022</x:v>
      </x:c>
      <x:c r="B479" s="15" t="s">
        <x:v>84</x:v>
      </x:c>
      <x:c r="C479" s="15" t="s">
        <x:v>625</x:v>
      </x:c>
      <x:c r="D479" s="15" t="s">
        <x:v>16</x:v>
      </x:c>
      <x:c r="E479" s="6">
        <x:v>82450</x:v>
      </x:c>
      <x:c r="F479" s="6">
        <x:v>555720</x:v>
      </x:c>
      <x:c r="G479" s="9">
        <x:v>0.14835999999999999</x:v>
      </x:c>
    </x:row>
    <x:row r="480">
      <x:c r="A480" s="5">
        <x:v>2022</x:v>
      </x:c>
      <x:c r="B480" s="15" t="s">
        <x:v>84</x:v>
      </x:c>
      <x:c r="C480" s="15" t="s">
        <x:v>626</x:v>
      </x:c>
      <x:c r="D480" s="15" t="s">
        <x:v>627</x:v>
      </x:c>
      <x:c r="E480" s="6">
        <x:v>131050</x:v>
      </x:c>
      <x:c r="F480" s="6">
        <x:v>805970</x:v>
      </x:c>
      <x:c r="G480" s="9">
        <x:v>0.16260000000000002</x:v>
      </x:c>
    </x:row>
    <x:row r="481">
      <x:c r="A481" s="5">
        <x:v>2022</x:v>
      </x:c>
      <x:c r="B481" s="15" t="s">
        <x:v>87</x:v>
      </x:c>
      <x:c r="C481" s="15" t="s">
        <x:v>623</x:v>
      </x:c>
      <x:c r="D481" s="15" t="s">
        <x:v>624</x:v>
      </x:c>
      <x:c r="E481" s="6">
        <x:v>9230</x:v>
      </x:c>
      <x:c r="F481" s="6">
        <x:v>67250</x:v>
      </x:c>
      <x:c r="G481" s="9">
        <x:v>0.13730000000000001</x:v>
      </x:c>
    </x:row>
    <x:row r="482">
      <x:c r="A482" s="5">
        <x:v>2022</x:v>
      </x:c>
      <x:c r="B482" s="15" t="s">
        <x:v>87</x:v>
      </x:c>
      <x:c r="C482" s="15" t="s">
        <x:v>625</x:v>
      </x:c>
      <x:c r="D482" s="15" t="s">
        <x:v>16</x:v>
      </x:c>
      <x:c r="E482" s="6">
        <x:v>24960</x:v>
      </x:c>
      <x:c r="F482" s="6">
        <x:v>237160</x:v>
      </x:c>
      <x:c r="G482" s="9">
        <x:v>0.10525000000000001</x:v>
      </x:c>
    </x:row>
    <x:row r="483">
      <x:c r="A483" s="5">
        <x:v>2022</x:v>
      </x:c>
      <x:c r="B483" s="15" t="s">
        <x:v>87</x:v>
      </x:c>
      <x:c r="C483" s="15" t="s">
        <x:v>626</x:v>
      </x:c>
      <x:c r="D483" s="15" t="s">
        <x:v>627</x:v>
      </x:c>
      <x:c r="E483" s="6">
        <x:v>34200</x:v>
      </x:c>
      <x:c r="F483" s="6">
        <x:v>304410</x:v>
      </x:c>
      <x:c r="G483" s="9">
        <x:v>0.11233</x:v>
      </x:c>
    </x:row>
    <x:row r="484">
      <x:c r="A484" s="5">
        <x:v>2023</x:v>
      </x:c>
      <x:c r="B484" s="15" t="s">
        <x:v>8</x:v>
      </x:c>
      <x:c r="C484" s="15" t="s">
        <x:v>623</x:v>
      </x:c>
      <x:c r="D484" s="15" t="s">
        <x:v>624</x:v>
      </x:c>
      <x:c r="E484" s="6">
        <x:v>750</x:v>
      </x:c>
      <x:c r="F484" s="6">
        <x:v>1777290</x:v>
      </x:c>
      <x:c r="G484" s="9">
        <x:v>4.2000000000000002E-4</x:v>
      </x:c>
    </x:row>
    <x:row r="485">
      <x:c r="A485" s="5">
        <x:v>2023</x:v>
      </x:c>
      <x:c r="B485" s="15" t="s">
        <x:v>8</x:v>
      </x:c>
      <x:c r="C485" s="15" t="s">
        <x:v>625</x:v>
      </x:c>
      <x:c r="D485" s="15" t="s">
        <x:v>16</x:v>
      </x:c>
      <x:c r="E485" s="6">
        <x:v>550</x:v>
      </x:c>
      <x:c r="F485" s="6">
        <x:v>1693410</x:v>
      </x:c>
      <x:c r="G485" s="9">
        <x:v>3.2000000000000003E-4</x:v>
      </x:c>
    </x:row>
    <x:row r="486">
      <x:c r="A486" s="5">
        <x:v>2023</x:v>
      </x:c>
      <x:c r="B486" s="15" t="s">
        <x:v>8</x:v>
      </x:c>
      <x:c r="C486" s="15" t="s">
        <x:v>626</x:v>
      </x:c>
      <x:c r="D486" s="15" t="s">
        <x:v>627</x:v>
      </x:c>
      <x:c r="E486" s="6">
        <x:v>1290</x:v>
      </x:c>
      <x:c r="F486" s="6">
        <x:v>3470700</x:v>
      </x:c>
      <x:c r="G486" s="9">
        <x:v>3.6999999999999999E-4</x:v>
      </x:c>
    </x:row>
    <x:row r="487">
      <x:c r="A487" s="5">
        <x:v>2023</x:v>
      </x:c>
      <x:c r="B487" s="15" t="s">
        <x:v>12</x:v>
      </x:c>
      <x:c r="C487" s="15" t="s">
        <x:v>623</x:v>
      </x:c>
      <x:c r="D487" s="15" t="s">
        <x:v>624</x:v>
      </x:c>
      <x:c r="E487" s="6">
        <x:v>2950</x:v>
      </x:c>
      <x:c r="F487" s="6">
        <x:v>1922900</x:v>
      </x:c>
      <x:c r="G487" s="9">
        <x:v>1.5299999999999999E-3</x:v>
      </x:c>
    </x:row>
    <x:row r="488">
      <x:c r="A488" s="5">
        <x:v>2023</x:v>
      </x:c>
      <x:c r="B488" s="15" t="s">
        <x:v>12</x:v>
      </x:c>
      <x:c r="C488" s="15" t="s">
        <x:v>625</x:v>
      </x:c>
      <x:c r="D488" s="15" t="s">
        <x:v>16</x:v>
      </x:c>
      <x:c r="E488" s="6">
        <x:v>2750</x:v>
      </x:c>
      <x:c r="F488" s="6">
        <x:v>1834970</x:v>
      </x:c>
      <x:c r="G488" s="9">
        <x:v>1.5E-3</x:v>
      </x:c>
    </x:row>
    <x:row r="489">
      <x:c r="A489" s="5">
        <x:v>2023</x:v>
      </x:c>
      <x:c r="B489" s="15" t="s">
        <x:v>12</x:v>
      </x:c>
      <x:c r="C489" s="15" t="s">
        <x:v>626</x:v>
      </x:c>
      <x:c r="D489" s="15" t="s">
        <x:v>627</x:v>
      </x:c>
      <x:c r="E489" s="6">
        <x:v>5700</x:v>
      </x:c>
      <x:c r="F489" s="6">
        <x:v>3757880</x:v>
      </x:c>
      <x:c r="G489" s="9">
        <x:v>1.5199999999999999E-3</x:v>
      </x:c>
    </x:row>
    <x:row r="490">
      <x:c r="A490" s="5">
        <x:v>2023</x:v>
      </x:c>
      <x:c r="B490" s="15" t="s">
        <x:v>17</x:v>
      </x:c>
      <x:c r="C490" s="15" t="s">
        <x:v>623</x:v>
      </x:c>
      <x:c r="D490" s="15" t="s">
        <x:v>624</x:v>
      </x:c>
      <x:c r="E490" s="6">
        <x:v>5670</x:v>
      </x:c>
      <x:c r="F490" s="6">
        <x:v>2041990</x:v>
      </x:c>
      <x:c r="G490" s="9">
        <x:v>2.7800000000000004E-3</x:v>
      </x:c>
    </x:row>
    <x:row r="491">
      <x:c r="A491" s="5">
        <x:v>2023</x:v>
      </x:c>
      <x:c r="B491" s="15" t="s">
        <x:v>17</x:v>
      </x:c>
      <x:c r="C491" s="15" t="s">
        <x:v>625</x:v>
      </x:c>
      <x:c r="D491" s="15" t="s">
        <x:v>16</x:v>
      </x:c>
      <x:c r="E491" s="6">
        <x:v>5420</x:v>
      </x:c>
      <x:c r="F491" s="6">
        <x:v>1959130</x:v>
      </x:c>
      <x:c r="G491" s="9">
        <x:v>2.7700000000000003E-3</x:v>
      </x:c>
    </x:row>
    <x:row r="492">
      <x:c r="A492" s="5">
        <x:v>2023</x:v>
      </x:c>
      <x:c r="B492" s="15" t="s">
        <x:v>17</x:v>
      </x:c>
      <x:c r="C492" s="15" t="s">
        <x:v>626</x:v>
      </x:c>
      <x:c r="D492" s="15" t="s">
        <x:v>627</x:v>
      </x:c>
      <x:c r="E492" s="6">
        <x:v>11090</x:v>
      </x:c>
      <x:c r="F492" s="6">
        <x:v>4001120</x:v>
      </x:c>
      <x:c r="G492" s="9">
        <x:v>2.7700000000000003E-3</x:v>
      </x:c>
    </x:row>
    <x:row r="493">
      <x:c r="A493" s="5">
        <x:v>2023</x:v>
      </x:c>
      <x:c r="B493" s="15" t="s">
        <x:v>25</x:v>
      </x:c>
      <x:c r="C493" s="15" t="s">
        <x:v>623</x:v>
      </x:c>
      <x:c r="D493" s="15" t="s">
        <x:v>624</x:v>
      </x:c>
      <x:c r="E493" s="6">
        <x:v>8680</x:v>
      </x:c>
      <x:c r="F493" s="6">
        <x:v>2010510</x:v>
      </x:c>
      <x:c r="G493" s="9">
        <x:v>4.3200000000000001E-3</x:v>
      </x:c>
    </x:row>
    <x:row r="494">
      <x:c r="A494" s="5">
        <x:v>2023</x:v>
      </x:c>
      <x:c r="B494" s="15" t="s">
        <x:v>25</x:v>
      </x:c>
      <x:c r="C494" s="15" t="s">
        <x:v>625</x:v>
      </x:c>
      <x:c r="D494" s="15" t="s">
        <x:v>16</x:v>
      </x:c>
      <x:c r="E494" s="6">
        <x:v>7740</x:v>
      </x:c>
      <x:c r="F494" s="6">
        <x:v>1972800</x:v>
      </x:c>
      <x:c r="G494" s="9">
        <x:v>3.9199999999999999E-3</x:v>
      </x:c>
    </x:row>
    <x:row r="495">
      <x:c r="A495" s="5">
        <x:v>2023</x:v>
      </x:c>
      <x:c r="B495" s="15" t="s">
        <x:v>25</x:v>
      </x:c>
      <x:c r="C495" s="15" t="s">
        <x:v>626</x:v>
      </x:c>
      <x:c r="D495" s="15" t="s">
        <x:v>627</x:v>
      </x:c>
      <x:c r="E495" s="6">
        <x:v>16420</x:v>
      </x:c>
      <x:c r="F495" s="6">
        <x:v>3983310</x:v>
      </x:c>
      <x:c r="G495" s="9">
        <x:v>4.1199999999999995E-3</x:v>
      </x:c>
    </x:row>
    <x:row r="496">
      <x:c r="A496" s="5">
        <x:v>2023</x:v>
      </x:c>
      <x:c r="B496" s="15" t="s">
        <x:v>28</x:v>
      </x:c>
      <x:c r="C496" s="15" t="s">
        <x:v>623</x:v>
      </x:c>
      <x:c r="D496" s="15" t="s">
        <x:v>624</x:v>
      </x:c>
      <x:c r="E496" s="6">
        <x:v>10160</x:v>
      </x:c>
      <x:c r="F496" s="6">
        <x:v>1930610</x:v>
      </x:c>
      <x:c r="G496" s="9">
        <x:v>5.2599999999999999E-3</x:v>
      </x:c>
    </x:row>
    <x:row r="497">
      <x:c r="A497" s="5">
        <x:v>2023</x:v>
      </x:c>
      <x:c r="B497" s="15" t="s">
        <x:v>28</x:v>
      </x:c>
      <x:c r="C497" s="15" t="s">
        <x:v>625</x:v>
      </x:c>
      <x:c r="D497" s="15" t="s">
        <x:v>16</x:v>
      </x:c>
      <x:c r="E497" s="6">
        <x:v>10800</x:v>
      </x:c>
      <x:c r="F497" s="6">
        <x:v>2031400</x:v>
      </x:c>
      <x:c r="G497" s="9">
        <x:v>5.3100000000000005E-3</x:v>
      </x:c>
    </x:row>
    <x:row r="498">
      <x:c r="A498" s="5">
        <x:v>2023</x:v>
      </x:c>
      <x:c r="B498" s="15" t="s">
        <x:v>28</x:v>
      </x:c>
      <x:c r="C498" s="15" t="s">
        <x:v>626</x:v>
      </x:c>
      <x:c r="D498" s="15" t="s">
        <x:v>627</x:v>
      </x:c>
      <x:c r="E498" s="6">
        <x:v>20960</x:v>
      </x:c>
      <x:c r="F498" s="6">
        <x:v>3962000</x:v>
      </x:c>
      <x:c r="G498" s="9">
        <x:v>5.2900000000000004E-3</x:v>
      </x:c>
    </x:row>
    <x:row r="499">
      <x:c r="A499" s="5">
        <x:v>2023</x:v>
      </x:c>
      <x:c r="B499" s="15" t="s">
        <x:v>32</x:v>
      </x:c>
      <x:c r="C499" s="15" t="s">
        <x:v>623</x:v>
      </x:c>
      <x:c r="D499" s="15" t="s">
        <x:v>624</x:v>
      </x:c>
      <x:c r="E499" s="6">
        <x:v>11970</x:v>
      </x:c>
      <x:c r="F499" s="6">
        <x:v>1870500</x:v>
      </x:c>
      <x:c r="G499" s="9">
        <x:v>6.4000000000000003E-3</x:v>
      </x:c>
    </x:row>
    <x:row r="500">
      <x:c r="A500" s="5">
        <x:v>2023</x:v>
      </x:c>
      <x:c r="B500" s="15" t="s">
        <x:v>32</x:v>
      </x:c>
      <x:c r="C500" s="15" t="s">
        <x:v>625</x:v>
      </x:c>
      <x:c r="D500" s="15" t="s">
        <x:v>16</x:v>
      </x:c>
      <x:c r="E500" s="6">
        <x:v>15580</x:v>
      </x:c>
      <x:c r="F500" s="6">
        <x:v>2021920</x:v>
      </x:c>
      <x:c r="G500" s="9">
        <x:v>7.7000000000000002E-3</x:v>
      </x:c>
    </x:row>
    <x:row r="501">
      <x:c r="A501" s="5">
        <x:v>2023</x:v>
      </x:c>
      <x:c r="B501" s="15" t="s">
        <x:v>32</x:v>
      </x:c>
      <x:c r="C501" s="15" t="s">
        <x:v>626</x:v>
      </x:c>
      <x:c r="D501" s="15" t="s">
        <x:v>627</x:v>
      </x:c>
      <x:c r="E501" s="6">
        <x:v>27550</x:v>
      </x:c>
      <x:c r="F501" s="6">
        <x:v>3892420</x:v>
      </x:c>
      <x:c r="G501" s="9">
        <x:v>7.0799999999999995E-3</x:v>
      </x:c>
    </x:row>
    <x:row r="502">
      <x:c r="A502" s="5">
        <x:v>2023</x:v>
      </x:c>
      <x:c r="B502" s="15" t="s">
        <x:v>36</x:v>
      </x:c>
      <x:c r="C502" s="15" t="s">
        <x:v>623</x:v>
      </x:c>
      <x:c r="D502" s="15" t="s">
        <x:v>624</x:v>
      </x:c>
      <x:c r="E502" s="6">
        <x:v>17980</x:v>
      </x:c>
      <x:c r="F502" s="6">
        <x:v>1939590</x:v>
      </x:c>
      <x:c r="G502" s="9">
        <x:v>9.2700000000000005E-3</x:v>
      </x:c>
    </x:row>
    <x:row r="503">
      <x:c r="A503" s="5">
        <x:v>2023</x:v>
      </x:c>
      <x:c r="B503" s="15" t="s">
        <x:v>36</x:v>
      </x:c>
      <x:c r="C503" s="15" t="s">
        <x:v>625</x:v>
      </x:c>
      <x:c r="D503" s="15" t="s">
        <x:v>16</x:v>
      </x:c>
      <x:c r="E503" s="6">
        <x:v>23160</x:v>
      </x:c>
      <x:c r="F503" s="6">
        <x:v>2111020</x:v>
      </x:c>
      <x:c r="G503" s="9">
        <x:v>1.0970000000000001E-2</x:v>
      </x:c>
    </x:row>
    <x:row r="504">
      <x:c r="A504" s="5">
        <x:v>2023</x:v>
      </x:c>
      <x:c r="B504" s="15" t="s">
        <x:v>36</x:v>
      </x:c>
      <x:c r="C504" s="15" t="s">
        <x:v>626</x:v>
      </x:c>
      <x:c r="D504" s="15" t="s">
        <x:v>627</x:v>
      </x:c>
      <x:c r="E504" s="6">
        <x:v>41140</x:v>
      </x:c>
      <x:c r="F504" s="6">
        <x:v>4050610</x:v>
      </x:c>
      <x:c r="G504" s="9">
        <x:v>1.0160000000000001E-2</x:v>
      </x:c>
    </x:row>
    <x:row r="505">
      <x:c r="A505" s="5">
        <x:v>2023</x:v>
      </x:c>
      <x:c r="B505" s="15" t="s">
        <x:v>40</x:v>
      </x:c>
      <x:c r="C505" s="15" t="s">
        <x:v>623</x:v>
      </x:c>
      <x:c r="D505" s="15" t="s">
        <x:v>624</x:v>
      </x:c>
      <x:c r="E505" s="6">
        <x:v>30090</x:v>
      </x:c>
      <x:c r="F505" s="6">
        <x:v>2002330</x:v>
      </x:c>
      <x:c r="G505" s="9">
        <x:v>1.5029999999999998E-2</x:v>
      </x:c>
    </x:row>
    <x:row r="506">
      <x:c r="A506" s="5">
        <x:v>2023</x:v>
      </x:c>
      <x:c r="B506" s="15" t="s">
        <x:v>40</x:v>
      </x:c>
      <x:c r="C506" s="15" t="s">
        <x:v>625</x:v>
      </x:c>
      <x:c r="D506" s="15" t="s">
        <x:v>16</x:v>
      </x:c>
      <x:c r="E506" s="6">
        <x:v>32900</x:v>
      </x:c>
      <x:c r="F506" s="6">
        <x:v>2193280</x:v>
      </x:c>
      <x:c r="G506" s="9">
        <x:v>1.4999999999999999E-2</x:v>
      </x:c>
    </x:row>
    <x:row r="507">
      <x:c r="A507" s="5">
        <x:v>2023</x:v>
      </x:c>
      <x:c r="B507" s="15" t="s">
        <x:v>40</x:v>
      </x:c>
      <x:c r="C507" s="15" t="s">
        <x:v>626</x:v>
      </x:c>
      <x:c r="D507" s="15" t="s">
        <x:v>627</x:v>
      </x:c>
      <x:c r="E507" s="6">
        <x:v>62980</x:v>
      </x:c>
      <x:c r="F507" s="6">
        <x:v>4195610</x:v>
      </x:c>
      <x:c r="G507" s="9">
        <x:v>1.5009999999999999E-2</x:v>
      </x:c>
    </x:row>
    <x:row r="508">
      <x:c r="A508" s="5">
        <x:v>2023</x:v>
      </x:c>
      <x:c r="B508" s="15" t="s">
        <x:v>44</x:v>
      </x:c>
      <x:c r="C508" s="15" t="s">
        <x:v>623</x:v>
      </x:c>
      <x:c r="D508" s="15" t="s">
        <x:v>624</x:v>
      </x:c>
      <x:c r="E508" s="6">
        <x:v>51820</x:v>
      </x:c>
      <x:c r="F508" s="6">
        <x:v>2029240</x:v>
      </x:c>
      <x:c r="G508" s="9">
        <x:v>2.5530000000000001E-2</x:v>
      </x:c>
    </x:row>
    <x:row r="509">
      <x:c r="A509" s="5">
        <x:v>2023</x:v>
      </x:c>
      <x:c r="B509" s="15" t="s">
        <x:v>44</x:v>
      </x:c>
      <x:c r="C509" s="15" t="s">
        <x:v>625</x:v>
      </x:c>
      <x:c r="D509" s="15" t="s">
        <x:v>16</x:v>
      </x:c>
      <x:c r="E509" s="6">
        <x:v>46450</x:v>
      </x:c>
      <x:c r="F509" s="6">
        <x:v>2204870</x:v>
      </x:c>
      <x:c r="G509" s="9">
        <x:v>2.1070000000000002E-2</x:v>
      </x:c>
    </x:row>
    <x:row r="510">
      <x:c r="A510" s="5">
        <x:v>2023</x:v>
      </x:c>
      <x:c r="B510" s="15" t="s">
        <x:v>44</x:v>
      </x:c>
      <x:c r="C510" s="15" t="s">
        <x:v>626</x:v>
      </x:c>
      <x:c r="D510" s="15" t="s">
        <x:v>627</x:v>
      </x:c>
      <x:c r="E510" s="6">
        <x:v>98260</x:v>
      </x:c>
      <x:c r="F510" s="6">
        <x:v>4234110</x:v>
      </x:c>
      <x:c r="G510" s="9">
        <x:v>2.3210000000000001E-2</x:v>
      </x:c>
    </x:row>
    <x:row r="511">
      <x:c r="A511" s="5">
        <x:v>2023</x:v>
      </x:c>
      <x:c r="B511" s="15" t="s">
        <x:v>48</x:v>
      </x:c>
      <x:c r="C511" s="15" t="s">
        <x:v>623</x:v>
      </x:c>
      <x:c r="D511" s="15" t="s">
        <x:v>624</x:v>
      </x:c>
      <x:c r="E511" s="6">
        <x:v>86420</x:v>
      </x:c>
      <x:c r="F511" s="6">
        <x:v>1981090</x:v>
      </x:c>
      <x:c r="G511" s="9">
        <x:v>4.3619999999999999E-2</x:v>
      </x:c>
    </x:row>
    <x:row r="512">
      <x:c r="A512" s="5">
        <x:v>2023</x:v>
      </x:c>
      <x:c r="B512" s="15" t="s">
        <x:v>48</x:v>
      </x:c>
      <x:c r="C512" s="15" t="s">
        <x:v>625</x:v>
      </x:c>
      <x:c r="D512" s="15" t="s">
        <x:v>16</x:v>
      </x:c>
      <x:c r="E512" s="6">
        <x:v>66010</x:v>
      </x:c>
      <x:c r="F512" s="6">
        <x:v>2085250</x:v>
      </x:c>
      <x:c r="G512" s="9">
        <x:v>3.1660000000000001E-2</x:v>
      </x:c>
    </x:row>
    <x:row r="513">
      <x:c r="A513" s="5">
        <x:v>2023</x:v>
      </x:c>
      <x:c r="B513" s="15" t="s">
        <x:v>48</x:v>
      </x:c>
      <x:c r="C513" s="15" t="s">
        <x:v>626</x:v>
      </x:c>
      <x:c r="D513" s="15" t="s">
        <x:v>627</x:v>
      </x:c>
      <x:c r="E513" s="6">
        <x:v>152430</x:v>
      </x:c>
      <x:c r="F513" s="6">
        <x:v>4066340</x:v>
      </x:c>
      <x:c r="G513" s="9">
        <x:v>3.7490000000000002E-2</x:v>
      </x:c>
    </x:row>
    <x:row r="514">
      <x:c r="A514" s="5">
        <x:v>2023</x:v>
      </x:c>
      <x:c r="B514" s="15" t="s">
        <x:v>52</x:v>
      </x:c>
      <x:c r="C514" s="15" t="s">
        <x:v>623</x:v>
      </x:c>
      <x:c r="D514" s="15" t="s">
        <x:v>624</x:v>
      </x:c>
      <x:c r="E514" s="6">
        <x:v>148370</x:v>
      </x:c>
      <x:c r="F514" s="6">
        <x:v>2184500</x:v>
      </x:c>
      <x:c r="G514" s="9">
        <x:v>6.7919999999999994E-2</x:v>
      </x:c>
    </x:row>
    <x:row r="515">
      <x:c r="A515" s="5">
        <x:v>2023</x:v>
      </x:c>
      <x:c r="B515" s="15" t="s">
        <x:v>52</x:v>
      </x:c>
      <x:c r="C515" s="15" t="s">
        <x:v>625</x:v>
      </x:c>
      <x:c r="D515" s="15" t="s">
        <x:v>16</x:v>
      </x:c>
      <x:c r="E515" s="6">
        <x:v>108130</x:v>
      </x:c>
      <x:c r="F515" s="6">
        <x:v>2283210</x:v>
      </x:c>
      <x:c r="G515" s="9">
        <x:v>4.7359999999999999E-2</x:v>
      </x:c>
    </x:row>
    <x:row r="516">
      <x:c r="A516" s="5">
        <x:v>2023</x:v>
      </x:c>
      <x:c r="B516" s="15" t="s">
        <x:v>52</x:v>
      </x:c>
      <x:c r="C516" s="15" t="s">
        <x:v>626</x:v>
      </x:c>
      <x:c r="D516" s="15" t="s">
        <x:v>627</x:v>
      </x:c>
      <x:c r="E516" s="6">
        <x:v>256500</x:v>
      </x:c>
      <x:c r="F516" s="6">
        <x:v>4467720</x:v>
      </x:c>
      <x:c r="G516" s="9">
        <x:v>5.7409999999999996E-2</x:v>
      </x:c>
    </x:row>
    <x:row r="517">
      <x:c r="A517" s="5">
        <x:v>2023</x:v>
      </x:c>
      <x:c r="B517" s="15" t="s">
        <x:v>56</x:v>
      </x:c>
      <x:c r="C517" s="15" t="s">
        <x:v>623</x:v>
      </x:c>
      <x:c r="D517" s="15" t="s">
        <x:v>624</x:v>
      </x:c>
      <x:c r="E517" s="6">
        <x:v>224700</x:v>
      </x:c>
      <x:c r="F517" s="6">
        <x:v>2118880</x:v>
      </x:c>
      <x:c r="G517" s="9">
        <x:v>0.10605000000000001</x:v>
      </x:c>
    </x:row>
    <x:row r="518">
      <x:c r="A518" s="5">
        <x:v>2023</x:v>
      </x:c>
      <x:c r="B518" s="15" t="s">
        <x:v>56</x:v>
      </x:c>
      <x:c r="C518" s="15" t="s">
        <x:v>625</x:v>
      </x:c>
      <x:c r="D518" s="15" t="s">
        <x:v>16</x:v>
      </x:c>
      <x:c r="E518" s="6">
        <x:v>159490</x:v>
      </x:c>
      <x:c r="F518" s="6">
        <x:v>2226790</x:v>
      </x:c>
      <x:c r="G518" s="9">
        <x:v>7.1620000000000003E-2</x:v>
      </x:c>
    </x:row>
    <x:row r="519">
      <x:c r="A519" s="5">
        <x:v>2023</x:v>
      </x:c>
      <x:c r="B519" s="15" t="s">
        <x:v>56</x:v>
      </x:c>
      <x:c r="C519" s="15" t="s">
        <x:v>626</x:v>
      </x:c>
      <x:c r="D519" s="15" t="s">
        <x:v>627</x:v>
      </x:c>
      <x:c r="E519" s="6">
        <x:v>384200</x:v>
      </x:c>
      <x:c r="F519" s="6">
        <x:v>4345660</x:v>
      </x:c>
      <x:c r="G519" s="9">
        <x:v>8.8409999999999989E-2</x:v>
      </x:c>
    </x:row>
    <x:row r="520">
      <x:c r="A520" s="5">
        <x:v>2023</x:v>
      </x:c>
      <x:c r="B520" s="15" t="s">
        <x:v>60</x:v>
      </x:c>
      <x:c r="C520" s="15" t="s">
        <x:v>623</x:v>
      </x:c>
      <x:c r="D520" s="15" t="s">
        <x:v>624</x:v>
      </x:c>
      <x:c r="E520" s="6">
        <x:v>304090</x:v>
      </x:c>
      <x:c r="F520" s="6">
        <x:v>2005920</x:v>
      </x:c>
      <x:c r="G520" s="9">
        <x:v>0.15160000000000001</x:v>
      </x:c>
    </x:row>
    <x:row r="521">
      <x:c r="A521" s="5">
        <x:v>2023</x:v>
      </x:c>
      <x:c r="B521" s="15" t="s">
        <x:v>60</x:v>
      </x:c>
      <x:c r="C521" s="15" t="s">
        <x:v>625</x:v>
      </x:c>
      <x:c r="D521" s="15" t="s">
        <x:v>16</x:v>
      </x:c>
      <x:c r="E521" s="6">
        <x:v>211680</x:v>
      </x:c>
      <x:c r="F521" s="6">
        <x:v>2153720</x:v>
      </x:c>
      <x:c r="G521" s="9">
        <x:v>9.8279999999999992E-2</x:v>
      </x:c>
    </x:row>
    <x:row r="522">
      <x:c r="A522" s="5">
        <x:v>2023</x:v>
      </x:c>
      <x:c r="B522" s="15" t="s">
        <x:v>60</x:v>
      </x:c>
      <x:c r="C522" s="15" t="s">
        <x:v>626</x:v>
      </x:c>
      <x:c r="D522" s="15" t="s">
        <x:v>627</x:v>
      </x:c>
      <x:c r="E522" s="6">
        <x:v>515770</x:v>
      </x:c>
      <x:c r="F522" s="6">
        <x:v>4159640</x:v>
      </x:c>
      <x:c r="G522" s="9">
        <x:v>0.12398999999999999</x:v>
      </x:c>
    </x:row>
    <x:row r="523">
      <x:c r="A523" s="5">
        <x:v>2023</x:v>
      </x:c>
      <x:c r="B523" s="15" t="s">
        <x:v>64</x:v>
      </x:c>
      <x:c r="C523" s="15" t="s">
        <x:v>623</x:v>
      </x:c>
      <x:c r="D523" s="15" t="s">
        <x:v>624</x:v>
      </x:c>
      <x:c r="E523" s="6">
        <x:v>361280</x:v>
      </x:c>
      <x:c r="F523" s="6">
        <x:v>1820520</x:v>
      </x:c>
      <x:c r="G523" s="9">
        <x:v>0.19844999999999999</x:v>
      </x:c>
    </x:row>
    <x:row r="524">
      <x:c r="A524" s="5">
        <x:v>2023</x:v>
      </x:c>
      <x:c r="B524" s="15" t="s">
        <x:v>64</x:v>
      </x:c>
      <x:c r="C524" s="15" t="s">
        <x:v>625</x:v>
      </x:c>
      <x:c r="D524" s="15" t="s">
        <x:v>16</x:v>
      </x:c>
      <x:c r="E524" s="6">
        <x:v>259920</x:v>
      </x:c>
      <x:c r="F524" s="6">
        <x:v>2030330</x:v>
      </x:c>
      <x:c r="G524" s="9">
        <x:v>0.12801999999999999</x:v>
      </x:c>
    </x:row>
    <x:row r="525">
      <x:c r="A525" s="5">
        <x:v>2023</x:v>
      </x:c>
      <x:c r="B525" s="15" t="s">
        <x:v>64</x:v>
      </x:c>
      <x:c r="C525" s="15" t="s">
        <x:v>626</x:v>
      </x:c>
      <x:c r="D525" s="15" t="s">
        <x:v>627</x:v>
      </x:c>
      <x:c r="E525" s="6">
        <x:v>621190</x:v>
      </x:c>
      <x:c r="F525" s="6">
        <x:v>3850840</x:v>
      </x:c>
      <x:c r="G525" s="9">
        <x:v>0.16131000000000001</x:v>
      </x:c>
    </x:row>
    <x:row r="526">
      <x:c r="A526" s="5">
        <x:v>2023</x:v>
      </x:c>
      <x:c r="B526" s="15" t="s">
        <x:v>68</x:v>
      </x:c>
      <x:c r="C526" s="15" t="s">
        <x:v>623</x:v>
      </x:c>
      <x:c r="D526" s="15" t="s">
        <x:v>624</x:v>
      </x:c>
      <x:c r="E526" s="6">
        <x:v>398550</x:v>
      </x:c>
      <x:c r="F526" s="6">
        <x:v>1684640</x:v>
      </x:c>
      <x:c r="G526" s="9">
        <x:v>0.23658000000000001</x:v>
      </x:c>
    </x:row>
    <x:row r="527">
      <x:c r="A527" s="5">
        <x:v>2023</x:v>
      </x:c>
      <x:c r="B527" s="15" t="s">
        <x:v>68</x:v>
      </x:c>
      <x:c r="C527" s="15" t="s">
        <x:v>625</x:v>
      </x:c>
      <x:c r="D527" s="15" t="s">
        <x:v>16</x:v>
      </x:c>
      <x:c r="E527" s="6">
        <x:v>292220</x:v>
      </x:c>
      <x:c r="F527" s="6">
        <x:v>1938400</x:v>
      </x:c>
      <x:c r="G527" s="9">
        <x:v>0.15075</x:v>
      </x:c>
    </x:row>
    <x:row r="528">
      <x:c r="A528" s="5">
        <x:v>2023</x:v>
      </x:c>
      <x:c r="B528" s="15" t="s">
        <x:v>68</x:v>
      </x:c>
      <x:c r="C528" s="15" t="s">
        <x:v>626</x:v>
      </x:c>
      <x:c r="D528" s="15" t="s">
        <x:v>627</x:v>
      </x:c>
      <x:c r="E528" s="6">
        <x:v>690770</x:v>
      </x:c>
      <x:c r="F528" s="6">
        <x:v>3623040</x:v>
      </x:c>
      <x:c r="G528" s="9">
        <x:v>0.19066</x:v>
      </x:c>
    </x:row>
    <x:row r="529">
      <x:c r="A529" s="5">
        <x:v>2023</x:v>
      </x:c>
      <x:c r="B529" s="15" t="s">
        <x:v>72</x:v>
      </x:c>
      <x:c r="C529" s="15" t="s">
        <x:v>623</x:v>
      </x:c>
      <x:c r="D529" s="15" t="s">
        <x:v>624</x:v>
      </x:c>
      <x:c r="E529" s="6">
        <x:v>340860</x:v>
      </x:c>
      <x:c r="F529" s="6">
        <x:v>1339540</x:v>
      </x:c>
      <x:c r="G529" s="9">
        <x:v>0.25446000000000002</x:v>
      </x:c>
    </x:row>
    <x:row r="530">
      <x:c r="A530" s="5">
        <x:v>2023</x:v>
      </x:c>
      <x:c r="B530" s="15" t="s">
        <x:v>72</x:v>
      </x:c>
      <x:c r="C530" s="15" t="s">
        <x:v>625</x:v>
      </x:c>
      <x:c r="D530" s="15" t="s">
        <x:v>16</x:v>
      </x:c>
      <x:c r="E530" s="6">
        <x:v>265760</x:v>
      </x:c>
      <x:c r="F530" s="6">
        <x:v>1596170</x:v>
      </x:c>
      <x:c r="G530" s="9">
        <x:v>0.16649999999999998</x:v>
      </x:c>
    </x:row>
    <x:row r="531">
      <x:c r="A531" s="5">
        <x:v>2023</x:v>
      </x:c>
      <x:c r="B531" s="15" t="s">
        <x:v>72</x:v>
      </x:c>
      <x:c r="C531" s="15" t="s">
        <x:v>626</x:v>
      </x:c>
      <x:c r="D531" s="15" t="s">
        <x:v>627</x:v>
      </x:c>
      <x:c r="E531" s="6">
        <x:v>606620</x:v>
      </x:c>
      <x:c r="F531" s="6">
        <x:v>2935710</x:v>
      </x:c>
      <x:c r="G531" s="9">
        <x:v>0.20664000000000002</x:v>
      </x:c>
    </x:row>
    <x:row r="532">
      <x:c r="A532" s="5">
        <x:v>2023</x:v>
      </x:c>
      <x:c r="B532" s="15" t="s">
        <x:v>76</x:v>
      </x:c>
      <x:c r="C532" s="15" t="s">
        <x:v>623</x:v>
      </x:c>
      <x:c r="D532" s="15" t="s">
        <x:v>624</x:v>
      </x:c>
      <x:c r="E532" s="6">
        <x:v>203470</x:v>
      </x:c>
      <x:c r="F532" s="6">
        <x:v>795500</x:v>
      </x:c>
      <x:c r="G532" s="9">
        <x:v>0.25578000000000001</x:v>
      </x:c>
    </x:row>
    <x:row r="533">
      <x:c r="A533" s="5">
        <x:v>2023</x:v>
      </x:c>
      <x:c r="B533" s="15" t="s">
        <x:v>76</x:v>
      </x:c>
      <x:c r="C533" s="15" t="s">
        <x:v>625</x:v>
      </x:c>
      <x:c r="D533" s="15" t="s">
        <x:v>16</x:v>
      </x:c>
      <x:c r="E533" s="6">
        <x:v>188330</x:v>
      </x:c>
      <x:c r="F533" s="6">
        <x:v>1048560</x:v>
      </x:c>
      <x:c r="G533" s="9">
        <x:v>0.17960999999999999</x:v>
      </x:c>
    </x:row>
    <x:row r="534">
      <x:c r="A534" s="5">
        <x:v>2023</x:v>
      </x:c>
      <x:c r="B534" s="15" t="s">
        <x:v>76</x:v>
      </x:c>
      <x:c r="C534" s="15" t="s">
        <x:v>626</x:v>
      </x:c>
      <x:c r="D534" s="15" t="s">
        <x:v>627</x:v>
      </x:c>
      <x:c r="E534" s="6">
        <x:v>391810</x:v>
      </x:c>
      <x:c r="F534" s="6">
        <x:v>1844050</x:v>
      </x:c>
      <x:c r="G534" s="9">
        <x:v>0.21246999999999999</x:v>
      </x:c>
    </x:row>
    <x:row r="535">
      <x:c r="A535" s="5">
        <x:v>2023</x:v>
      </x:c>
      <x:c r="B535" s="15" t="s">
        <x:v>80</x:v>
      </x:c>
      <x:c r="C535" s="15" t="s">
        <x:v>623</x:v>
      </x:c>
      <x:c r="D535" s="15" t="s">
        <x:v>624</x:v>
      </x:c>
      <x:c r="E535" s="6">
        <x:v>125940</x:v>
      </x:c>
      <x:c r="F535" s="6">
        <x:v>541420</x:v>
      </x:c>
      <x:c r="G535" s="9">
        <x:v>0.23260000000000003</x:v>
      </x:c>
    </x:row>
    <x:row r="536">
      <x:c r="A536" s="5">
        <x:v>2023</x:v>
      </x:c>
      <x:c r="B536" s="15" t="s">
        <x:v>80</x:v>
      </x:c>
      <x:c r="C536" s="15" t="s">
        <x:v>625</x:v>
      </x:c>
      <x:c r="D536" s="15" t="s">
        <x:v>16</x:v>
      </x:c>
      <x:c r="E536" s="6">
        <x:v>151300</x:v>
      </x:c>
      <x:c r="F536" s="6">
        <x:v>870530</x:v>
      </x:c>
      <x:c r="G536" s="9">
        <x:v>0.17379999999999998</x:v>
      </x:c>
    </x:row>
    <x:row r="537">
      <x:c r="A537" s="5">
        <x:v>2023</x:v>
      </x:c>
      <x:c r="B537" s="15" t="s">
        <x:v>80</x:v>
      </x:c>
      <x:c r="C537" s="15" t="s">
        <x:v>626</x:v>
      </x:c>
      <x:c r="D537" s="15" t="s">
        <x:v>627</x:v>
      </x:c>
      <x:c r="E537" s="6">
        <x:v>277230</x:v>
      </x:c>
      <x:c r="F537" s="6">
        <x:v>1411950</x:v>
      </x:c>
      <x:c r="G537" s="9">
        <x:v>0.19635000000000002</x:v>
      </x:c>
    </x:row>
    <x:row r="538">
      <x:c r="A538" s="5">
        <x:v>2023</x:v>
      </x:c>
      <x:c r="B538" s="15" t="s">
        <x:v>84</x:v>
      </x:c>
      <x:c r="C538" s="15" t="s">
        <x:v>623</x:v>
      </x:c>
      <x:c r="D538" s="15" t="s">
        <x:v>624</x:v>
      </x:c>
      <x:c r="E538" s="6">
        <x:v>50420</x:v>
      </x:c>
      <x:c r="F538" s="6">
        <x:v>253030</x:v>
      </x:c>
      <x:c r="G538" s="9">
        <x:v>0.19927</x:v>
      </x:c>
    </x:row>
    <x:row r="539">
      <x:c r="A539" s="5">
        <x:v>2023</x:v>
      </x:c>
      <x:c r="B539" s="15" t="s">
        <x:v>84</x:v>
      </x:c>
      <x:c r="C539" s="15" t="s">
        <x:v>625</x:v>
      </x:c>
      <x:c r="D539" s="15" t="s">
        <x:v>16</x:v>
      </x:c>
      <x:c r="E539" s="6">
        <x:v>84370</x:v>
      </x:c>
      <x:c r="F539" s="6">
        <x:v>553790</x:v>
      </x:c>
      <x:c r="G539" s="9">
        <x:v>0.15234999999999999</x:v>
      </x:c>
    </x:row>
    <x:row r="540">
      <x:c r="A540" s="5">
        <x:v>2023</x:v>
      </x:c>
      <x:c r="B540" s="15" t="s">
        <x:v>84</x:v>
      </x:c>
      <x:c r="C540" s="15" t="s">
        <x:v>626</x:v>
      </x:c>
      <x:c r="D540" s="15" t="s">
        <x:v>627</x:v>
      </x:c>
      <x:c r="E540" s="6">
        <x:v>134790</x:v>
      </x:c>
      <x:c r="F540" s="6">
        <x:v>806820</x:v>
      </x:c>
      <x:c r="G540" s="9">
        <x:v>0.16705999999999999</x:v>
      </x:c>
    </x:row>
    <x:row r="541">
      <x:c r="A541" s="5">
        <x:v>2023</x:v>
      </x:c>
      <x:c r="B541" s="15" t="s">
        <x:v>87</x:v>
      </x:c>
      <x:c r="C541" s="15" t="s">
        <x:v>623</x:v>
      </x:c>
      <x:c r="D541" s="15" t="s">
        <x:v>624</x:v>
      </x:c>
      <x:c r="E541" s="6">
        <x:v>9750</x:v>
      </x:c>
      <x:c r="F541" s="6">
        <x:v>68140</x:v>
      </x:c>
      <x:c r="G541" s="9">
        <x:v>0.14305000000000001</x:v>
      </x:c>
    </x:row>
    <x:row r="542">
      <x:c r="A542" s="5">
        <x:v>2023</x:v>
      </x:c>
      <x:c r="B542" s="15" t="s">
        <x:v>87</x:v>
      </x:c>
      <x:c r="C542" s="15" t="s">
        <x:v>625</x:v>
      </x:c>
      <x:c r="D542" s="15" t="s">
        <x:v>16</x:v>
      </x:c>
      <x:c r="E542" s="6">
        <x:v>25840</x:v>
      </x:c>
      <x:c r="F542" s="6">
        <x:v>237690</x:v>
      </x:c>
      <x:c r="G542" s="9">
        <x:v>0.10869999999999999</x:v>
      </x:c>
    </x:row>
    <x:row r="543">
      <x:c r="A543" s="5">
        <x:v>2023</x:v>
      </x:c>
      <x:c r="B543" s="15" t="s">
        <x:v>87</x:v>
      </x:c>
      <x:c r="C543" s="15" t="s">
        <x:v>626</x:v>
      </x:c>
      <x:c r="D543" s="15" t="s">
        <x:v>627</x:v>
      </x:c>
      <x:c r="E543" s="6">
        <x:v>35590</x:v>
      </x:c>
      <x:c r="F543" s="6">
        <x:v>305830</x:v>
      </x:c>
      <x:c r="G543" s="9">
        <x:v>0.11635999999999999</x:v>
      </x:c>
    </x:row>
    <x:row r="544">
      <x:c r="A544" s="5">
        <x:v>2024</x:v>
      </x:c>
      <x:c r="B544" s="15" t="s">
        <x:v>8</x:v>
      </x:c>
      <x:c r="C544" s="15" t="s">
        <x:v>623</x:v>
      </x:c>
      <x:c r="D544" s="15" t="s">
        <x:v>624</x:v>
      </x:c>
      <x:c r="E544" s="6">
        <x:v>700</x:v>
      </x:c>
      <x:c r="F544" s="6">
        <x:v>1732480</x:v>
      </x:c>
      <x:c r="G544" s="9">
        <x:v>4.0000000000000002E-4</x:v>
      </x:c>
    </x:row>
    <x:row r="545">
      <x:c r="A545" s="5">
        <x:v>2024</x:v>
      </x:c>
      <x:c r="B545" s="15" t="s">
        <x:v>8</x:v>
      </x:c>
      <x:c r="C545" s="15" t="s">
        <x:v>625</x:v>
      </x:c>
      <x:c r="D545" s="15" t="s">
        <x:v>16</x:v>
      </x:c>
      <x:c r="E545" s="6">
        <x:v>550</x:v>
      </x:c>
      <x:c r="F545" s="6">
        <x:v>1649330</x:v>
      </x:c>
      <x:c r="G545" s="9">
        <x:v>3.3E-4</x:v>
      </x:c>
    </x:row>
    <x:row r="546">
      <x:c r="A546" s="5">
        <x:v>2024</x:v>
      </x:c>
      <x:c r="B546" s="15" t="s">
        <x:v>8</x:v>
      </x:c>
      <x:c r="C546" s="15" t="s">
        <x:v>626</x:v>
      </x:c>
      <x:c r="D546" s="15" t="s">
        <x:v>627</x:v>
      </x:c>
      <x:c r="E546" s="6">
        <x:v>1250</x:v>
      </x:c>
      <x:c r="F546" s="6">
        <x:v>3381800</x:v>
      </x:c>
      <x:c r="G546" s="9">
        <x:v>3.6999999999999999E-4</x:v>
      </x:c>
    </x:row>
    <x:row r="547">
      <x:c r="A547" s="5">
        <x:v>2024</x:v>
      </x:c>
      <x:c r="B547" s="15" t="s">
        <x:v>12</x:v>
      </x:c>
      <x:c r="C547" s="15" t="s">
        <x:v>623</x:v>
      </x:c>
      <x:c r="D547" s="15" t="s">
        <x:v>624</x:v>
      </x:c>
      <x:c r="E547" s="6">
        <x:v>2830</x:v>
      </x:c>
      <x:c r="F547" s="6">
        <x:v>1894140</x:v>
      </x:c>
      <x:c r="G547" s="9">
        <x:v>1.49E-3</x:v>
      </x:c>
    </x:row>
    <x:row r="548">
      <x:c r="A548" s="5">
        <x:v>2024</x:v>
      </x:c>
      <x:c r="B548" s="15" t="s">
        <x:v>12</x:v>
      </x:c>
      <x:c r="C548" s="15" t="s">
        <x:v>625</x:v>
      </x:c>
      <x:c r="D548" s="15" t="s">
        <x:v>16</x:v>
      </x:c>
      <x:c r="E548" s="6">
        <x:v>2550</x:v>
      </x:c>
      <x:c r="F548" s="6">
        <x:v>1808110</x:v>
      </x:c>
      <x:c r="G548" s="9">
        <x:v>1.4099999999999998E-3</x:v>
      </x:c>
    </x:row>
    <x:row r="549">
      <x:c r="A549" s="5">
        <x:v>2024</x:v>
      </x:c>
      <x:c r="B549" s="15" t="s">
        <x:v>12</x:v>
      </x:c>
      <x:c r="C549" s="15" t="s">
        <x:v>626</x:v>
      </x:c>
      <x:c r="D549" s="15" t="s">
        <x:v>627</x:v>
      </x:c>
      <x:c r="E549" s="6">
        <x:v>5380</x:v>
      </x:c>
      <x:c r="F549" s="6">
        <x:v>3702250</x:v>
      </x:c>
      <x:c r="G549" s="9">
        <x:v>1.4499999999999999E-3</x:v>
      </x:c>
    </x:row>
    <x:row r="550">
      <x:c r="A550" s="5">
        <x:v>2024</x:v>
      </x:c>
      <x:c r="B550" s="15" t="s">
        <x:v>17</x:v>
      </x:c>
      <x:c r="C550" s="15" t="s">
        <x:v>623</x:v>
      </x:c>
      <x:c r="D550" s="15" t="s">
        <x:v>624</x:v>
      </x:c>
      <x:c r="E550" s="6">
        <x:v>5750</x:v>
      </x:c>
      <x:c r="F550" s="6">
        <x:v>2036670</x:v>
      </x:c>
      <x:c r="G550" s="9">
        <x:v>2.8199999999999996E-3</x:v>
      </x:c>
    </x:row>
    <x:row r="551">
      <x:c r="A551" s="5">
        <x:v>2024</x:v>
      </x:c>
      <x:c r="B551" s="15" t="s">
        <x:v>17</x:v>
      </x:c>
      <x:c r="C551" s="15" t="s">
        <x:v>625</x:v>
      </x:c>
      <x:c r="D551" s="15" t="s">
        <x:v>16</x:v>
      </x:c>
      <x:c r="E551" s="6">
        <x:v>5540</x:v>
      </x:c>
      <x:c r="F551" s="6">
        <x:v>1957380</x:v>
      </x:c>
      <x:c r="G551" s="9">
        <x:v>2.8299999999999996E-3</x:v>
      </x:c>
    </x:row>
    <x:row r="552">
      <x:c r="A552" s="5">
        <x:v>2024</x:v>
      </x:c>
      <x:c r="B552" s="15" t="s">
        <x:v>17</x:v>
      </x:c>
      <x:c r="C552" s="15" t="s">
        <x:v>626</x:v>
      </x:c>
      <x:c r="D552" s="15" t="s">
        <x:v>627</x:v>
      </x:c>
      <x:c r="E552" s="6">
        <x:v>11290</x:v>
      </x:c>
      <x:c r="F552" s="6">
        <x:v>3994040</x:v>
      </x:c>
      <x:c r="G552" s="9">
        <x:v>2.8299999999999996E-3</x:v>
      </x:c>
    </x:row>
    <x:row r="553">
      <x:c r="A553" s="5">
        <x:v>2024</x:v>
      </x:c>
      <x:c r="B553" s="15" t="s">
        <x:v>25</x:v>
      </x:c>
      <x:c r="C553" s="15" t="s">
        <x:v>623</x:v>
      </x:c>
      <x:c r="D553" s="15" t="s">
        <x:v>624</x:v>
      </x:c>
      <x:c r="E553" s="6">
        <x:v>8890</x:v>
      </x:c>
      <x:c r="F553" s="6">
        <x:v>2042230</x:v>
      </x:c>
      <x:c r="G553" s="9">
        <x:v>4.3499999999999997E-3</x:v>
      </x:c>
    </x:row>
    <x:row r="554">
      <x:c r="A554" s="5">
        <x:v>2024</x:v>
      </x:c>
      <x:c r="B554" s="15" t="s">
        <x:v>25</x:v>
      </x:c>
      <x:c r="C554" s="15" t="s">
        <x:v>625</x:v>
      </x:c>
      <x:c r="D554" s="15" t="s">
        <x:v>16</x:v>
      </x:c>
      <x:c r="E554" s="6">
        <x:v>8080</x:v>
      </x:c>
      <x:c r="F554" s="6">
        <x:v>1996600</x:v>
      </x:c>
      <x:c r="G554" s="9">
        <x:v>4.0500000000000006E-3</x:v>
      </x:c>
    </x:row>
    <x:row r="555">
      <x:c r="A555" s="5">
        <x:v>2024</x:v>
      </x:c>
      <x:c r="B555" s="15" t="s">
        <x:v>25</x:v>
      </x:c>
      <x:c r="C555" s="15" t="s">
        <x:v>626</x:v>
      </x:c>
      <x:c r="D555" s="15" t="s">
        <x:v>627</x:v>
      </x:c>
      <x:c r="E555" s="6">
        <x:v>16970</x:v>
      </x:c>
      <x:c r="F555" s="6">
        <x:v>4038840</x:v>
      </x:c>
      <x:c r="G555" s="9">
        <x:v>4.1999999999999997E-3</x:v>
      </x:c>
    </x:row>
    <x:row r="556">
      <x:c r="A556" s="5">
        <x:v>2024</x:v>
      </x:c>
      <x:c r="B556" s="15" t="s">
        <x:v>28</x:v>
      </x:c>
      <x:c r="C556" s="15" t="s">
        <x:v>623</x:v>
      </x:c>
      <x:c r="D556" s="15" t="s">
        <x:v>624</x:v>
      </x:c>
      <x:c r="E556" s="6">
        <x:v>10700</x:v>
      </x:c>
      <x:c r="F556" s="6">
        <x:v>1948540</x:v>
      </x:c>
      <x:c r="G556" s="9">
        <x:v>5.4900000000000001E-3</x:v>
      </x:c>
    </x:row>
    <x:row r="557">
      <x:c r="A557" s="5">
        <x:v>2024</x:v>
      </x:c>
      <x:c r="B557" s="15" t="s">
        <x:v>28</x:v>
      </x:c>
      <x:c r="C557" s="15" t="s">
        <x:v>625</x:v>
      </x:c>
      <x:c r="D557" s="15" t="s">
        <x:v>16</x:v>
      </x:c>
      <x:c r="E557" s="6">
        <x:v>11600</x:v>
      </x:c>
      <x:c r="F557" s="6">
        <x:v>2048070</x:v>
      </x:c>
      <x:c r="G557" s="9">
        <x:v>5.6599999999999992E-3</x:v>
      </x:c>
    </x:row>
    <x:row r="558">
      <x:c r="A558" s="5">
        <x:v>2024</x:v>
      </x:c>
      <x:c r="B558" s="15" t="s">
        <x:v>28</x:v>
      </x:c>
      <x:c r="C558" s="15" t="s">
        <x:v>626</x:v>
      </x:c>
      <x:c r="D558" s="15" t="s">
        <x:v>627</x:v>
      </x:c>
      <x:c r="E558" s="6">
        <x:v>22290</x:v>
      </x:c>
      <x:c r="F558" s="6">
        <x:v>3996610</x:v>
      </x:c>
      <x:c r="G558" s="9">
        <x:v>5.5800000000000008E-3</x:v>
      </x:c>
    </x:row>
    <x:row r="559">
      <x:c r="A559" s="5">
        <x:v>2024</x:v>
      </x:c>
      <x:c r="B559" s="15" t="s">
        <x:v>32</x:v>
      </x:c>
      <x:c r="C559" s="15" t="s">
        <x:v>623</x:v>
      </x:c>
      <x:c r="D559" s="15" t="s">
        <x:v>624</x:v>
      </x:c>
      <x:c r="E559" s="6">
        <x:v>12670</x:v>
      </x:c>
      <x:c r="F559" s="6">
        <x:v>1895920</x:v>
      </x:c>
      <x:c r="G559" s="9">
        <x:v>6.6800000000000002E-3</x:v>
      </x:c>
    </x:row>
    <x:row r="560">
      <x:c r="A560" s="5">
        <x:v>2024</x:v>
      </x:c>
      <x:c r="B560" s="15" t="s">
        <x:v>32</x:v>
      </x:c>
      <x:c r="C560" s="15" t="s">
        <x:v>625</x:v>
      </x:c>
      <x:c r="D560" s="15" t="s">
        <x:v>16</x:v>
      </x:c>
      <x:c r="E560" s="6">
        <x:v>17230</x:v>
      </x:c>
      <x:c r="F560" s="6">
        <x:v>2046380</x:v>
      </x:c>
      <x:c r="G560" s="9">
        <x:v>8.4200000000000004E-3</x:v>
      </x:c>
    </x:row>
    <x:row r="561">
      <x:c r="A561" s="5">
        <x:v>2024</x:v>
      </x:c>
      <x:c r="B561" s="15" t="s">
        <x:v>32</x:v>
      </x:c>
      <x:c r="C561" s="15" t="s">
        <x:v>626</x:v>
      </x:c>
      <x:c r="D561" s="15" t="s">
        <x:v>627</x:v>
      </x:c>
      <x:c r="E561" s="6">
        <x:v>29900</x:v>
      </x:c>
      <x:c r="F561" s="6">
        <x:v>3942300</x:v>
      </x:c>
      <x:c r="G561" s="9">
        <x:v>7.5799999999999999E-3</x:v>
      </x:c>
    </x:row>
    <x:row r="562">
      <x:c r="A562" s="5">
        <x:v>2024</x:v>
      </x:c>
      <x:c r="B562" s="15" t="s">
        <x:v>36</x:v>
      </x:c>
      <x:c r="C562" s="15" t="s">
        <x:v>623</x:v>
      </x:c>
      <x:c r="D562" s="15" t="s">
        <x:v>624</x:v>
      </x:c>
      <x:c r="E562" s="6">
        <x:v>18730</x:v>
      </x:c>
      <x:c r="F562" s="6">
        <x:v>1922050</x:v>
      </x:c>
      <x:c r="G562" s="9">
        <x:v>9.7400000000000004E-3</x:v>
      </x:c>
    </x:row>
    <x:row r="563">
      <x:c r="A563" s="5">
        <x:v>2024</x:v>
      </x:c>
      <x:c r="B563" s="15" t="s">
        <x:v>36</x:v>
      </x:c>
      <x:c r="C563" s="15" t="s">
        <x:v>625</x:v>
      </x:c>
      <x:c r="D563" s="15" t="s">
        <x:v>16</x:v>
      </x:c>
      <x:c r="E563" s="6">
        <x:v>24610</x:v>
      </x:c>
      <x:c r="F563" s="6">
        <x:v>2088330</x:v>
      </x:c>
      <x:c r="G563" s="9">
        <x:v>1.1779999999999999E-2</x:v>
      </x:c>
    </x:row>
    <x:row r="564">
      <x:c r="A564" s="5">
        <x:v>2024</x:v>
      </x:c>
      <x:c r="B564" s="15" t="s">
        <x:v>36</x:v>
      </x:c>
      <x:c r="C564" s="15" t="s">
        <x:v>626</x:v>
      </x:c>
      <x:c r="D564" s="15" t="s">
        <x:v>627</x:v>
      </x:c>
      <x:c r="E564" s="6">
        <x:v>43340</x:v>
      </x:c>
      <x:c r="F564" s="6">
        <x:v>4010380</x:v>
      </x:c>
      <x:c r="G564" s="9">
        <x:v>1.081E-2</x:v>
      </x:c>
    </x:row>
    <x:row r="565">
      <x:c r="A565" s="5">
        <x:v>2024</x:v>
      </x:c>
      <x:c r="B565" s="15" t="s">
        <x:v>40</x:v>
      </x:c>
      <x:c r="C565" s="15" t="s">
        <x:v>623</x:v>
      </x:c>
      <x:c r="D565" s="15" t="s">
        <x:v>624</x:v>
      </x:c>
      <x:c r="E565" s="6">
        <x:v>31340</x:v>
      </x:c>
      <x:c r="F565" s="6">
        <x:v>2011020</x:v>
      </x:c>
      <x:c r="G565" s="9">
        <x:v>1.559E-2</x:v>
      </x:c>
    </x:row>
    <x:row r="566">
      <x:c r="A566" s="5">
        <x:v>2024</x:v>
      </x:c>
      <x:c r="B566" s="15" t="s">
        <x:v>40</x:v>
      </x:c>
      <x:c r="C566" s="15" t="s">
        <x:v>625</x:v>
      </x:c>
      <x:c r="D566" s="15" t="s">
        <x:v>16</x:v>
      </x:c>
      <x:c r="E566" s="6">
        <x:v>35010</x:v>
      </x:c>
      <x:c r="F566" s="6">
        <x:v>2200490</x:v>
      </x:c>
      <x:c r="G566" s="9">
        <x:v>1.5910000000000001E-2</x:v>
      </x:c>
    </x:row>
    <x:row r="567">
      <x:c r="A567" s="5">
        <x:v>2024</x:v>
      </x:c>
      <x:c r="B567" s="15" t="s">
        <x:v>40</x:v>
      </x:c>
      <x:c r="C567" s="15" t="s">
        <x:v>626</x:v>
      </x:c>
      <x:c r="D567" s="15" t="s">
        <x:v>627</x:v>
      </x:c>
      <x:c r="E567" s="6">
        <x:v>66350</x:v>
      </x:c>
      <x:c r="F567" s="6">
        <x:v>4211510</x:v>
      </x:c>
      <x:c r="G567" s="9">
        <x:v>1.575E-2</x:v>
      </x:c>
    </x:row>
    <x:row r="568">
      <x:c r="A568" s="5">
        <x:v>2024</x:v>
      </x:c>
      <x:c r="B568" s="15" t="s">
        <x:v>44</x:v>
      </x:c>
      <x:c r="C568" s="15" t="s">
        <x:v>623</x:v>
      </x:c>
      <x:c r="D568" s="15" t="s">
        <x:v>624</x:v>
      </x:c>
      <x:c r="E568" s="6">
        <x:v>53740</x:v>
      </x:c>
      <x:c r="F568" s="6">
        <x:v>2033290</x:v>
      </x:c>
      <x:c r="G568" s="9">
        <x:v>2.6429999999999999E-2</x:v>
      </x:c>
    </x:row>
    <x:row r="569">
      <x:c r="A569" s="5">
        <x:v>2024</x:v>
      </x:c>
      <x:c r="B569" s="15" t="s">
        <x:v>44</x:v>
      </x:c>
      <x:c r="C569" s="15" t="s">
        <x:v>625</x:v>
      </x:c>
      <x:c r="D569" s="15" t="s">
        <x:v>16</x:v>
      </x:c>
      <x:c r="E569" s="6">
        <x:v>49010</x:v>
      </x:c>
      <x:c r="F569" s="6">
        <x:v>2215970</x:v>
      </x:c>
      <x:c r="G569" s="9">
        <x:v>2.2120000000000001E-2</x:v>
      </x:c>
    </x:row>
    <x:row r="570">
      <x:c r="A570" s="5">
        <x:v>2024</x:v>
      </x:c>
      <x:c r="B570" s="15" t="s">
        <x:v>44</x:v>
      </x:c>
      <x:c r="C570" s="15" t="s">
        <x:v>626</x:v>
      </x:c>
      <x:c r="D570" s="15" t="s">
        <x:v>627</x:v>
      </x:c>
      <x:c r="E570" s="6">
        <x:v>102750</x:v>
      </x:c>
      <x:c r="F570" s="6">
        <x:v>4249260</x:v>
      </x:c>
      <x:c r="G570" s="9">
        <x:v>2.418E-2</x:v>
      </x:c>
    </x:row>
    <x:row r="571">
      <x:c r="A571" s="5">
        <x:v>2024</x:v>
      </x:c>
      <x:c r="B571" s="15" t="s">
        <x:v>48</x:v>
      </x:c>
      <x:c r="C571" s="15" t="s">
        <x:v>623</x:v>
      </x:c>
      <x:c r="D571" s="15" t="s">
        <x:v>624</x:v>
      </x:c>
      <x:c r="E571" s="6">
        <x:v>87810</x:v>
      </x:c>
      <x:c r="F571" s="6">
        <x:v>1965200</x:v>
      </x:c>
      <x:c r="G571" s="9">
        <x:v>4.4679999999999997E-2</x:v>
      </x:c>
    </x:row>
    <x:row r="572">
      <x:c r="A572" s="5">
        <x:v>2024</x:v>
      </x:c>
      <x:c r="B572" s="15" t="s">
        <x:v>48</x:v>
      </x:c>
      <x:c r="C572" s="15" t="s">
        <x:v>625</x:v>
      </x:c>
      <x:c r="D572" s="15" t="s">
        <x:v>16</x:v>
      </x:c>
      <x:c r="E572" s="6">
        <x:v>68700</x:v>
      </x:c>
      <x:c r="F572" s="6">
        <x:v>2081190</x:v>
      </x:c>
      <x:c r="G572" s="9">
        <x:v>3.3010000000000005E-2</x:v>
      </x:c>
    </x:row>
    <x:row r="573">
      <x:c r="A573" s="5">
        <x:v>2024</x:v>
      </x:c>
      <x:c r="B573" s="15" t="s">
        <x:v>48</x:v>
      </x:c>
      <x:c r="C573" s="15" t="s">
        <x:v>626</x:v>
      </x:c>
      <x:c r="D573" s="15" t="s">
        <x:v>627</x:v>
      </x:c>
      <x:c r="E573" s="6">
        <x:v>156510</x:v>
      </x:c>
      <x:c r="F573" s="6">
        <x:v>4046400</x:v>
      </x:c>
      <x:c r="G573" s="9">
        <x:v>3.8679999999999999E-2</x:v>
      </x:c>
    </x:row>
    <x:row r="574">
      <x:c r="A574" s="5">
        <x:v>2024</x:v>
      </x:c>
      <x:c r="B574" s="15" t="s">
        <x:v>52</x:v>
      </x:c>
      <x:c r="C574" s="15" t="s">
        <x:v>623</x:v>
      </x:c>
      <x:c r="D574" s="15" t="s">
        <x:v>624</x:v>
      </x:c>
      <x:c r="E574" s="6">
        <x:v>151510</x:v>
      </x:c>
      <x:c r="F574" s="6">
        <x:v>2175140</x:v>
      </x:c>
      <x:c r="G574" s="9">
        <x:v>6.9650000000000004E-2</x:v>
      </x:c>
    </x:row>
    <x:row r="575">
      <x:c r="A575" s="5">
        <x:v>2024</x:v>
      </x:c>
      <x:c r="B575" s="15" t="s">
        <x:v>52</x:v>
      </x:c>
      <x:c r="C575" s="15" t="s">
        <x:v>625</x:v>
      </x:c>
      <x:c r="D575" s="15" t="s">
        <x:v>16</x:v>
      </x:c>
      <x:c r="E575" s="6">
        <x:v>111120</x:v>
      </x:c>
      <x:c r="F575" s="6">
        <x:v>2271810</x:v>
      </x:c>
      <x:c r="G575" s="9">
        <x:v>4.8910000000000002E-2</x:v>
      </x:c>
    </x:row>
    <x:row r="576">
      <x:c r="A576" s="5">
        <x:v>2024</x:v>
      </x:c>
      <x:c r="B576" s="15" t="s">
        <x:v>52</x:v>
      </x:c>
      <x:c r="C576" s="15" t="s">
        <x:v>626</x:v>
      </x:c>
      <x:c r="D576" s="15" t="s">
        <x:v>627</x:v>
      </x:c>
      <x:c r="E576" s="6">
        <x:v>262620</x:v>
      </x:c>
      <x:c r="F576" s="6">
        <x:v>4446950</x:v>
      </x:c>
      <x:c r="G576" s="9">
        <x:v>5.9059999999999994E-2</x:v>
      </x:c>
    </x:row>
    <x:row r="577">
      <x:c r="A577" s="5">
        <x:v>2024</x:v>
      </x:c>
      <x:c r="B577" s="15" t="s">
        <x:v>56</x:v>
      </x:c>
      <x:c r="C577" s="15" t="s">
        <x:v>623</x:v>
      </x:c>
      <x:c r="D577" s="15" t="s">
        <x:v>624</x:v>
      </x:c>
      <x:c r="E577" s="6">
        <x:v>226090</x:v>
      </x:c>
      <x:c r="F577" s="6">
        <x:v>2110360</x:v>
      </x:c>
      <x:c r="G577" s="9">
        <x:v>0.10712999999999999</x:v>
      </x:c>
    </x:row>
    <x:row r="578">
      <x:c r="A578" s="5">
        <x:v>2024</x:v>
      </x:c>
      <x:c r="B578" s="15" t="s">
        <x:v>56</x:v>
      </x:c>
      <x:c r="C578" s="15" t="s">
        <x:v>625</x:v>
      </x:c>
      <x:c r="D578" s="15" t="s">
        <x:v>16</x:v>
      </x:c>
      <x:c r="E578" s="6">
        <x:v>162000</x:v>
      </x:c>
      <x:c r="F578" s="6">
        <x:v>2215250</x:v>
      </x:c>
      <x:c r="G578" s="9">
        <x:v>7.3130000000000001E-2</x:v>
      </x:c>
    </x:row>
    <x:row r="579">
      <x:c r="A579" s="5">
        <x:v>2024</x:v>
      </x:c>
      <x:c r="B579" s="15" t="s">
        <x:v>56</x:v>
      </x:c>
      <x:c r="C579" s="15" t="s">
        <x:v>626</x:v>
      </x:c>
      <x:c r="D579" s="15" t="s">
        <x:v>627</x:v>
      </x:c>
      <x:c r="E579" s="6">
        <x:v>388090</x:v>
      </x:c>
      <x:c r="F579" s="6">
        <x:v>4325600</x:v>
      </x:c>
      <x:c r="G579" s="9">
        <x:v>8.9719999999999994E-2</x:v>
      </x:c>
    </x:row>
    <x:row r="580">
      <x:c r="A580" s="5">
        <x:v>2024</x:v>
      </x:c>
      <x:c r="B580" s="15" t="s">
        <x:v>60</x:v>
      </x:c>
      <x:c r="C580" s="15" t="s">
        <x:v>623</x:v>
      </x:c>
      <x:c r="D580" s="15" t="s">
        <x:v>624</x:v>
      </x:c>
      <x:c r="E580" s="6">
        <x:v>309490</x:v>
      </x:c>
      <x:c r="F580" s="6">
        <x:v>2034540</x:v>
      </x:c>
      <x:c r="G580" s="9">
        <x:v>0.15212000000000001</x:v>
      </x:c>
    </x:row>
    <x:row r="581">
      <x:c r="A581" s="5">
        <x:v>2024</x:v>
      </x:c>
      <x:c r="B581" s="15" t="s">
        <x:v>60</x:v>
      </x:c>
      <x:c r="C581" s="15" t="s">
        <x:v>625</x:v>
      </x:c>
      <x:c r="D581" s="15" t="s">
        <x:v>16</x:v>
      </x:c>
      <x:c r="E581" s="6">
        <x:v>215210</x:v>
      </x:c>
      <x:c r="F581" s="6">
        <x:v>2175170</x:v>
      </x:c>
      <x:c r="G581" s="9">
        <x:v>9.894E-2</x:v>
      </x:c>
    </x:row>
    <x:row r="582">
      <x:c r="A582" s="5">
        <x:v>2024</x:v>
      </x:c>
      <x:c r="B582" s="15" t="s">
        <x:v>60</x:v>
      </x:c>
      <x:c r="C582" s="15" t="s">
        <x:v>626</x:v>
      </x:c>
      <x:c r="D582" s="15" t="s">
        <x:v>627</x:v>
      </x:c>
      <x:c r="E582" s="6">
        <x:v>524700</x:v>
      </x:c>
      <x:c r="F582" s="6">
        <x:v>4209710</x:v>
      </x:c>
      <x:c r="G582" s="9">
        <x:v>0.12464</x:v>
      </x:c>
    </x:row>
    <x:row r="583">
      <x:c r="A583" s="5">
        <x:v>2024</x:v>
      </x:c>
      <x:c r="B583" s="15" t="s">
        <x:v>64</x:v>
      </x:c>
      <x:c r="C583" s="15" t="s">
        <x:v>623</x:v>
      </x:c>
      <x:c r="D583" s="15" t="s">
        <x:v>624</x:v>
      </x:c>
      <x:c r="E583" s="6">
        <x:v>366190</x:v>
      </x:c>
      <x:c r="F583" s="6">
        <x:v>1837910</x:v>
      </x:c>
      <x:c r="G583" s="9">
        <x:v>0.19924</x:v>
      </x:c>
    </x:row>
    <x:row r="584">
      <x:c r="A584" s="5">
        <x:v>2024</x:v>
      </x:c>
      <x:c r="B584" s="15" t="s">
        <x:v>64</x:v>
      </x:c>
      <x:c r="C584" s="15" t="s">
        <x:v>625</x:v>
      </x:c>
      <x:c r="D584" s="15" t="s">
        <x:v>16</x:v>
      </x:c>
      <x:c r="E584" s="6">
        <x:v>263000</x:v>
      </x:c>
      <x:c r="F584" s="6">
        <x:v>2044630</x:v>
      </x:c>
      <x:c r="G584" s="9">
        <x:v>0.12862999999999999</x:v>
      </x:c>
    </x:row>
    <x:row r="585">
      <x:c r="A585" s="5">
        <x:v>2024</x:v>
      </x:c>
      <x:c r="B585" s="15" t="s">
        <x:v>64</x:v>
      </x:c>
      <x:c r="C585" s="15" t="s">
        <x:v>626</x:v>
      </x:c>
      <x:c r="D585" s="15" t="s">
        <x:v>627</x:v>
      </x:c>
      <x:c r="E585" s="6">
        <x:v>629190</x:v>
      </x:c>
      <x:c r="F585" s="6">
        <x:v>3882550</x:v>
      </x:c>
      <x:c r="G585" s="9">
        <x:v>0.16204999999999997</x:v>
      </x:c>
    </x:row>
    <x:row r="586">
      <x:c r="A586" s="5">
        <x:v>2024</x:v>
      </x:c>
      <x:c r="B586" s="15" t="s">
        <x:v>68</x:v>
      </x:c>
      <x:c r="C586" s="15" t="s">
        <x:v>623</x:v>
      </x:c>
      <x:c r="D586" s="15" t="s">
        <x:v>624</x:v>
      </x:c>
      <x:c r="E586" s="6">
        <x:v>399660</x:v>
      </x:c>
      <x:c r="F586" s="6">
        <x:v>1676530</x:v>
      </x:c>
      <x:c r="G586" s="9">
        <x:v>0.23838000000000001</x:v>
      </x:c>
    </x:row>
    <x:row r="587">
      <x:c r="A587" s="5">
        <x:v>2024</x:v>
      </x:c>
      <x:c r="B587" s="15" t="s">
        <x:v>68</x:v>
      </x:c>
      <x:c r="C587" s="15" t="s">
        <x:v>625</x:v>
      </x:c>
      <x:c r="D587" s="15" t="s">
        <x:v>16</x:v>
      </x:c>
      <x:c r="E587" s="6">
        <x:v>295920</x:v>
      </x:c>
      <x:c r="F587" s="6">
        <x:v>1934270</x:v>
      </x:c>
      <x:c r="G587" s="9">
        <x:v>0.15298999999999999</x:v>
      </x:c>
    </x:row>
    <x:row r="588">
      <x:c r="A588" s="5">
        <x:v>2024</x:v>
      </x:c>
      <x:c r="B588" s="15" t="s">
        <x:v>68</x:v>
      </x:c>
      <x:c r="C588" s="15" t="s">
        <x:v>626</x:v>
      </x:c>
      <x:c r="D588" s="15" t="s">
        <x:v>627</x:v>
      </x:c>
      <x:c r="E588" s="6">
        <x:v>695580</x:v>
      </x:c>
      <x:c r="F588" s="6">
        <x:v>3610800</x:v>
      </x:c>
      <x:c r="G588" s="9">
        <x:v>0.19264000000000001</x:v>
      </x:c>
    </x:row>
    <x:row r="589">
      <x:c r="A589" s="5">
        <x:v>2024</x:v>
      </x:c>
      <x:c r="B589" s="15" t="s">
        <x:v>72</x:v>
      </x:c>
      <x:c r="C589" s="15" t="s">
        <x:v>623</x:v>
      </x:c>
      <x:c r="D589" s="15" t="s">
        <x:v>624</x:v>
      </x:c>
      <x:c r="E589" s="6">
        <x:v>365710</x:v>
      </x:c>
      <x:c r="F589" s="6">
        <x:v>1427160</x:v>
      </x:c>
      <x:c r="G589" s="9">
        <x:v>0.25624999999999998</x:v>
      </x:c>
    </x:row>
    <x:row r="590">
      <x:c r="A590" s="5">
        <x:v>2024</x:v>
      </x:c>
      <x:c r="B590" s="15" t="s">
        <x:v>72</x:v>
      </x:c>
      <x:c r="C590" s="15" t="s">
        <x:v>625</x:v>
      </x:c>
      <x:c r="D590" s="15" t="s">
        <x:v>16</x:v>
      </x:c>
      <x:c r="E590" s="6">
        <x:v>284460</x:v>
      </x:c>
      <x:c r="F590" s="6">
        <x:v>1704580</x:v>
      </x:c>
      <x:c r="G590" s="9">
        <x:v>0.16688</x:v>
      </x:c>
    </x:row>
    <x:row r="591">
      <x:c r="A591" s="5">
        <x:v>2024</x:v>
      </x:c>
      <x:c r="B591" s="15" t="s">
        <x:v>72</x:v>
      </x:c>
      <x:c r="C591" s="15" t="s">
        <x:v>626</x:v>
      </x:c>
      <x:c r="D591" s="15" t="s">
        <x:v>627</x:v>
      </x:c>
      <x:c r="E591" s="6">
        <x:v>650170</x:v>
      </x:c>
      <x:c r="F591" s="6">
        <x:v>3131740</x:v>
      </x:c>
      <x:c r="G591" s="9">
        <x:v>0.20760999999999999</x:v>
      </x:c>
    </x:row>
    <x:row r="592">
      <x:c r="A592" s="5">
        <x:v>2024</x:v>
      </x:c>
      <x:c r="B592" s="15" t="s">
        <x:v>76</x:v>
      </x:c>
      <x:c r="C592" s="15" t="s">
        <x:v>623</x:v>
      </x:c>
      <x:c r="D592" s="15" t="s">
        <x:v>624</x:v>
      </x:c>
      <x:c r="E592" s="6">
        <x:v>213040</x:v>
      </x:c>
      <x:c r="F592" s="6">
        <x:v>815510</x:v>
      </x:c>
      <x:c r="G592" s="9">
        <x:v>0.26123999999999997</x:v>
      </x:c>
    </x:row>
    <x:row r="593">
      <x:c r="A593" s="5">
        <x:v>2024</x:v>
      </x:c>
      <x:c r="B593" s="15" t="s">
        <x:v>76</x:v>
      </x:c>
      <x:c r="C593" s="15" t="s">
        <x:v>625</x:v>
      </x:c>
      <x:c r="D593" s="15" t="s">
        <x:v>16</x:v>
      </x:c>
      <x:c r="E593" s="6">
        <x:v>193370</x:v>
      </x:c>
      <x:c r="F593" s="6">
        <x:v>1064390</x:v>
      </x:c>
      <x:c r="G593" s="9">
        <x:v>0.18167000000000003</x:v>
      </x:c>
    </x:row>
    <x:row r="594">
      <x:c r="A594" s="5">
        <x:v>2024</x:v>
      </x:c>
      <x:c r="B594" s="15" t="s">
        <x:v>76</x:v>
      </x:c>
      <x:c r="C594" s="15" t="s">
        <x:v>626</x:v>
      </x:c>
      <x:c r="D594" s="15" t="s">
        <x:v>627</x:v>
      </x:c>
      <x:c r="E594" s="6">
        <x:v>406410</x:v>
      </x:c>
      <x:c r="F594" s="6">
        <x:v>1879900</x:v>
      </x:c>
      <x:c r="G594" s="9">
        <x:v>0.21618999999999999</x:v>
      </x:c>
    </x:row>
    <x:row r="595">
      <x:c r="A595" s="5">
        <x:v>2024</x:v>
      </x:c>
      <x:c r="B595" s="15" t="s">
        <x:v>80</x:v>
      </x:c>
      <x:c r="C595" s="15" t="s">
        <x:v>623</x:v>
      </x:c>
      <x:c r="D595" s="15" t="s">
        <x:v>624</x:v>
      </x:c>
      <x:c r="E595" s="6">
        <x:v>129000</x:v>
      </x:c>
      <x:c r="F595" s="6">
        <x:v>547950</x:v>
      </x:c>
      <x:c r="G595" s="9">
        <x:v>0.23543</x:v>
      </x:c>
    </x:row>
    <x:row r="596">
      <x:c r="A596" s="5">
        <x:v>2024</x:v>
      </x:c>
      <x:c r="B596" s="15" t="s">
        <x:v>80</x:v>
      </x:c>
      <x:c r="C596" s="15" t="s">
        <x:v>625</x:v>
      </x:c>
      <x:c r="D596" s="15" t="s">
        <x:v>16</x:v>
      </x:c>
      <x:c r="E596" s="6">
        <x:v>151260</x:v>
      </x:c>
      <x:c r="F596" s="6">
        <x:v>865950</x:v>
      </x:c>
      <x:c r="G596" s="9">
        <x:v>0.17466999999999999</x:v>
      </x:c>
    </x:row>
    <x:row r="597">
      <x:c r="A597" s="5">
        <x:v>2024</x:v>
      </x:c>
      <x:c r="B597" s="15" t="s">
        <x:v>80</x:v>
      </x:c>
      <x:c r="C597" s="15" t="s">
        <x:v>626</x:v>
      </x:c>
      <x:c r="D597" s="15" t="s">
        <x:v>627</x:v>
      </x:c>
      <x:c r="E597" s="6">
        <x:v>280260</x:v>
      </x:c>
      <x:c r="F597" s="6">
        <x:v>1413900</x:v>
      </x:c>
      <x:c r="G597" s="9">
        <x:v>0.19821999999999998</x:v>
      </x:c>
    </x:row>
    <x:row r="598">
      <x:c r="A598" s="5">
        <x:v>2024</x:v>
      </x:c>
      <x:c r="B598" s="15" t="s">
        <x:v>84</x:v>
      </x:c>
      <x:c r="C598" s="15" t="s">
        <x:v>623</x:v>
      </x:c>
      <x:c r="D598" s="15" t="s">
        <x:v>624</x:v>
      </x:c>
      <x:c r="E598" s="6">
        <x:v>53480</x:v>
      </x:c>
      <x:c r="F598" s="6">
        <x:v>262720</x:v>
      </x:c>
      <x:c r="G598" s="9">
        <x:v>0.20354</x:v>
      </x:c>
    </x:row>
    <x:row r="599">
      <x:c r="A599" s="5">
        <x:v>2024</x:v>
      </x:c>
      <x:c r="B599" s="15" t="s">
        <x:v>84</x:v>
      </x:c>
      <x:c r="C599" s="15" t="s">
        <x:v>625</x:v>
      </x:c>
      <x:c r="D599" s="15" t="s">
        <x:v>16</x:v>
      </x:c>
      <x:c r="E599" s="6">
        <x:v>87400</x:v>
      </x:c>
      <x:c r="F599" s="6">
        <x:v>560530</x:v>
      </x:c>
      <x:c r="G599" s="9">
        <x:v>0.15592</x:v>
      </x:c>
    </x:row>
    <x:row r="600">
      <x:c r="A600" s="5">
        <x:v>2024</x:v>
      </x:c>
      <x:c r="B600" s="15" t="s">
        <x:v>84</x:v>
      </x:c>
      <x:c r="C600" s="15" t="s">
        <x:v>626</x:v>
      </x:c>
      <x:c r="D600" s="15" t="s">
        <x:v>627</x:v>
      </x:c>
      <x:c r="E600" s="6">
        <x:v>140870</x:v>
      </x:c>
      <x:c r="F600" s="6">
        <x:v>823250</x:v>
      </x:c>
      <x:c r="G600" s="9">
        <x:v>0.17111000000000001</x:v>
      </x:c>
    </x:row>
    <x:row r="601">
      <x:c r="A601" s="5">
        <x:v>2024</x:v>
      </x:c>
      <x:c r="B601" s="15" t="s">
        <x:v>87</x:v>
      </x:c>
      <x:c r="C601" s="15" t="s">
        <x:v>623</x:v>
      </x:c>
      <x:c r="D601" s="15" t="s">
        <x:v>624</x:v>
      </x:c>
      <x:c r="E601" s="6">
        <x:v>10650</x:v>
      </x:c>
      <x:c r="F601" s="6">
        <x:v>71430</x:v>
      </x:c>
      <x:c r="G601" s="9">
        <x:v>0.14901999999999999</x:v>
      </x:c>
    </x:row>
    <x:row r="602">
      <x:c r="A602" s="5">
        <x:v>2024</x:v>
      </x:c>
      <x:c r="B602" s="15" t="s">
        <x:v>87</x:v>
      </x:c>
      <x:c r="C602" s="15" t="s">
        <x:v>625</x:v>
      </x:c>
      <x:c r="D602" s="15" t="s">
        <x:v>16</x:v>
      </x:c>
      <x:c r="E602" s="6">
        <x:v>27370</x:v>
      </x:c>
      <x:c r="F602" s="6">
        <x:v>243160</x:v>
      </x:c>
      <x:c r="G602" s="9">
        <x:v>0.11257</x:v>
      </x:c>
    </x:row>
    <x:row r="603">
      <x:c r="A603" s="10">
        <x:v>2024</x:v>
      </x:c>
      <x:c r="B603" s="16" t="s">
        <x:v>87</x:v>
      </x:c>
      <x:c r="C603" s="16" t="s">
        <x:v>626</x:v>
      </x:c>
      <x:c r="D603" s="16" t="s">
        <x:v>627</x:v>
      </x:c>
      <x:c r="E603" s="11">
        <x:v>38020</x:v>
      </x:c>
      <x:c r="F603" s="11">
        <x:v>314590</x:v>
      </x:c>
      <x:c r="G603" s="14">
        <x:v>0.12085000000000001</x:v>
      </x:c>
    </x:row>
  </x:sheetData>
  <x:mergeCells>
    <x:mergeCell ref="A1:G1"/>
  </x:mergeCells>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baseColWidth="10" defaultColWidth="8.88671875" defaultRowHeight="14.399999618530273"/>
  <x:cols>
    <x:col min="1" max="1" width="18" customWidth="1"/>
    <x:col min="2" max="3" width="35" customWidth="1"/>
    <x:col min="4" max="9" width="18" customWidth="1"/>
  </x:cols>
  <x:sheetData>
    <x:row r="1" ht="25.799999237060547">
      <x:c r="A1" s="58" t="s">
        <x:v>824</x:v>
      </x:c>
      <x:c r="B1" s="58"/>
      <x:c r="C1" s="58"/>
      <x:c r="D1" s="58"/>
      <x:c r="E1" s="58"/>
      <x:c r="F1" s="58"/>
      <x:c r="G1" s="58"/>
      <x:c r="H1" s="58"/>
      <x:c r="I1" s="58"/>
    </x:row>
    <x:row r="2">
      <x:c r="A2" s="1"/>
      <x:c r="B2" s="1"/>
      <x:c r="C2" s="1"/>
      <x:c r="D2" s="1"/>
      <x:c r="E2" s="1"/>
      <x:c r="F2" s="1"/>
      <x:c r="G2" s="1"/>
      <x:c r="H2" s="1"/>
      <x:c r="I2" s="1"/>
    </x:row>
    <x:row r="3" ht="28.799999237060547">
      <x:c r="A3" s="2" t="s">
        <x:v>1</x:v>
      </x:c>
      <x:c r="B3" s="3" t="s">
        <x:v>825</x:v>
      </x:c>
      <x:c r="C3" s="3" t="s">
        <x:v>826</x:v>
      </x:c>
      <x:c r="D3" s="3" t="s">
        <x:v>827</x:v>
      </x:c>
      <x:c r="E3" s="3" t="s">
        <x:v>6</x:v>
      </x:c>
      <x:c r="F3" s="3" t="s">
        <x:v>828</x:v>
      </x:c>
      <x:c r="G3" s="3" t="s">
        <x:v>829</x:v>
      </x:c>
      <x:c r="H3" s="3" t="s">
        <x:v>830</x:v>
      </x:c>
      <x:c r="I3" s="4" t="s">
        <x:v>831</x:v>
      </x:c>
    </x:row>
    <x:row r="4">
      <x:c r="A4" s="5">
        <x:v>2015</x:v>
      </x:c>
      <x:c r="B4" s="15" t="s">
        <x:v>832</x:v>
      </x:c>
      <x:c r="C4" s="15" t="s">
        <x:v>833</x:v>
      </x:c>
      <x:c r="D4" s="8">
        <x:v>7823925081</x:v>
      </x:c>
      <x:c r="E4" s="6">
        <x:v>3591860</x:v>
      </x:c>
      <x:c r="F4" s="6">
        <x:v>3591860</x:v>
      </x:c>
      <x:c r="G4" s="8">
        <x:v>2178</x:v>
      </x:c>
      <x:c r="H4" s="15" t="s">
        <x:v>834</x:v>
      </x:c>
      <x:c r="I4" s="9" t="n">
        <x:f t="shared" ref="I4:I67" si="0">IFERROR(D4/SUMIFS($D$4:$D$313,$A$4:$A$313,A4,$C$4:$C$313,"Total des dépenses remboursées"),"")</x:f>
        <x:v>1</x:v>
      </x:c>
    </x:row>
    <x:row r="5">
      <x:c r="A5" s="5">
        <x:v>2015</x:v>
      </x:c>
      <x:c r="B5" s="15" t="s">
        <x:v>835</x:v>
      </x:c>
      <x:c r="C5" s="15" t="s">
        <x:v>836</x:v>
      </x:c>
      <x:c r="D5" s="8">
        <x:v>127856120</x:v>
      </x:c>
      <x:c r="E5" s="6">
        <x:v>3591860</x:v>
      </x:c>
      <x:c r="F5" s="6">
        <x:v>1625680</x:v>
      </x:c>
      <x:c r="G5" s="8">
        <x:v>36</x:v>
      </x:c>
      <x:c r="H5" s="15" t="s">
        <x:v>837</x:v>
      </x:c>
      <x:c r="I5" s="9">
        <x:f t="shared" si="0"/>
        <x:v>1.6341685110264157E-2</x:v>
      </x:c>
    </x:row>
    <x:row r="6">
      <x:c r="A6" s="5">
        <x:v>2015</x:v>
      </x:c>
      <x:c r="B6" s="15" t="s">
        <x:v>835</x:v>
      </x:c>
      <x:c r="C6" s="15" t="s">
        <x:v>838</x:v>
      </x:c>
      <x:c r="D6" s="8">
        <x:v>10775663</x:v>
      </x:c>
      <x:c r="E6" s="6">
        <x:v>3591860</x:v>
      </x:c>
      <x:c r="F6" s="6">
        <x:v>9630</x:v>
      </x:c>
      <x:c r="G6" s="8">
        <x:v>3</x:v>
      </x:c>
      <x:c r="H6" s="15" t="s">
        <x:v>837</x:v>
      </x:c>
      <x:c r="I6" s="9">
        <x:f t="shared" si="0"/>
        <x:v>1.3772707290063582E-3</x:v>
      </x:c>
    </x:row>
    <x:row r="7">
      <x:c r="A7" s="5">
        <x:v>2015</x:v>
      </x:c>
      <x:c r="B7" s="15" t="s">
        <x:v>835</x:v>
      </x:c>
      <x:c r="C7" s="15" t="s">
        <x:v>839</x:v>
      </x:c>
      <x:c r="D7" s="8">
        <x:v>0</x:v>
      </x:c>
      <x:c r="E7" s="6">
        <x:v>3591860</x:v>
      </x:c>
      <x:c r="F7" s="6">
        <x:v>21120</x:v>
      </x:c>
      <x:c r="G7" s="8">
        <x:v>0</x:v>
      </x:c>
      <x:c r="H7" s="15" t="s">
        <x:v>837</x:v>
      </x:c>
      <x:c r="I7" s="9">
        <x:f t="shared" si="0"/>
        <x:v>0</x:v>
      </x:c>
    </x:row>
    <x:row r="8">
      <x:c r="A8" s="5">
        <x:v>2015</x:v>
      </x:c>
      <x:c r="B8" s="15" t="s">
        <x:v>835</x:v>
      </x:c>
      <x:c r="C8" s="15" t="s">
        <x:v>840</x:v>
      </x:c>
      <x:c r="D8" s="8">
        <x:v>394396293</x:v>
      </x:c>
      <x:c r="E8" s="6">
        <x:v>3591860</x:v>
      </x:c>
      <x:c r="F8" s="6">
        <x:v>861050</x:v>
      </x:c>
      <x:c r="G8" s="8">
        <x:v>110</x:v>
      </x:c>
      <x:c r="H8" s="15" t="s">
        <x:v>837</x:v>
      </x:c>
      <x:c r="I8" s="9">
        <x:f t="shared" si="0"/>
        <x:v>5.0409006849742352E-2</x:v>
      </x:c>
    </x:row>
    <x:row r="9">
      <x:c r="A9" s="5">
        <x:v>2015</x:v>
      </x:c>
      <x:c r="B9" s="15" t="s">
        <x:v>835</x:v>
      </x:c>
      <x:c r="C9" s="15" t="s">
        <x:v>841</x:v>
      </x:c>
      <x:c r="D9" s="8">
        <x:v>7132444</x:v>
      </x:c>
      <x:c r="E9" s="6">
        <x:v>3591860</x:v>
      </x:c>
      <x:c r="F9" s="6">
        <x:v>8790</x:v>
      </x:c>
      <x:c r="G9" s="8">
        <x:v>2</x:v>
      </x:c>
      <x:c r="H9" s="15" t="s">
        <x:v>837</x:v>
      </x:c>
      <x:c r="I9" s="9">
        <x:f t="shared" si="0"/>
        <x:v>9.1161966994300256E-4</x:v>
      </x:c>
    </x:row>
    <x:row r="10">
      <x:c r="A10" s="5">
        <x:v>2015</x:v>
      </x:c>
      <x:c r="B10" s="15" t="s">
        <x:v>835</x:v>
      </x:c>
      <x:c r="C10" s="15" t="s">
        <x:v>842</x:v>
      </x:c>
      <x:c r="D10" s="8">
        <x:v>81157752</x:v>
      </x:c>
      <x:c r="E10" s="6">
        <x:v>3591860</x:v>
      </x:c>
      <x:c r="F10" s="6">
        <x:v>116510</x:v>
      </x:c>
      <x:c r="G10" s="8">
        <x:v>23</x:v>
      </x:c>
      <x:c r="H10" s="15" t="s">
        <x:v>837</x:v>
      </x:c>
      <x:c r="I10" s="9">
        <x:f t="shared" si="0"/>
        <x:v>1.0373022640143555E-2</x:v>
      </x:c>
    </x:row>
    <x:row r="11">
      <x:c r="A11" s="5">
        <x:v>2015</x:v>
      </x:c>
      <x:c r="B11" s="15" t="s">
        <x:v>835</x:v>
      </x:c>
      <x:c r="C11" s="15" t="s">
        <x:v>843</x:v>
      </x:c>
      <x:c r="D11" s="8">
        <x:v>0</x:v>
      </x:c>
      <x:c r="E11" s="6">
        <x:v>3591860</x:v>
      </x:c>
      <x:c r="F11" s="6">
        <x:v>7820</x:v>
      </x:c>
      <x:c r="G11" s="8">
        <x:v>0</x:v>
      </x:c>
      <x:c r="H11" s="15" t="s">
        <x:v>837</x:v>
      </x:c>
      <x:c r="I11" s="9">
        <x:f t="shared" si="0"/>
        <x:v>0</x:v>
      </x:c>
    </x:row>
    <x:row r="12">
      <x:c r="A12" s="5">
        <x:v>2015</x:v>
      </x:c>
      <x:c r="B12" s="15" t="s">
        <x:v>835</x:v>
      </x:c>
      <x:c r="C12" s="15" t="s">
        <x:v>844</x:v>
      </x:c>
      <x:c r="D12" s="8">
        <x:v>53034661</x:v>
      </x:c>
      <x:c r="E12" s="6">
        <x:v>3591860</x:v>
      </x:c>
      <x:c r="F12" s="6">
        <x:v>613520</x:v>
      </x:c>
      <x:c r="G12" s="8">
        <x:v>15</x:v>
      </x:c>
      <x:c r="H12" s="15" t="s">
        <x:v>837</x:v>
      </x:c>
      <x:c r="I12" s="9">
        <x:f t="shared" si="0"/>
        <x:v>6.7785236247714011E-3</x:v>
      </x:c>
    </x:row>
    <x:row r="13">
      <x:c r="A13" s="5">
        <x:v>2015</x:v>
      </x:c>
      <x:c r="B13" s="15" t="s">
        <x:v>835</x:v>
      </x:c>
      <x:c r="C13" s="15" t="s">
        <x:v>845</x:v>
      </x:c>
      <x:c r="D13" s="8">
        <x:v>37043523</x:v>
      </x:c>
      <x:c r="E13" s="6">
        <x:v>3591860</x:v>
      </x:c>
      <x:c r="F13" s="6">
        <x:v>75650</x:v>
      </x:c>
      <x:c r="G13" s="8">
        <x:v>10</x:v>
      </x:c>
      <x:c r="H13" s="15" t="s">
        <x:v>837</x:v>
      </x:c>
      <x:c r="I13" s="9">
        <x:f t="shared" si="0"/>
        <x:v>4.7346469472155728E-3</x:v>
      </x:c>
    </x:row>
    <x:row r="14">
      <x:c r="A14" s="5">
        <x:v>2015</x:v>
      </x:c>
      <x:c r="B14" s="15" t="s">
        <x:v>835</x:v>
      </x:c>
      <x:c r="C14" s="15" t="s">
        <x:v>846</x:v>
      </x:c>
      <x:c r="D14" s="8">
        <x:v>879869</x:v>
      </x:c>
      <x:c r="E14" s="6">
        <x:v>3591860</x:v>
      </x:c>
      <x:c r="F14" s="6">
        <x:v>69950</x:v>
      </x:c>
      <x:c r="G14" s="8">
        <x:v>0</x:v>
      </x:c>
      <x:c r="H14" s="15" t="s">
        <x:v>837</x:v>
      </x:c>
      <x:c r="I14" s="9">
        <x:f t="shared" si="0"/>
        <x:v>1.1245877112713114E-4</x:v>
      </x:c>
    </x:row>
    <x:row r="15">
      <x:c r="A15" s="5">
        <x:v>2015</x:v>
      </x:c>
      <x:c r="B15" s="15" t="s">
        <x:v>835</x:v>
      </x:c>
      <x:c r="C15" s="15" t="s">
        <x:v>847</x:v>
      </x:c>
      <x:c r="D15" s="8">
        <x:v>1316150</x:v>
      </x:c>
      <x:c r="E15" s="6">
        <x:v>3591860</x:v>
      </x:c>
      <x:c r="F15" s="6">
        <x:v>98000</x:v>
      </x:c>
      <x:c r="G15" s="8">
        <x:v>0</x:v>
      </x:c>
      <x:c r="H15" s="15" t="s">
        <x:v>837</x:v>
      </x:c>
      <x:c r="I15" s="9">
        <x:f t="shared" si="0"/>
        <x:v>1.6822119158530833E-4</x:v>
      </x:c>
    </x:row>
    <x:row r="16">
      <x:c r="A16" s="5">
        <x:v>2015</x:v>
      </x:c>
      <x:c r="B16" s="15" t="s">
        <x:v>835</x:v>
      </x:c>
      <x:c r="C16" s="15" t="s">
        <x:v>848</x:v>
      </x:c>
      <x:c r="D16" s="8">
        <x:v>713592475</x:v>
      </x:c>
      <x:c r="E16" s="6">
        <x:v>3591860</x:v>
      </x:c>
      <x:c r="F16" s="6">
        <x:v>2086170</x:v>
      </x:c>
      <x:c r="G16" s="8">
        <x:v>199</x:v>
      </x:c>
      <x:c r="H16" s="15" t="s">
        <x:v>834</x:v>
      </x:c>
      <x:c r="I16" s="9">
        <x:f t="shared" si="0"/>
        <x:v>9.1206455533798844E-2</x:v>
      </x:c>
    </x:row>
    <x:row r="17">
      <x:c r="A17" s="5">
        <x:v>2015</x:v>
      </x:c>
      <x:c r="B17" s="15" t="s">
        <x:v>849</x:v>
      </x:c>
      <x:c r="C17" s="15" t="s">
        <x:v>850</x:v>
      </x:c>
      <x:c r="D17" s="8">
        <x:v>0</x:v>
      </x:c>
      <x:c r="E17" s="6">
        <x:v>3591860</x:v>
      </x:c>
      <x:c r="F17" s="6">
        <x:v>6740</x:v>
      </x:c>
      <x:c r="G17" s="8">
        <x:v>0</x:v>
      </x:c>
      <x:c r="H17" s="15" t="s">
        <x:v>837</x:v>
      </x:c>
      <x:c r="I17" s="9">
        <x:f t="shared" si="0"/>
        <x:v>0</x:v>
      </x:c>
    </x:row>
    <x:row r="18">
      <x:c r="A18" s="5">
        <x:v>2015</x:v>
      </x:c>
      <x:c r="B18" s="15" t="s">
        <x:v>849</x:v>
      </x:c>
      <x:c r="C18" s="15" t="s">
        <x:v>851</x:v>
      </x:c>
      <x:c r="D18" s="8">
        <x:v>295299060</x:v>
      </x:c>
      <x:c r="E18" s="6">
        <x:v>3591860</x:v>
      </x:c>
      <x:c r="F18" s="6">
        <x:v>104850</x:v>
      </x:c>
      <x:c r="G18" s="8">
        <x:v>82</x:v>
      </x:c>
      <x:c r="H18" s="15" t="s">
        <x:v>837</x:v>
      </x:c>
      <x:c r="I18" s="9">
        <x:f t="shared" si="0"/>
        <x:v>3.7743083802926305E-2</x:v>
      </x:c>
    </x:row>
    <x:row r="19">
      <x:c r="A19" s="5">
        <x:v>2015</x:v>
      </x:c>
      <x:c r="B19" s="15" t="s">
        <x:v>849</x:v>
      </x:c>
      <x:c r="C19" s="15" t="s">
        <x:v>852</x:v>
      </x:c>
      <x:c r="D19" s="8">
        <x:v>760266868</x:v>
      </x:c>
      <x:c r="E19" s="6">
        <x:v>3591860</x:v>
      </x:c>
      <x:c r="F19" s="6">
        <x:v>455550</x:v>
      </x:c>
      <x:c r="G19" s="8">
        <x:v>212</x:v>
      </x:c>
      <x:c r="H19" s="15" t="s">
        <x:v>834</x:v>
      </x:c>
      <x:c r="I19" s="9">
        <x:f t="shared" si="0"/>
        <x:v>9.7172053685210896E-2</x:v>
      </x:c>
    </x:row>
    <x:row r="20">
      <x:c r="A20" s="5">
        <x:v>2015</x:v>
      </x:c>
      <x:c r="B20" s="15" t="s">
        <x:v>849</x:v>
      </x:c>
      <x:c r="C20" s="15" t="s">
        <x:v>853</x:v>
      </x:c>
      <x:c r="D20" s="8">
        <x:v>298652974</x:v>
      </x:c>
      <x:c r="E20" s="6">
        <x:v>3591860</x:v>
      </x:c>
      <x:c r="F20" s="6">
        <x:v>185000</x:v>
      </x:c>
      <x:c r="G20" s="8">
        <x:v>83</x:v>
      </x:c>
      <x:c r="H20" s="15" t="s">
        <x:v>837</x:v>
      </x:c>
      <x:c r="I20" s="9">
        <x:f t="shared" si="0"/>
        <x:v>3.8171757897485933E-2</x:v>
      </x:c>
    </x:row>
    <x:row r="21">
      <x:c r="A21" s="5">
        <x:v>2015</x:v>
      </x:c>
      <x:c r="B21" s="15" t="s">
        <x:v>849</x:v>
      </x:c>
      <x:c r="C21" s="15" t="s">
        <x:v>854</x:v>
      </x:c>
      <x:c r="D21" s="8">
        <x:v>166314834</x:v>
      </x:c>
      <x:c r="E21" s="6">
        <x:v>3591860</x:v>
      </x:c>
      <x:c r="F21" s="6">
        <x:v>199320</x:v>
      </x:c>
      <x:c r="G21" s="8">
        <x:v>46</x:v>
      </x:c>
      <x:c r="H21" s="15" t="s">
        <x:v>837</x:v>
      </x:c>
      <x:c r="I21" s="9">
        <x:f t="shared" si="0"/>
        <x:v>2.1257211984798657E-2</x:v>
      </x:c>
    </x:row>
    <x:row r="22">
      <x:c r="A22" s="5">
        <x:v>2015</x:v>
      </x:c>
      <x:c r="B22" s="15" t="s">
        <x:v>855</x:v>
      </x:c>
      <x:c r="C22" s="15" t="s">
        <x:v>856</x:v>
      </x:c>
      <x:c r="D22" s="8">
        <x:v>21985081</x:v>
      </x:c>
      <x:c r="E22" s="6">
        <x:v>3591860</x:v>
      </x:c>
      <x:c r="F22" s="6">
        <x:v>236310</x:v>
      </x:c>
      <x:c r="G22" s="8">
        <x:v>6</x:v>
      </x:c>
      <x:c r="H22" s="15" t="s">
        <x:v>837</x:v>
      </x:c>
      <x:c r="I22" s="9">
        <x:f t="shared" si="0"/>
        <x:v>2.8099810226186392E-3</x:v>
      </x:c>
    </x:row>
    <x:row r="23">
      <x:c r="A23" s="5">
        <x:v>2015</x:v>
      </x:c>
      <x:c r="B23" s="15" t="s">
        <x:v>855</x:v>
      </x:c>
      <x:c r="C23" s="15" t="s">
        <x:v>857</x:v>
      </x:c>
      <x:c r="D23" s="8">
        <x:v>10373967</x:v>
      </x:c>
      <x:c r="E23" s="6">
        <x:v>3591860</x:v>
      </x:c>
      <x:c r="F23" s="6">
        <x:v>410040</x:v>
      </x:c>
      <x:c r="G23" s="8">
        <x:v>3</x:v>
      </x:c>
      <x:c r="H23" s="15" t="s">
        <x:v>837</x:v>
      </x:c>
      <x:c r="I23" s="9">
        <x:f t="shared" si="0"/>
        <x:v>1.3259287240866666E-3</x:v>
      </x:c>
    </x:row>
    <x:row r="24">
      <x:c r="A24" s="5">
        <x:v>2015</x:v>
      </x:c>
      <x:c r="B24" s="15" t="s">
        <x:v>855</x:v>
      </x:c>
      <x:c r="C24" s="15" t="s">
        <x:v>858</x:v>
      </x:c>
      <x:c r="D24" s="8">
        <x:v>0</x:v>
      </x:c>
      <x:c r="E24" s="6">
        <x:v>3591860</x:v>
      </x:c>
      <x:c r="F24" s="6">
        <x:v>15160</x:v>
      </x:c>
      <x:c r="G24" s="8">
        <x:v>0</x:v>
      </x:c>
      <x:c r="H24" s="15" t="s">
        <x:v>837</x:v>
      </x:c>
      <x:c r="I24" s="9">
        <x:f t="shared" si="0"/>
        <x:v>0</x:v>
      </x:c>
    </x:row>
    <x:row r="25">
      <x:c r="A25" s="5">
        <x:v>2015</x:v>
      </x:c>
      <x:c r="B25" s="15" t="s">
        <x:v>855</x:v>
      </x:c>
      <x:c r="C25" s="15" t="s">
        <x:v>859</x:v>
      </x:c>
      <x:c r="D25" s="8">
        <x:v>6350065738</x:v>
      </x:c>
      <x:c r="E25" s="6">
        <x:v>3591860</x:v>
      </x:c>
      <x:c r="F25" s="6">
        <x:v>3583190</x:v>
      </x:c>
      <x:c r="G25" s="8">
        <x:v>1768</x:v>
      </x:c>
      <x:c r="H25" s="15" t="s">
        <x:v>834</x:v>
      </x:c>
      <x:c r="I25" s="9">
        <x:f t="shared" si="0"/>
        <x:v>0.81162149078099022</x:v>
      </x:c>
    </x:row>
    <x:row r="26">
      <x:c r="A26" s="5">
        <x:v>2015</x:v>
      </x:c>
      <x:c r="B26" s="15" t="s">
        <x:v>855</x:v>
      </x:c>
      <x:c r="C26" s="15" t="s">
        <x:v>860</x:v>
      </x:c>
      <x:c r="D26" s="8">
        <x:v>225887071</x:v>
      </x:c>
      <x:c r="E26" s="6">
        <x:v>3591860</x:v>
      </x:c>
      <x:c r="F26" s="6">
        <x:v>3329590</x:v>
      </x:c>
      <x:c r="G26" s="8">
        <x:v>63</x:v>
      </x:c>
      <x:c r="H26" s="15" t="s">
        <x:v>837</x:v>
      </x:c>
      <x:c r="I26" s="9">
        <x:f t="shared" si="0"/>
        <x:v>2.8871323365372598E-2</x:v>
      </x:c>
    </x:row>
    <x:row r="27">
      <x:c r="A27" s="5">
        <x:v>2015</x:v>
      </x:c>
      <x:c r="B27" s="15" t="s">
        <x:v>855</x:v>
      </x:c>
      <x:c r="C27" s="15" t="s">
        <x:v>861</x:v>
      </x:c>
      <x:c r="D27" s="8">
        <x:v>2487010277</x:v>
      </x:c>
      <x:c r="E27" s="6">
        <x:v>3591860</x:v>
      </x:c>
      <x:c r="F27" s="6">
        <x:v>3553560</x:v>
      </x:c>
      <x:c r="G27" s="8">
        <x:v>692</x:v>
      </x:c>
      <x:c r="H27" s="15" t="s">
        <x:v>837</x:v>
      </x:c>
      <x:c r="I27" s="9">
        <x:f t="shared" si="0"/>
        <x:v>0.31787245548140236</x:v>
      </x:c>
    </x:row>
    <x:row r="28">
      <x:c r="A28" s="5">
        <x:v>2015</x:v>
      </x:c>
      <x:c r="B28" s="15" t="s">
        <x:v>855</x:v>
      </x:c>
      <x:c r="C28" s="15" t="s">
        <x:v>862</x:v>
      </x:c>
      <x:c r="D28" s="8">
        <x:v>317804144</x:v>
      </x:c>
      <x:c r="E28" s="6">
        <x:v>3591860</x:v>
      </x:c>
      <x:c r="F28" s="6">
        <x:v>3463000</x:v>
      </x:c>
      <x:c r="G28" s="8">
        <x:v>88</x:v>
      </x:c>
      <x:c r="H28" s="15" t="s">
        <x:v>837</x:v>
      </x:c>
      <x:c r="I28" s="9">
        <x:f t="shared" si="0"/>
        <x:v>4.0619528013090392E-2</x:v>
      </x:c>
    </x:row>
    <x:row r="29">
      <x:c r="A29" s="5">
        <x:v>2015</x:v>
      </x:c>
      <x:c r="B29" s="15" t="s">
        <x:v>855</x:v>
      </x:c>
      <x:c r="C29" s="15" t="s">
        <x:v>863</x:v>
      </x:c>
      <x:c r="D29" s="8">
        <x:v>110506459</x:v>
      </x:c>
      <x:c r="E29" s="6">
        <x:v>3591860</x:v>
      </x:c>
      <x:c r="F29" s="6">
        <x:v>806640</x:v>
      </x:c>
      <x:c r="G29" s="8">
        <x:v>31</x:v>
      </x:c>
      <x:c r="H29" s="15" t="s">
        <x:v>837</x:v>
      </x:c>
      <x:c r="I29" s="9">
        <x:f t="shared" si="0"/>
        <x:v>1.412417141727996E-2</x:v>
      </x:c>
    </x:row>
    <x:row r="30">
      <x:c r="A30" s="5">
        <x:v>2015</x:v>
      </x:c>
      <x:c r="B30" s="15" t="s">
        <x:v>855</x:v>
      </x:c>
      <x:c r="C30" s="15" t="s">
        <x:v>864</x:v>
      </x:c>
      <x:c r="D30" s="8">
        <x:v>87467738</x:v>
      </x:c>
      <x:c r="E30" s="6">
        <x:v>3591860</x:v>
      </x:c>
      <x:c r="F30" s="6">
        <x:v>1274200</x:v>
      </x:c>
      <x:c r="G30" s="8">
        <x:v>24</x:v>
      </x:c>
      <x:c r="H30" s="15" t="s">
        <x:v>837</x:v>
      </x:c>
      <x:c r="I30" s="9">
        <x:f t="shared" si="0"/>
        <x:v>1.1179521415972005E-2</x:v>
      </x:c>
    </x:row>
    <x:row r="31">
      <x:c r="A31" s="5">
        <x:v>2015</x:v>
      </x:c>
      <x:c r="B31" s="15" t="s">
        <x:v>855</x:v>
      </x:c>
      <x:c r="C31" s="15" t="s">
        <x:v>865</x:v>
      </x:c>
      <x:c r="D31" s="8">
        <x:v>1302727306</x:v>
      </x:c>
      <x:c r="E31" s="6">
        <x:v>3591860</x:v>
      </x:c>
      <x:c r="F31" s="6">
        <x:v>2813810</x:v>
      </x:c>
      <x:c r="G31" s="8">
        <x:v>363</x:v>
      </x:c>
      <x:c r="H31" s="15" t="s">
        <x:v>837</x:v>
      </x:c>
      <x:c r="I31" s="9">
        <x:f t="shared" si="0"/>
        <x:v>0.16650559565857889</x:v>
      </x:c>
    </x:row>
    <x:row r="32">
      <x:c r="A32" s="5">
        <x:v>2015</x:v>
      </x:c>
      <x:c r="B32" s="15" t="s">
        <x:v>855</x:v>
      </x:c>
      <x:c r="C32" s="15" t="s">
        <x:v>866</x:v>
      </x:c>
      <x:c r="D32" s="8">
        <x:v>289239657</x:v>
      </x:c>
      <x:c r="E32" s="6">
        <x:v>3591860</x:v>
      </x:c>
      <x:c r="F32" s="6">
        <x:v>2828630</x:v>
      </x:c>
      <x:c r="G32" s="8">
        <x:v>81</x:v>
      </x:c>
      <x:c r="H32" s="15" t="s">
        <x:v>837</x:v>
      </x:c>
      <x:c r="I32" s="9">
        <x:f t="shared" si="0"/>
        <x:v>3.6968612813331206E-2</x:v>
      </x:c>
    </x:row>
    <x:row r="33">
      <x:c r="A33" s="5">
        <x:v>2015</x:v>
      </x:c>
      <x:c r="B33" s="15" t="s">
        <x:v>855</x:v>
      </x:c>
      <x:c r="C33" s="15" t="s">
        <x:v>867</x:v>
      </x:c>
      <x:c r="D33" s="8">
        <x:v>1404381212</x:v>
      </x:c>
      <x:c r="E33" s="6">
        <x:v>3591860</x:v>
      </x:c>
      <x:c r="F33" s="6">
        <x:v>2295410</x:v>
      </x:c>
      <x:c r="G33" s="8">
        <x:v>391</x:v>
      </x:c>
      <x:c r="H33" s="15" t="s">
        <x:v>837</x:v>
      </x:c>
      <x:c r="I33" s="9">
        <x:f t="shared" si="0"/>
        <x:v>0.17949829496839989</x:v>
      </x:c>
    </x:row>
    <x:row r="34">
      <x:c r="A34" s="5">
        <x:v>2015</x:v>
      </x:c>
      <x:c r="B34" s="15" t="s">
        <x:v>855</x:v>
      </x:c>
      <x:c r="C34" s="15" t="s">
        <x:v>868</x:v>
      </x:c>
      <x:c r="D34" s="8">
        <x:v>92682827</x:v>
      </x:c>
      <x:c r="E34" s="6">
        <x:v>3591860</x:v>
      </x:c>
      <x:c r="F34" s="6">
        <x:v>902800</x:v>
      </x:c>
      <x:c r="G34" s="8">
        <x:v>26</x:v>
      </x:c>
      <x:c r="H34" s="15" t="s">
        <x:v>837</x:v>
      </x:c>
      <x:c r="I34" s="9">
        <x:f t="shared" si="0"/>
        <x:v>1.1846078028670735E-2</x:v>
      </x:c>
    </x:row>
    <x:row r="35">
      <x:c r="A35" s="5">
        <x:v>2016</x:v>
      </x:c>
      <x:c r="B35" s="15" t="s">
        <x:v>832</x:v>
      </x:c>
      <x:c r="C35" s="15" t="s">
        <x:v>833</x:v>
      </x:c>
      <x:c r="D35" s="8">
        <x:v>7929726324</x:v>
      </x:c>
      <x:c r="E35" s="6">
        <x:v>3665960</x:v>
      </x:c>
      <x:c r="F35" s="6">
        <x:v>3665950</x:v>
      </x:c>
      <x:c r="G35" s="8">
        <x:v>2163</x:v>
      </x:c>
      <x:c r="H35" s="15" t="s">
        <x:v>834</x:v>
      </x:c>
      <x:c r="I35" s="9">
        <x:f t="shared" si="0"/>
        <x:v>1</x:v>
      </x:c>
    </x:row>
    <x:row r="36">
      <x:c r="A36" s="5">
        <x:v>2016</x:v>
      </x:c>
      <x:c r="B36" s="15" t="s">
        <x:v>835</x:v>
      </x:c>
      <x:c r="C36" s="15" t="s">
        <x:v>836</x:v>
      </x:c>
      <x:c r="D36" s="8">
        <x:v>138127791</x:v>
      </x:c>
      <x:c r="E36" s="6">
        <x:v>3665960</x:v>
      </x:c>
      <x:c r="F36" s="6">
        <x:v>1705680</x:v>
      </x:c>
      <x:c r="G36" s="8">
        <x:v>38</x:v>
      </x:c>
      <x:c r="H36" s="15" t="s">
        <x:v>837</x:v>
      </x:c>
      <x:c r="I36" s="9">
        <x:f t="shared" si="0"/>
        <x:v>1.7418985896391449E-2</x:v>
      </x:c>
    </x:row>
    <x:row r="37">
      <x:c r="A37" s="5">
        <x:v>2016</x:v>
      </x:c>
      <x:c r="B37" s="15" t="s">
        <x:v>835</x:v>
      </x:c>
      <x:c r="C37" s="15" t="s">
        <x:v>843</x:v>
      </x:c>
      <x:c r="D37" s="8">
        <x:v>0</x:v>
      </x:c>
      <x:c r="E37" s="6">
        <x:v>3665960</x:v>
      </x:c>
      <x:c r="F37" s="6">
        <x:v>8070</x:v>
      </x:c>
      <x:c r="G37" s="8">
        <x:v>0</x:v>
      </x:c>
      <x:c r="H37" s="15" t="s">
        <x:v>837</x:v>
      </x:c>
      <x:c r="I37" s="9">
        <x:f t="shared" si="0"/>
        <x:v>0</x:v>
      </x:c>
    </x:row>
    <x:row r="38">
      <x:c r="A38" s="5">
        <x:v>2016</x:v>
      </x:c>
      <x:c r="B38" s="15" t="s">
        <x:v>835</x:v>
      </x:c>
      <x:c r="C38" s="15" t="s">
        <x:v>838</x:v>
      </x:c>
      <x:c r="D38" s="8">
        <x:v>11365855</x:v>
      </x:c>
      <x:c r="E38" s="6">
        <x:v>3665960</x:v>
      </x:c>
      <x:c r="F38" s="6">
        <x:v>10450</x:v>
      </x:c>
      <x:c r="G38" s="8">
        <x:v>3</x:v>
      </x:c>
      <x:c r="H38" s="15" t="s">
        <x:v>837</x:v>
      </x:c>
      <x:c r="I38" s="9">
        <x:f t="shared" si="0"/>
        <x:v>1.4333224799448956E-3</x:v>
      </x:c>
    </x:row>
    <x:row r="39">
      <x:c r="A39" s="5">
        <x:v>2016</x:v>
      </x:c>
      <x:c r="B39" s="15" t="s">
        <x:v>835</x:v>
      </x:c>
      <x:c r="C39" s="15" t="s">
        <x:v>842</x:v>
      </x:c>
      <x:c r="D39" s="8">
        <x:v>77729002</x:v>
      </x:c>
      <x:c r="E39" s="6">
        <x:v>3665960</x:v>
      </x:c>
      <x:c r="F39" s="6">
        <x:v>117630</x:v>
      </x:c>
      <x:c r="G39" s="8">
        <x:v>21</x:v>
      </x:c>
      <x:c r="H39" s="15" t="s">
        <x:v>837</x:v>
      </x:c>
      <x:c r="I39" s="9">
        <x:f t="shared" si="0"/>
        <x:v>9.8022300927014944E-3</x:v>
      </x:c>
    </x:row>
    <x:row r="40">
      <x:c r="A40" s="5">
        <x:v>2016</x:v>
      </x:c>
      <x:c r="B40" s="15" t="s">
        <x:v>835</x:v>
      </x:c>
      <x:c r="C40" s="15" t="s">
        <x:v>839</x:v>
      </x:c>
      <x:c r="D40" s="8">
        <x:v>0</x:v>
      </x:c>
      <x:c r="E40" s="6">
        <x:v>3665960</x:v>
      </x:c>
      <x:c r="F40" s="6">
        <x:v>21990</x:v>
      </x:c>
      <x:c r="G40" s="8">
        <x:v>0</x:v>
      </x:c>
      <x:c r="H40" s="15" t="s">
        <x:v>837</x:v>
      </x:c>
      <x:c r="I40" s="9">
        <x:f t="shared" si="0"/>
        <x:v>0</x:v>
      </x:c>
    </x:row>
    <x:row r="41">
      <x:c r="A41" s="5">
        <x:v>2016</x:v>
      </x:c>
      <x:c r="B41" s="15" t="s">
        <x:v>835</x:v>
      </x:c>
      <x:c r="C41" s="15" t="s">
        <x:v>847</x:v>
      </x:c>
      <x:c r="D41" s="8">
        <x:v>2412070</x:v>
      </x:c>
      <x:c r="E41" s="6">
        <x:v>3665960</x:v>
      </x:c>
      <x:c r="F41" s="6">
        <x:v>104080</x:v>
      </x:c>
      <x:c r="G41" s="8">
        <x:v>1</x:v>
      </x:c>
      <x:c r="H41" s="15" t="s">
        <x:v>837</x:v>
      </x:c>
      <x:c r="I41" s="9">
        <x:f t="shared" si="0"/>
        <x:v>3.0418073732250538E-4</x:v>
      </x:c>
    </x:row>
    <x:row r="42">
      <x:c r="A42" s="5">
        <x:v>2016</x:v>
      </x:c>
      <x:c r="B42" s="15" t="s">
        <x:v>835</x:v>
      </x:c>
      <x:c r="C42" s="15" t="s">
        <x:v>844</x:v>
      </x:c>
      <x:c r="D42" s="8">
        <x:v>54316840</x:v>
      </x:c>
      <x:c r="E42" s="6">
        <x:v>3665960</x:v>
      </x:c>
      <x:c r="F42" s="6">
        <x:v>652110</x:v>
      </x:c>
      <x:c r="G42" s="8">
        <x:v>15</x:v>
      </x:c>
      <x:c r="H42" s="15" t="s">
        <x:v>837</x:v>
      </x:c>
      <x:c r="I42" s="9">
        <x:f t="shared" si="0"/>
        <x:v>6.849774857375015E-3</x:v>
      </x:c>
    </x:row>
    <x:row r="43">
      <x:c r="A43" s="5">
        <x:v>2016</x:v>
      </x:c>
      <x:c r="B43" s="15" t="s">
        <x:v>835</x:v>
      </x:c>
      <x:c r="C43" s="15" t="s">
        <x:v>840</x:v>
      </x:c>
      <x:c r="D43" s="8">
        <x:v>404739515</x:v>
      </x:c>
      <x:c r="E43" s="6">
        <x:v>3665960</x:v>
      </x:c>
      <x:c r="F43" s="6">
        <x:v>891700</x:v>
      </x:c>
      <x:c r="G43" s="8">
        <x:v>110</x:v>
      </x:c>
      <x:c r="H43" s="15" t="s">
        <x:v>837</x:v>
      </x:c>
      <x:c r="I43" s="9">
        <x:f t="shared" si="0"/>
        <x:v>5.1040792388385582E-2</x:v>
      </x:c>
    </x:row>
    <x:row r="44">
      <x:c r="A44" s="5">
        <x:v>2016</x:v>
      </x:c>
      <x:c r="B44" s="15" t="s">
        <x:v>835</x:v>
      </x:c>
      <x:c r="C44" s="15" t="s">
        <x:v>841</x:v>
      </x:c>
      <x:c r="D44" s="8">
        <x:v>9149041</x:v>
      </x:c>
      <x:c r="E44" s="6">
        <x:v>3665960</x:v>
      </x:c>
      <x:c r="F44" s="6">
        <x:v>9500</x:v>
      </x:c>
      <x:c r="G44" s="8">
        <x:v>2</x:v>
      </x:c>
      <x:c r="H44" s="15" t="s">
        <x:v>837</x:v>
      </x:c>
      <x:c r="I44" s="9">
        <x:f t="shared" si="0"/>
        <x:v>1.1537650388147242E-3</x:v>
      </x:c>
    </x:row>
    <x:row r="45">
      <x:c r="A45" s="5">
        <x:v>2016</x:v>
      </x:c>
      <x:c r="B45" s="15" t="s">
        <x:v>835</x:v>
      </x:c>
      <x:c r="C45" s="15" t="s">
        <x:v>845</x:v>
      </x:c>
      <x:c r="D45" s="8">
        <x:v>36801051</x:v>
      </x:c>
      <x:c r="E45" s="6">
        <x:v>3665960</x:v>
      </x:c>
      <x:c r="F45" s="6">
        <x:v>78630</x:v>
      </x:c>
      <x:c r="G45" s="8">
        <x:v>10</x:v>
      </x:c>
      <x:c r="H45" s="15" t="s">
        <x:v>837</x:v>
      </x:c>
      <x:c r="I45" s="9">
        <x:f t="shared" si="0"/>
        <x:v>4.6408979952584804E-3</x:v>
      </x:c>
    </x:row>
    <x:row r="46">
      <x:c r="A46" s="5">
        <x:v>2016</x:v>
      </x:c>
      <x:c r="B46" s="15" t="s">
        <x:v>835</x:v>
      </x:c>
      <x:c r="C46" s="15" t="s">
        <x:v>846</x:v>
      </x:c>
      <x:c r="D46" s="8">
        <x:v>978152</x:v>
      </x:c>
      <x:c r="E46" s="6">
        <x:v>3665960</x:v>
      </x:c>
      <x:c r="F46" s="6">
        <x:v>73530</x:v>
      </x:c>
      <x:c r="G46" s="8">
        <x:v>0</x:v>
      </x:c>
      <x:c r="H46" s="15" t="s">
        <x:v>837</x:v>
      </x:c>
      <x:c r="I46" s="9">
        <x:f t="shared" si="0"/>
        <x:v>1.2335255468269297E-4</x:v>
      </x:c>
    </x:row>
    <x:row r="47">
      <x:c r="A47" s="5">
        <x:v>2016</x:v>
      </x:c>
      <x:c r="B47" s="15" t="s">
        <x:v>835</x:v>
      </x:c>
      <x:c r="C47" s="15" t="s">
        <x:v>848</x:v>
      </x:c>
      <x:c r="D47" s="8">
        <x:v>735619317</x:v>
      </x:c>
      <x:c r="E47" s="6">
        <x:v>3665960</x:v>
      </x:c>
      <x:c r="F47" s="6">
        <x:v>2176510</x:v>
      </x:c>
      <x:c r="G47" s="8">
        <x:v>201</x:v>
      </x:c>
      <x:c r="H47" s="15" t="s">
        <x:v>834</x:v>
      </x:c>
      <x:c r="I47" s="9">
        <x:f t="shared" si="0"/>
        <x:v>9.276730204087684E-2</x:v>
      </x:c>
    </x:row>
    <x:row r="48">
      <x:c r="A48" s="5">
        <x:v>2016</x:v>
      </x:c>
      <x:c r="B48" s="15" t="s">
        <x:v>849</x:v>
      </x:c>
      <x:c r="C48" s="15" t="s">
        <x:v>850</x:v>
      </x:c>
      <x:c r="D48" s="8">
        <x:v>0</x:v>
      </x:c>
      <x:c r="E48" s="6">
        <x:v>3665960</x:v>
      </x:c>
      <x:c r="F48" s="6">
        <x:v>6640</x:v>
      </x:c>
      <x:c r="G48" s="8">
        <x:v>0</x:v>
      </x:c>
      <x:c r="H48" s="15" t="s">
        <x:v>837</x:v>
      </x:c>
      <x:c r="I48" s="9">
        <x:f t="shared" si="0"/>
        <x:v>0</x:v>
      </x:c>
    </x:row>
    <x:row r="49">
      <x:c r="A49" s="5">
        <x:v>2016</x:v>
      </x:c>
      <x:c r="B49" s="15" t="s">
        <x:v>849</x:v>
      </x:c>
      <x:c r="C49" s="15" t="s">
        <x:v>851</x:v>
      </x:c>
      <x:c r="D49" s="8">
        <x:v>303080036</x:v>
      </x:c>
      <x:c r="E49" s="6">
        <x:v>3665960</x:v>
      </x:c>
      <x:c r="F49" s="6">
        <x:v>109760</x:v>
      </x:c>
      <x:c r="G49" s="8">
        <x:v>83</x:v>
      </x:c>
      <x:c r="H49" s="15" t="s">
        <x:v>837</x:v>
      </x:c>
      <x:c r="I49" s="9">
        <x:f t="shared" si="0"/>
        <x:v>3.8220743518310604E-2</x:v>
      </x:c>
    </x:row>
    <x:row r="50">
      <x:c r="A50" s="5">
        <x:v>2016</x:v>
      </x:c>
      <x:c r="B50" s="15" t="s">
        <x:v>849</x:v>
      </x:c>
      <x:c r="C50" s="15" t="s">
        <x:v>853</x:v>
      </x:c>
      <x:c r="D50" s="8">
        <x:v>299621980</x:v>
      </x:c>
      <x:c r="E50" s="6">
        <x:v>3665960</x:v>
      </x:c>
      <x:c r="F50" s="6">
        <x:v>188370</x:v>
      </x:c>
      <x:c r="G50" s="8">
        <x:v>82</x:v>
      </x:c>
      <x:c r="H50" s="15" t="s">
        <x:v>837</x:v>
      </x:c>
      <x:c r="I50" s="9">
        <x:f t="shared" si="0"/>
        <x:v>3.7784655832720011E-2</x:v>
      </x:c>
    </x:row>
    <x:row r="51">
      <x:c r="A51" s="5">
        <x:v>2016</x:v>
      </x:c>
      <x:c r="B51" s="15" t="s">
        <x:v>849</x:v>
      </x:c>
      <x:c r="C51" s="15" t="s">
        <x:v>854</x:v>
      </x:c>
      <x:c r="D51" s="8">
        <x:v>174742591</x:v>
      </x:c>
      <x:c r="E51" s="6">
        <x:v>3665960</x:v>
      </x:c>
      <x:c r="F51" s="6">
        <x:v>205040</x:v>
      </x:c>
      <x:c r="G51" s="8">
        <x:v>48</x:v>
      </x:c>
      <x:c r="H51" s="15" t="s">
        <x:v>837</x:v>
      </x:c>
      <x:c r="I51" s="9">
        <x:f t="shared" si="0"/>
        <x:v>2.203639619580899E-2</x:v>
      </x:c>
    </x:row>
    <x:row r="52">
      <x:c r="A52" s="5">
        <x:v>2016</x:v>
      </x:c>
      <x:c r="B52" s="15" t="s">
        <x:v>849</x:v>
      </x:c>
      <x:c r="C52" s="15" t="s">
        <x:v>852</x:v>
      </x:c>
      <x:c r="D52" s="8">
        <x:v>777444607</x:v>
      </x:c>
      <x:c r="E52" s="6">
        <x:v>3665960</x:v>
      </x:c>
      <x:c r="F52" s="6">
        <x:v>468300</x:v>
      </x:c>
      <x:c r="G52" s="8">
        <x:v>212</x:v>
      </x:c>
      <x:c r="H52" s="15" t="s">
        <x:v>834</x:v>
      </x:c>
      <x:c r="I52" s="9">
        <x:f t="shared" si="0"/>
        <x:v>9.8041795546839602E-2</x:v>
      </x:c>
    </x:row>
    <x:row r="53">
      <x:c r="A53" s="5">
        <x:v>2016</x:v>
      </x:c>
      <x:c r="B53" s="15" t="s">
        <x:v>855</x:v>
      </x:c>
      <x:c r="C53" s="15" t="s">
        <x:v>856</x:v>
      </x:c>
      <x:c r="D53" s="8">
        <x:v>20958457</x:v>
      </x:c>
      <x:c r="E53" s="6">
        <x:v>3665960</x:v>
      </x:c>
      <x:c r="F53" s="6">
        <x:v>254980</x:v>
      </x:c>
      <x:c r="G53" s="8">
        <x:v>6</x:v>
      </x:c>
      <x:c r="H53" s="15" t="s">
        <x:v>837</x:v>
      </x:c>
      <x:c r="I53" s="9">
        <x:f t="shared" si="0"/>
        <x:v>2.6430240015430828E-3</x:v>
      </x:c>
    </x:row>
    <x:row r="54">
      <x:c r="A54" s="5">
        <x:v>2016</x:v>
      </x:c>
      <x:c r="B54" s="15" t="s">
        <x:v>855</x:v>
      </x:c>
      <x:c r="C54" s="15" t="s">
        <x:v>866</x:v>
      </x:c>
      <x:c r="D54" s="8">
        <x:v>307951814</x:v>
      </x:c>
      <x:c r="E54" s="6">
        <x:v>3665960</x:v>
      </x:c>
      <x:c r="F54" s="6">
        <x:v>2903670</x:v>
      </x:c>
      <x:c r="G54" s="8">
        <x:v>84</x:v>
      </x:c>
      <x:c r="H54" s="15" t="s">
        <x:v>837</x:v>
      </x:c>
      <x:c r="I54" s="9">
        <x:f t="shared" si="0"/>
        <x:v>3.8835112514281518E-2</x:v>
      </x:c>
    </x:row>
    <x:row r="55">
      <x:c r="A55" s="5">
        <x:v>2016</x:v>
      </x:c>
      <x:c r="B55" s="15" t="s">
        <x:v>855</x:v>
      </x:c>
      <x:c r="C55" s="15" t="s">
        <x:v>863</x:v>
      </x:c>
      <x:c r="D55" s="8">
        <x:v>119228239</x:v>
      </x:c>
      <x:c r="E55" s="6">
        <x:v>3665960</x:v>
      </x:c>
      <x:c r="F55" s="6">
        <x:v>845830</x:v>
      </x:c>
      <x:c r="G55" s="8">
        <x:v>33</x:v>
      </x:c>
      <x:c r="H55" s="15" t="s">
        <x:v>837</x:v>
      </x:c>
      <x:c r="I55" s="9">
        <x:f t="shared" si="0"/>
        <x:v>1.5035605786185263E-2</x:v>
      </x:c>
    </x:row>
    <x:row r="56">
      <x:c r="A56" s="5">
        <x:v>2016</x:v>
      </x:c>
      <x:c r="B56" s="15" t="s">
        <x:v>855</x:v>
      </x:c>
      <x:c r="C56" s="15" t="s">
        <x:v>858</x:v>
      </x:c>
      <x:c r="D56" s="8">
        <x:v>0</x:v>
      </x:c>
      <x:c r="E56" s="6">
        <x:v>3665960</x:v>
      </x:c>
      <x:c r="F56" s="6">
        <x:v>17870</x:v>
      </x:c>
      <x:c r="G56" s="8">
        <x:v>0</x:v>
      </x:c>
      <x:c r="H56" s="15" t="s">
        <x:v>837</x:v>
      </x:c>
      <x:c r="I56" s="9">
        <x:f t="shared" si="0"/>
        <x:v>0</x:v>
      </x:c>
    </x:row>
    <x:row r="57">
      <x:c r="A57" s="5">
        <x:v>2016</x:v>
      </x:c>
      <x:c r="B57" s="15" t="s">
        <x:v>855</x:v>
      </x:c>
      <x:c r="C57" s="15" t="s">
        <x:v>862</x:v>
      </x:c>
      <x:c r="D57" s="8">
        <x:v>324345387</x:v>
      </x:c>
      <x:c r="E57" s="6">
        <x:v>3665960</x:v>
      </x:c>
      <x:c r="F57" s="6">
        <x:v>3538470</x:v>
      </x:c>
      <x:c r="G57" s="8">
        <x:v>88</x:v>
      </x:c>
      <x:c r="H57" s="15" t="s">
        <x:v>837</x:v>
      </x:c>
      <x:c r="I57" s="9">
        <x:f t="shared" si="0"/>
        <x:v>4.0902469233817157E-2</x:v>
      </x:c>
    </x:row>
    <x:row r="58">
      <x:c r="A58" s="5">
        <x:v>2016</x:v>
      </x:c>
      <x:c r="B58" s="15" t="s">
        <x:v>855</x:v>
      </x:c>
      <x:c r="C58" s="15" t="s">
        <x:v>864</x:v>
      </x:c>
      <x:c r="D58" s="8">
        <x:v>89331396</x:v>
      </x:c>
      <x:c r="E58" s="6">
        <x:v>3665960</x:v>
      </x:c>
      <x:c r="F58" s="6">
        <x:v>1318540</x:v>
      </x:c>
      <x:c r="G58" s="8">
        <x:v>24</x:v>
      </x:c>
      <x:c r="H58" s="15" t="s">
        <x:v>837</x:v>
      </x:c>
      <x:c r="I58" s="9">
        <x:f t="shared" si="0"/>
        <x:v>1.1265381975369167E-2</x:v>
      </x:c>
    </x:row>
    <x:row r="59">
      <x:c r="A59" s="5">
        <x:v>2016</x:v>
      </x:c>
      <x:c r="B59" s="15" t="s">
        <x:v>855</x:v>
      </x:c>
      <x:c r="C59" s="15" t="s">
        <x:v>859</x:v>
      </x:c>
      <x:c r="D59" s="8">
        <x:v>6416662400</x:v>
      </x:c>
      <x:c r="E59" s="6">
        <x:v>3665960</x:v>
      </x:c>
      <x:c r="F59" s="6">
        <x:v>3659330</x:v>
      </x:c>
      <x:c r="G59" s="8">
        <x:v>1750</x:v>
      </x:c>
      <x:c r="H59" s="15" t="s">
        <x:v>834</x:v>
      </x:c>
      <x:c r="I59" s="9">
        <x:f t="shared" si="0"/>
        <x:v>0.80919090241228353</x:v>
      </x:c>
    </x:row>
    <x:row r="60">
      <x:c r="A60" s="5">
        <x:v>2016</x:v>
      </x:c>
      <x:c r="B60" s="15" t="s">
        <x:v>855</x:v>
      </x:c>
      <x:c r="C60" s="15" t="s">
        <x:v>868</x:v>
      </x:c>
      <x:c r="D60" s="8">
        <x:v>100037126</x:v>
      </x:c>
      <x:c r="E60" s="6">
        <x:v>3665960</x:v>
      </x:c>
      <x:c r="F60" s="6">
        <x:v>938880</x:v>
      </x:c>
      <x:c r="G60" s="8">
        <x:v>27</x:v>
      </x:c>
      <x:c r="H60" s="15" t="s">
        <x:v>837</x:v>
      </x:c>
      <x:c r="I60" s="9">
        <x:f t="shared" si="0"/>
        <x:v>1.2615457572253031E-2</x:v>
      </x:c>
    </x:row>
    <x:row r="61">
      <x:c r="A61" s="5">
        <x:v>2016</x:v>
      </x:c>
      <x:c r="B61" s="15" t="s">
        <x:v>855</x:v>
      </x:c>
      <x:c r="C61" s="15" t="s">
        <x:v>865</x:v>
      </x:c>
      <x:c r="D61" s="8">
        <x:v>1360742174</x:v>
      </x:c>
      <x:c r="E61" s="6">
        <x:v>3665960</x:v>
      </x:c>
      <x:c r="F61" s="6">
        <x:v>2893090</x:v>
      </x:c>
      <x:c r="G61" s="8">
        <x:v>371</x:v>
      </x:c>
      <x:c r="H61" s="15" t="s">
        <x:v>837</x:v>
      </x:c>
      <x:c r="I61" s="9">
        <x:f t="shared" si="0"/>
        <x:v>0.17160014335949988</x:v>
      </x:c>
    </x:row>
    <x:row r="62">
      <x:c r="A62" s="5">
        <x:v>2016</x:v>
      </x:c>
      <x:c r="B62" s="15" t="s">
        <x:v>855</x:v>
      </x:c>
      <x:c r="C62" s="15" t="s">
        <x:v>860</x:v>
      </x:c>
      <x:c r="D62" s="8">
        <x:v>232057863</x:v>
      </x:c>
      <x:c r="E62" s="6">
        <x:v>3665960</x:v>
      </x:c>
      <x:c r="F62" s="6">
        <x:v>3404540</x:v>
      </x:c>
      <x:c r="G62" s="8">
        <x:v>63</x:v>
      </x:c>
      <x:c r="H62" s="15" t="s">
        <x:v>837</x:v>
      </x:c>
      <x:c r="I62" s="9">
        <x:f t="shared" si="0"/>
        <x:v>2.9264296587091145E-2</x:v>
      </x:c>
    </x:row>
    <x:row r="63">
      <x:c r="A63" s="5">
        <x:v>2016</x:v>
      </x:c>
      <x:c r="B63" s="15" t="s">
        <x:v>855</x:v>
      </x:c>
      <x:c r="C63" s="15" t="s">
        <x:v>861</x:v>
      </x:c>
      <x:c r="D63" s="8">
        <x:v>2409519644</x:v>
      </x:c>
      <x:c r="E63" s="6">
        <x:v>3665960</x:v>
      </x:c>
      <x:c r="F63" s="6">
        <x:v>3628990</x:v>
      </x:c>
      <x:c r="G63" s="8">
        <x:v>657</x:v>
      </x:c>
      <x:c r="H63" s="15" t="s">
        <x:v>837</x:v>
      </x:c>
      <x:c r="I63" s="9">
        <x:f t="shared" si="0"/>
        <x:v>0.30385911764790435</x:v>
      </x:c>
    </x:row>
    <x:row r="64">
      <x:c r="A64" s="5">
        <x:v>2016</x:v>
      </x:c>
      <x:c r="B64" s="15" t="s">
        <x:v>855</x:v>
      </x:c>
      <x:c r="C64" s="15" t="s">
        <x:v>857</x:v>
      </x:c>
      <x:c r="D64" s="8">
        <x:v>12476524</x:v>
      </x:c>
      <x:c r="E64" s="6">
        <x:v>3665960</x:v>
      </x:c>
      <x:c r="F64" s="6">
        <x:v>459650</x:v>
      </x:c>
      <x:c r="G64" s="8">
        <x:v>3</x:v>
      </x:c>
      <x:c r="H64" s="15" t="s">
        <x:v>837</x:v>
      </x:c>
      <x:c r="I64" s="9">
        <x:f t="shared" si="0"/>
        <x:v>1.5733864562562172E-3</x:v>
      </x:c>
    </x:row>
    <x:row r="65">
      <x:c r="A65" s="5">
        <x:v>2016</x:v>
      </x:c>
      <x:c r="B65" s="15" t="s">
        <x:v>855</x:v>
      </x:c>
      <x:c r="C65" s="15" t="s">
        <x:v>867</x:v>
      </x:c>
      <x:c r="D65" s="8">
        <x:v>1440013777</x:v>
      </x:c>
      <x:c r="E65" s="6">
        <x:v>3665960</x:v>
      </x:c>
      <x:c r="F65" s="6">
        <x:v>2410320</x:v>
      </x:c>
      <x:c r="G65" s="8">
        <x:v>393</x:v>
      </x:c>
      <x:c r="H65" s="15" t="s">
        <x:v>837</x:v>
      </x:c>
      <x:c r="I65" s="9">
        <x:f t="shared" si="0"/>
        <x:v>0.18159690740419052</x:v>
      </x:c>
    </x:row>
    <x:row r="66">
      <x:c r="A66" s="5">
        <x:v>2017</x:v>
      </x:c>
      <x:c r="B66" s="15" t="s">
        <x:v>832</x:v>
      </x:c>
      <x:c r="C66" s="15" t="s">
        <x:v>833</x:v>
      </x:c>
      <x:c r="D66" s="8">
        <x:v>8174314539</x:v>
      </x:c>
      <x:c r="E66" s="6">
        <x:v>3752260</x:v>
      </x:c>
      <x:c r="F66" s="6">
        <x:v>3752250</x:v>
      </x:c>
      <x:c r="G66" s="8">
        <x:v>2179</x:v>
      </x:c>
      <x:c r="H66" s="15" t="s">
        <x:v>834</x:v>
      </x:c>
      <x:c r="I66" s="9">
        <x:f t="shared" si="0"/>
        <x:v>1</x:v>
      </x:c>
    </x:row>
    <x:row r="67">
      <x:c r="A67" s="5">
        <x:v>2017</x:v>
      </x:c>
      <x:c r="B67" s="15" t="s">
        <x:v>835</x:v>
      </x:c>
      <x:c r="C67" s="15" t="s">
        <x:v>836</x:v>
      </x:c>
      <x:c r="D67" s="8">
        <x:v>148599181</x:v>
      </x:c>
      <x:c r="E67" s="6">
        <x:v>3752260</x:v>
      </x:c>
      <x:c r="F67" s="6">
        <x:v>1774690</x:v>
      </x:c>
      <x:c r="G67" s="8">
        <x:v>40</x:v>
      </x:c>
      <x:c r="H67" s="15" t="s">
        <x:v>837</x:v>
      </x:c>
      <x:c r="I67" s="9">
        <x:f t="shared" si="0"/>
        <x:v>1.817879411062873E-2</x:v>
      </x:c>
    </x:row>
    <x:row r="68">
      <x:c r="A68" s="5">
        <x:v>2017</x:v>
      </x:c>
      <x:c r="B68" s="15" t="s">
        <x:v>835</x:v>
      </x:c>
      <x:c r="C68" s="15" t="s">
        <x:v>841</x:v>
      </x:c>
      <x:c r="D68" s="8">
        <x:v>10199986</x:v>
      </x:c>
      <x:c r="E68" s="6">
        <x:v>3752260</x:v>
      </x:c>
      <x:c r="F68" s="6">
        <x:v>10230</x:v>
      </x:c>
      <x:c r="G68" s="8">
        <x:v>3</x:v>
      </x:c>
      <x:c r="H68" s="15" t="s">
        <x:v>837</x:v>
      </x:c>
      <x:c r="I68" s="9" t="n">
        <x:f t="shared" ref="I68:I131" si="1">IFERROR(D68/SUMIFS($D$4:$D$313,$A$4:$A$313,A68,$C$4:$C$313,"Total des dépenses remboursées"),"")</x:f>
        <x:v>0.0012478093363468504</x:v>
      </x:c>
    </x:row>
    <x:row r="69">
      <x:c r="A69" s="5">
        <x:v>2017</x:v>
      </x:c>
      <x:c r="B69" s="15" t="s">
        <x:v>835</x:v>
      </x:c>
      <x:c r="C69" s="15" t="s">
        <x:v>845</x:v>
      </x:c>
      <x:c r="D69" s="8">
        <x:v>34839431</x:v>
      </x:c>
      <x:c r="E69" s="6">
        <x:v>3752260</x:v>
      </x:c>
      <x:c r="F69" s="6">
        <x:v>80790</x:v>
      </x:c>
      <x:c r="G69" s="8">
        <x:v>9</x:v>
      </x:c>
      <x:c r="H69" s="15" t="s">
        <x:v>837</x:v>
      </x:c>
      <x:c r="I69" s="9">
        <x:f t="shared" si="1"/>
        <x:v>4.2620614650659208E-3</x:v>
      </x:c>
    </x:row>
    <x:row r="70">
      <x:c r="A70" s="5">
        <x:v>2017</x:v>
      </x:c>
      <x:c r="B70" s="15" t="s">
        <x:v>835</x:v>
      </x:c>
      <x:c r="C70" s="15" t="s">
        <x:v>843</x:v>
      </x:c>
      <x:c r="D70" s="8">
        <x:v>0</x:v>
      </x:c>
      <x:c r="E70" s="6">
        <x:v>3752260</x:v>
      </x:c>
      <x:c r="F70" s="6">
        <x:v>8350</x:v>
      </x:c>
      <x:c r="G70" s="8">
        <x:v>0</x:v>
      </x:c>
      <x:c r="H70" s="15" t="s">
        <x:v>837</x:v>
      </x:c>
      <x:c r="I70" s="9">
        <x:f t="shared" si="1"/>
        <x:v>0</x:v>
      </x:c>
    </x:row>
    <x:row r="71">
      <x:c r="A71" s="5">
        <x:v>2017</x:v>
      </x:c>
      <x:c r="B71" s="15" t="s">
        <x:v>835</x:v>
      </x:c>
      <x:c r="C71" s="15" t="s">
        <x:v>839</x:v>
      </x:c>
      <x:c r="D71" s="8">
        <x:v>0</x:v>
      </x:c>
      <x:c r="E71" s="6">
        <x:v>3752260</x:v>
      </x:c>
      <x:c r="F71" s="6">
        <x:v>22210</x:v>
      </x:c>
      <x:c r="G71" s="8">
        <x:v>0</x:v>
      </x:c>
      <x:c r="H71" s="15" t="s">
        <x:v>837</x:v>
      </x:c>
      <x:c r="I71" s="9">
        <x:f t="shared" si="1"/>
        <x:v>0</x:v>
      </x:c>
    </x:row>
    <x:row r="72">
      <x:c r="A72" s="5">
        <x:v>2017</x:v>
      </x:c>
      <x:c r="B72" s="15" t="s">
        <x:v>835</x:v>
      </x:c>
      <x:c r="C72" s="15" t="s">
        <x:v>846</x:v>
      </x:c>
      <x:c r="D72" s="8">
        <x:v>1088011</x:v>
      </x:c>
      <x:c r="E72" s="6">
        <x:v>3752260</x:v>
      </x:c>
      <x:c r="F72" s="6">
        <x:v>78250</x:v>
      </x:c>
      <x:c r="G72" s="8">
        <x:v>0</x:v>
      </x:c>
      <x:c r="H72" s="15" t="s">
        <x:v>837</x:v>
      </x:c>
      <x:c r="I72" s="9">
        <x:f t="shared" si="1"/>
        <x:v>1.3310119090830839E-4</x:v>
      </x:c>
    </x:row>
    <x:row r="73">
      <x:c r="A73" s="5">
        <x:v>2017</x:v>
      </x:c>
      <x:c r="B73" s="15" t="s">
        <x:v>835</x:v>
      </x:c>
      <x:c r="C73" s="15" t="s">
        <x:v>844</x:v>
      </x:c>
      <x:c r="D73" s="8">
        <x:v>57404216</x:v>
      </x:c>
      <x:c r="E73" s="6">
        <x:v>3752260</x:v>
      </x:c>
      <x:c r="F73" s="6">
        <x:v>667740</x:v>
      </x:c>
      <x:c r="G73" s="8">
        <x:v>15</x:v>
      </x:c>
      <x:c r="H73" s="15" t="s">
        <x:v>837</x:v>
      </x:c>
      <x:c r="I73" s="9">
        <x:f t="shared" si="1"/>
        <x:v>7.0225112731008895E-3</x:v>
      </x:c>
    </x:row>
    <x:row r="74">
      <x:c r="A74" s="5">
        <x:v>2017</x:v>
      </x:c>
      <x:c r="B74" s="15" t="s">
        <x:v>835</x:v>
      </x:c>
      <x:c r="C74" s="15" t="s">
        <x:v>838</x:v>
      </x:c>
      <x:c r="D74" s="8">
        <x:v>11999585</x:v>
      </x:c>
      <x:c r="E74" s="6">
        <x:v>3752260</x:v>
      </x:c>
      <x:c r="F74" s="6">
        <x:v>11090</x:v>
      </x:c>
      <x:c r="G74" s="8">
        <x:v>3</x:v>
      </x:c>
      <x:c r="H74" s="15" t="s">
        <x:v>837</x:v>
      </x:c>
      <x:c r="I74" s="9">
        <x:f t="shared" si="1"/>
        <x:v>1.4679622300743961E-3</x:v>
      </x:c>
    </x:row>
    <x:row r="75">
      <x:c r="A75" s="5">
        <x:v>2017</x:v>
      </x:c>
      <x:c r="B75" s="15" t="s">
        <x:v>835</x:v>
      </x:c>
      <x:c r="C75" s="15" t="s">
        <x:v>842</x:v>
      </x:c>
      <x:c r="D75" s="8">
        <x:v>70713730</x:v>
      </x:c>
      <x:c r="E75" s="6">
        <x:v>3752260</x:v>
      </x:c>
      <x:c r="F75" s="6">
        <x:v>119280</x:v>
      </x:c>
      <x:c r="G75" s="8">
        <x:v>19</x:v>
      </x:c>
      <x:c r="H75" s="15" t="s">
        <x:v>837</x:v>
      </x:c>
      <x:c r="I75" s="9">
        <x:f t="shared" si="1"/>
        <x:v>8.6507229031402948E-3</x:v>
      </x:c>
    </x:row>
    <x:row r="76">
      <x:c r="A76" s="5">
        <x:v>2017</x:v>
      </x:c>
      <x:c r="B76" s="15" t="s">
        <x:v>835</x:v>
      </x:c>
      <x:c r="C76" s="15" t="s">
        <x:v>847</x:v>
      </x:c>
      <x:c r="D76" s="8">
        <x:v>2674465</x:v>
      </x:c>
      <x:c r="E76" s="6">
        <x:v>3752260</x:v>
      </x:c>
      <x:c r="F76" s="6">
        <x:v>113100</x:v>
      </x:c>
      <x:c r="G76" s="8">
        <x:v>1</x:v>
      </x:c>
      <x:c r="H76" s="15" t="s">
        <x:v>837</x:v>
      </x:c>
      <x:c r="I76" s="9">
        <x:f t="shared" si="1"/>
        <x:v>3.2717911541573478E-4</x:v>
      </x:c>
    </x:row>
    <x:row r="77">
      <x:c r="A77" s="5">
        <x:v>2017</x:v>
      </x:c>
      <x:c r="B77" s="15" t="s">
        <x:v>835</x:v>
      </x:c>
      <x:c r="C77" s="15" t="s">
        <x:v>840</x:v>
      </x:c>
      <x:c r="D77" s="8">
        <x:v>402664933</x:v>
      </x:c>
      <x:c r="E77" s="6">
        <x:v>3752260</x:v>
      </x:c>
      <x:c r="F77" s="6">
        <x:v>913720</x:v>
      </x:c>
      <x:c r="G77" s="8">
        <x:v>107</x:v>
      </x:c>
      <x:c r="H77" s="15" t="s">
        <x:v>837</x:v>
      </x:c>
      <x:c r="I77" s="9">
        <x:f t="shared" si="1"/>
        <x:v>4.9259779652332754E-2</x:v>
      </x:c>
    </x:row>
    <x:row r="78">
      <x:c r="A78" s="5">
        <x:v>2017</x:v>
      </x:c>
      <x:c r="B78" s="15" t="s">
        <x:v>835</x:v>
      </x:c>
      <x:c r="C78" s="15" t="s">
        <x:v>848</x:v>
      </x:c>
      <x:c r="D78" s="8">
        <x:v>740183538</x:v>
      </x:c>
      <x:c r="E78" s="6">
        <x:v>3752260</x:v>
      </x:c>
      <x:c r="F78" s="6">
        <x:v>2247500</x:v>
      </x:c>
      <x:c r="G78" s="8">
        <x:v>197</x:v>
      </x:c>
      <x:c r="H78" s="15" t="s">
        <x:v>834</x:v>
      </x:c>
      <x:c r="I78" s="9">
        <x:f t="shared" si="1"/>
        <x:v>9.0549921277013876E-2</x:v>
      </x:c>
    </x:row>
    <x:row r="79">
      <x:c r="A79" s="5">
        <x:v>2017</x:v>
      </x:c>
      <x:c r="B79" s="15" t="s">
        <x:v>849</x:v>
      </x:c>
      <x:c r="C79" s="15" t="s">
        <x:v>854</x:v>
      </x:c>
      <x:c r="D79" s="8">
        <x:v>186732335</x:v>
      </x:c>
      <x:c r="E79" s="6">
        <x:v>3752260</x:v>
      </x:c>
      <x:c r="F79" s="6">
        <x:v>213320</x:v>
      </x:c>
      <x:c r="G79" s="8">
        <x:v>50</x:v>
      </x:c>
      <x:c r="H79" s="15" t="s">
        <x:v>837</x:v>
      </x:c>
      <x:c r="I79" s="9">
        <x:f t="shared" si="1"/>
        <x:v>2.2843791257247583E-2</x:v>
      </x:c>
    </x:row>
    <x:row r="80">
      <x:c r="A80" s="5">
        <x:v>2017</x:v>
      </x:c>
      <x:c r="B80" s="15" t="s">
        <x:v>849</x:v>
      </x:c>
      <x:c r="C80" s="15" t="s">
        <x:v>850</x:v>
      </x:c>
      <x:c r="D80" s="8">
        <x:v>0</x:v>
      </x:c>
      <x:c r="E80" s="6">
        <x:v>3752260</x:v>
      </x:c>
      <x:c r="F80" s="6">
        <x:v>6710</x:v>
      </x:c>
      <x:c r="G80" s="8">
        <x:v>0</x:v>
      </x:c>
      <x:c r="H80" s="15" t="s">
        <x:v>837</x:v>
      </x:c>
      <x:c r="I80" s="9">
        <x:f t="shared" si="1"/>
        <x:v>0</x:v>
      </x:c>
    </x:row>
    <x:row r="81">
      <x:c r="A81" s="5">
        <x:v>2017</x:v>
      </x:c>
      <x:c r="B81" s="15" t="s">
        <x:v>849</x:v>
      </x:c>
      <x:c r="C81" s="15" t="s">
        <x:v>851</x:v>
      </x:c>
      <x:c r="D81" s="8">
        <x:v>321400294</x:v>
      </x:c>
      <x:c r="E81" s="6">
        <x:v>3752260</x:v>
      </x:c>
      <x:c r="F81" s="6">
        <x:v>116420</x:v>
      </x:c>
      <x:c r="G81" s="8">
        <x:v>86</x:v>
      </x:c>
      <x:c r="H81" s="15" t="s">
        <x:v>837</x:v>
      </x:c>
      <x:c r="I81" s="9">
        <x:f t="shared" si="1"/>
        <x:v>3.9318317452379112E-2</x:v>
      </x:c>
    </x:row>
    <x:row r="82">
      <x:c r="A82" s="5">
        <x:v>2017</x:v>
      </x:c>
      <x:c r="B82" s="15" t="s">
        <x:v>849</x:v>
      </x:c>
      <x:c r="C82" s="15" t="s">
        <x:v>853</x:v>
      </x:c>
      <x:c r="D82" s="8">
        <x:v>305064383</x:v>
      </x:c>
      <x:c r="E82" s="6">
        <x:v>3752260</x:v>
      </x:c>
      <x:c r="F82" s="6">
        <x:v>195140</x:v>
      </x:c>
      <x:c r="G82" s="8">
        <x:v>81</x:v>
      </x:c>
      <x:c r="H82" s="15" t="s">
        <x:v>837</x:v>
      </x:c>
      <x:c r="I82" s="9">
        <x:f t="shared" si="1"/>
        <x:v>3.7319873311031149E-2</x:v>
      </x:c>
    </x:row>
    <x:row r="83">
      <x:c r="A83" s="5">
        <x:v>2017</x:v>
      </x:c>
      <x:c r="B83" s="15" t="s">
        <x:v>849</x:v>
      </x:c>
      <x:c r="C83" s="15" t="s">
        <x:v>852</x:v>
      </x:c>
      <x:c r="D83" s="8">
        <x:v>813197013</x:v>
      </x:c>
      <x:c r="E83" s="6">
        <x:v>3752260</x:v>
      </x:c>
      <x:c r="F83" s="6">
        <x:v>488050</x:v>
      </x:c>
      <x:c r="G83" s="8">
        <x:v>217</x:v>
      </x:c>
      <x:c r="H83" s="15" t="s">
        <x:v>834</x:v>
      </x:c>
      <x:c r="I83" s="9">
        <x:f t="shared" si="1"/>
        <x:v>9.9481982142992254E-2</x:v>
      </x:c>
    </x:row>
    <x:row r="84">
      <x:c r="A84" s="5">
        <x:v>2017</x:v>
      </x:c>
      <x:c r="B84" s="15" t="s">
        <x:v>855</x:v>
      </x:c>
      <x:c r="C84" s="15" t="s">
        <x:v>856</x:v>
      </x:c>
      <x:c r="D84" s="8">
        <x:v>21243031</x:v>
      </x:c>
      <x:c r="E84" s="6">
        <x:v>3752260</x:v>
      </x:c>
      <x:c r="F84" s="6">
        <x:v>273980</x:v>
      </x:c>
      <x:c r="G84" s="8">
        <x:v>6</x:v>
      </x:c>
      <x:c r="H84" s="15" t="s">
        <x:v>837</x:v>
      </x:c>
      <x:c r="I84" s="9">
        <x:f t="shared" si="1"/>
        <x:v>2.5987538035940018E-3</x:v>
      </x:c>
    </x:row>
    <x:row r="85">
      <x:c r="A85" s="5">
        <x:v>2017</x:v>
      </x:c>
      <x:c r="B85" s="15" t="s">
        <x:v>855</x:v>
      </x:c>
      <x:c r="C85" s="15" t="s">
        <x:v>868</x:v>
      </x:c>
      <x:c r="D85" s="8">
        <x:v>108829945</x:v>
      </x:c>
      <x:c r="E85" s="6">
        <x:v>3752260</x:v>
      </x:c>
      <x:c r="F85" s="6">
        <x:v>974520</x:v>
      </x:c>
      <x:c r="G85" s="8">
        <x:v>29</x:v>
      </x:c>
      <x:c r="H85" s="15" t="s">
        <x:v>837</x:v>
      </x:c>
      <x:c r="I85" s="9">
        <x:f t="shared" si="1"/>
        <x:v>1.3313647827076844E-2</x:v>
      </x:c>
    </x:row>
    <x:row r="86">
      <x:c r="A86" s="5">
        <x:v>2017</x:v>
      </x:c>
      <x:c r="B86" s="15" t="s">
        <x:v>855</x:v>
      </x:c>
      <x:c r="C86" s="15" t="s">
        <x:v>861</x:v>
      </x:c>
      <x:c r="D86" s="8">
        <x:v>2393129373</x:v>
      </x:c>
      <x:c r="E86" s="6">
        <x:v>3752260</x:v>
      </x:c>
      <x:c r="F86" s="6">
        <x:v>3712920</x:v>
      </x:c>
      <x:c r="G86" s="8">
        <x:v>638</x:v>
      </x:c>
      <x:c r="H86" s="15" t="s">
        <x:v>837</x:v>
      </x:c>
      <x:c r="I86" s="9">
        <x:f t="shared" si="1"/>
        <x:v>0.2927620856259297</x:v>
      </x:c>
    </x:row>
    <x:row r="87">
      <x:c r="A87" s="5">
        <x:v>2017</x:v>
      </x:c>
      <x:c r="B87" s="15" t="s">
        <x:v>855</x:v>
      </x:c>
      <x:c r="C87" s="15" t="s">
        <x:v>857</x:v>
      </x:c>
      <x:c r="D87" s="8">
        <x:v>14865768</x:v>
      </x:c>
      <x:c r="E87" s="6">
        <x:v>3752260</x:v>
      </x:c>
      <x:c r="F87" s="6">
        <x:v>516090</x:v>
      </x:c>
      <x:c r="G87" s="8">
        <x:v>4</x:v>
      </x:c>
      <x:c r="H87" s="15" t="s">
        <x:v>837</x:v>
      </x:c>
      <x:c r="I87" s="9">
        <x:f t="shared" si="1"/>
        <x:v>1.8185950551663742E-3</x:v>
      </x:c>
    </x:row>
    <x:row r="88">
      <x:c r="A88" s="5">
        <x:v>2017</x:v>
      </x:c>
      <x:c r="B88" s="15" t="s">
        <x:v>855</x:v>
      </x:c>
      <x:c r="C88" s="15" t="s">
        <x:v>867</x:v>
      </x:c>
      <x:c r="D88" s="8">
        <x:v>1501999569</x:v>
      </x:c>
      <x:c r="E88" s="6">
        <x:v>3752260</x:v>
      </x:c>
      <x:c r="F88" s="6">
        <x:v>2541150</x:v>
      </x:c>
      <x:c r="G88" s="8">
        <x:v>400</x:v>
      </x:c>
      <x:c r="H88" s="15" t="s">
        <x:v>837</x:v>
      </x:c>
      <x:c r="I88" s="9">
        <x:f t="shared" si="1"/>
        <x:v>0.1837462409641685</x:v>
      </x:c>
    </x:row>
    <x:row r="89">
      <x:c r="A89" s="5">
        <x:v>2017</x:v>
      </x:c>
      <x:c r="B89" s="15" t="s">
        <x:v>855</x:v>
      </x:c>
      <x:c r="C89" s="15" t="s">
        <x:v>865</x:v>
      </x:c>
      <x:c r="D89" s="8">
        <x:v>1451776996</x:v>
      </x:c>
      <x:c r="E89" s="6">
        <x:v>3752260</x:v>
      </x:c>
      <x:c r="F89" s="6">
        <x:v>2970320</x:v>
      </x:c>
      <x:c r="G89" s="8">
        <x:v>387</x:v>
      </x:c>
      <x:c r="H89" s="15" t="s">
        <x:v>837</x:v>
      </x:c>
      <x:c r="I89" s="9">
        <x:f t="shared" si="1"/>
        <x:v>0.17760229179749698</x:v>
      </x:c>
    </x:row>
    <x:row r="90">
      <x:c r="A90" s="5">
        <x:v>2017</x:v>
      </x:c>
      <x:c r="B90" s="15" t="s">
        <x:v>855</x:v>
      </x:c>
      <x:c r="C90" s="15" t="s">
        <x:v>860</x:v>
      </x:c>
      <x:c r="D90" s="8">
        <x:v>236169345</x:v>
      </x:c>
      <x:c r="E90" s="6">
        <x:v>3752260</x:v>
      </x:c>
      <x:c r="F90" s="6">
        <x:v>3483190</x:v>
      </x:c>
      <x:c r="G90" s="8">
        <x:v>63</x:v>
      </x:c>
      <x:c r="H90" s="15" t="s">
        <x:v>837</x:v>
      </x:c>
      <x:c r="I90" s="9">
        <x:f t="shared" si="1"/>
        <x:v>2.8891639032634E-2</x:v>
      </x:c>
    </x:row>
    <x:row r="91">
      <x:c r="A91" s="5">
        <x:v>2017</x:v>
      </x:c>
      <x:c r="B91" s="15" t="s">
        <x:v>855</x:v>
      </x:c>
      <x:c r="C91" s="15" t="s">
        <x:v>866</x:v>
      </x:c>
      <x:c r="D91" s="8">
        <x:v>326322198</x:v>
      </x:c>
      <x:c r="E91" s="6">
        <x:v>3752260</x:v>
      </x:c>
      <x:c r="F91" s="6">
        <x:v>2979000</x:v>
      </x:c>
      <x:c r="G91" s="8">
        <x:v>87</x:v>
      </x:c>
      <x:c r="H91" s="15" t="s">
        <x:v>837</x:v>
      </x:c>
      <x:c r="I91" s="9">
        <x:f t="shared" si="1"/>
        <x:v>3.9920435706639744E-2</x:v>
      </x:c>
    </x:row>
    <x:row r="92">
      <x:c r="A92" s="5">
        <x:v>2017</x:v>
      </x:c>
      <x:c r="B92" s="15" t="s">
        <x:v>855</x:v>
      </x:c>
      <x:c r="C92" s="15" t="s">
        <x:v>862</x:v>
      </x:c>
      <x:c r="D92" s="8">
        <x:v>344308700</x:v>
      </x:c>
      <x:c r="E92" s="6">
        <x:v>3752260</x:v>
      </x:c>
      <x:c r="F92" s="6">
        <x:v>3620290</x:v>
      </x:c>
      <x:c r="G92" s="8">
        <x:v>92</x:v>
      </x:c>
      <x:c r="H92" s="15" t="s">
        <x:v>837</x:v>
      </x:c>
      <x:c r="I92" s="9">
        <x:f t="shared" si="1"/>
        <x:v>4.2120803934970773E-2</x:v>
      </x:c>
    </x:row>
    <x:row r="93">
      <x:c r="A93" s="5">
        <x:v>2017</x:v>
      </x:c>
      <x:c r="B93" s="15" t="s">
        <x:v>855</x:v>
      </x:c>
      <x:c r="C93" s="15" t="s">
        <x:v>863</x:v>
      </x:c>
      <x:c r="D93" s="8">
        <x:v>128438323</x:v>
      </x:c>
      <x:c r="E93" s="6">
        <x:v>3752260</x:v>
      </x:c>
      <x:c r="F93" s="6">
        <x:v>884030</x:v>
      </x:c>
      <x:c r="G93" s="8">
        <x:v>34</x:v>
      </x:c>
      <x:c r="H93" s="15" t="s">
        <x:v>837</x:v>
      </x:c>
      <x:c r="I93" s="9">
        <x:f t="shared" si="1"/>
        <x:v>1.5712427309619092E-2</x:v>
      </x:c>
    </x:row>
    <x:row r="94">
      <x:c r="A94" s="5">
        <x:v>2017</x:v>
      </x:c>
      <x:c r="B94" s="15" t="s">
        <x:v>855</x:v>
      </x:c>
      <x:c r="C94" s="15" t="s">
        <x:v>858</x:v>
      </x:c>
      <x:c r="D94" s="8">
        <x:v>0</x:v>
      </x:c>
      <x:c r="E94" s="6">
        <x:v>3752260</x:v>
      </x:c>
      <x:c r="F94" s="6">
        <x:v>20480</x:v>
      </x:c>
      <x:c r="G94" s="8">
        <x:v>0</x:v>
      </x:c>
      <x:c r="H94" s="15" t="s">
        <x:v>837</x:v>
      </x:c>
      <x:c r="I94" s="9">
        <x:f t="shared" si="1"/>
        <x:v>0</x:v>
      </x:c>
    </x:row>
    <x:row r="95">
      <x:c r="A95" s="5">
        <x:v>2017</x:v>
      </x:c>
      <x:c r="B95" s="15" t="s">
        <x:v>855</x:v>
      </x:c>
      <x:c r="C95" s="15" t="s">
        <x:v>864</x:v>
      </x:c>
      <x:c r="D95" s="8">
        <x:v>93850740</x:v>
      </x:c>
      <x:c r="E95" s="6">
        <x:v>3752260</x:v>
      </x:c>
      <x:c r="F95" s="6">
        <x:v>1373870</x:v>
      </x:c>
      <x:c r="G95" s="8">
        <x:v>25</x:v>
      </x:c>
      <x:c r="H95" s="15" t="s">
        <x:v>837</x:v>
      </x:c>
      <x:c r="I95" s="9">
        <x:f t="shared" si="1"/>
        <x:v>1.1481175522697855E-2</x:v>
      </x:c>
    </x:row>
    <x:row r="96">
      <x:c r="A96" s="5">
        <x:v>2017</x:v>
      </x:c>
      <x:c r="B96" s="15" t="s">
        <x:v>855</x:v>
      </x:c>
      <x:c r="C96" s="15" t="s">
        <x:v>859</x:v>
      </x:c>
      <x:c r="D96" s="8">
        <x:v>6620933988</x:v>
      </x:c>
      <x:c r="E96" s="6">
        <x:v>3752260</x:v>
      </x:c>
      <x:c r="F96" s="6">
        <x:v>3745180</x:v>
      </x:c>
      <x:c r="G96" s="8">
        <x:v>1765</x:v>
      </x:c>
      <x:c r="H96" s="15" t="s">
        <x:v>834</x:v>
      </x:c>
      <x:c r="I96" s="9">
        <x:f t="shared" si="1"/>
        <x:v>0.80996809657999391</x:v>
      </x:c>
    </x:row>
    <x:row r="97">
      <x:c r="A97" s="5">
        <x:v>2018</x:v>
      </x:c>
      <x:c r="B97" s="15" t="s">
        <x:v>832</x:v>
      </x:c>
      <x:c r="C97" s="15" t="s">
        <x:v>833</x:v>
      </x:c>
      <x:c r="D97" s="8">
        <x:v>8459575144</x:v>
      </x:c>
      <x:c r="E97" s="6">
        <x:v>3827790</x:v>
      </x:c>
      <x:c r="F97" s="6">
        <x:v>3827770</x:v>
      </x:c>
      <x:c r="G97" s="8">
        <x:v>2210</x:v>
      </x:c>
      <x:c r="H97" s="15" t="s">
        <x:v>834</x:v>
      </x:c>
      <x:c r="I97" s="9">
        <x:f t="shared" si="1"/>
        <x:v>1</x:v>
      </x:c>
    </x:row>
    <x:row r="98">
      <x:c r="A98" s="5">
        <x:v>2018</x:v>
      </x:c>
      <x:c r="B98" s="15" t="s">
        <x:v>835</x:v>
      </x:c>
      <x:c r="C98" s="15" t="s">
        <x:v>836</x:v>
      </x:c>
      <x:c r="D98" s="8">
        <x:v>162785408</x:v>
      </x:c>
      <x:c r="E98" s="6">
        <x:v>3827790</x:v>
      </x:c>
      <x:c r="F98" s="6">
        <x:v>1843120</x:v>
      </x:c>
      <x:c r="G98" s="8">
        <x:v>43</x:v>
      </x:c>
      <x:c r="H98" s="15" t="s">
        <x:v>837</x:v>
      </x:c>
      <x:c r="I98" s="9">
        <x:f t="shared" si="1"/>
        <x:v>1.9242740353864751E-2</x:v>
      </x:c>
    </x:row>
    <x:row r="99">
      <x:c r="A99" s="5">
        <x:v>2018</x:v>
      </x:c>
      <x:c r="B99" s="15" t="s">
        <x:v>835</x:v>
      </x:c>
      <x:c r="C99" s="15" t="s">
        <x:v>845</x:v>
      </x:c>
      <x:c r="D99" s="8">
        <x:v>29960069</x:v>
      </x:c>
      <x:c r="E99" s="6">
        <x:v>3827790</x:v>
      </x:c>
      <x:c r="F99" s="6">
        <x:v>81040</x:v>
      </x:c>
      <x:c r="G99" s="8">
        <x:v>8</x:v>
      </x:c>
      <x:c r="H99" s="15" t="s">
        <x:v>837</x:v>
      </x:c>
      <x:c r="I99" s="9">
        <x:f t="shared" si="1"/>
        <x:v>3.5415571692449998E-3</x:v>
      </x:c>
    </x:row>
    <x:row r="100">
      <x:c r="A100" s="5">
        <x:v>2018</x:v>
      </x:c>
      <x:c r="B100" s="15" t="s">
        <x:v>835</x:v>
      </x:c>
      <x:c r="C100" s="15" t="s">
        <x:v>841</x:v>
      </x:c>
      <x:c r="D100" s="8">
        <x:v>10355039</x:v>
      </x:c>
      <x:c r="E100" s="6">
        <x:v>3827790</x:v>
      </x:c>
      <x:c r="F100" s="6">
        <x:v>11260</x:v>
      </x:c>
      <x:c r="G100" s="8">
        <x:v>3</x:v>
      </x:c>
      <x:c r="H100" s="15" t="s">
        <x:v>837</x:v>
      </x:c>
      <x:c r="I100" s="9">
        <x:f t="shared" si="1"/>
        <x:v>1.2240613534054803E-3</x:v>
      </x:c>
    </x:row>
    <x:row r="101">
      <x:c r="A101" s="5">
        <x:v>2018</x:v>
      </x:c>
      <x:c r="B101" s="15" t="s">
        <x:v>835</x:v>
      </x:c>
      <x:c r="C101" s="15" t="s">
        <x:v>843</x:v>
      </x:c>
      <x:c r="D101" s="8">
        <x:v>0</x:v>
      </x:c>
      <x:c r="E101" s="6">
        <x:v>3827790</x:v>
      </x:c>
      <x:c r="F101" s="6">
        <x:v>8710</x:v>
      </x:c>
      <x:c r="G101" s="8">
        <x:v>0</x:v>
      </x:c>
      <x:c r="H101" s="15" t="s">
        <x:v>837</x:v>
      </x:c>
      <x:c r="I101" s="9">
        <x:f t="shared" si="1"/>
        <x:v>0</x:v>
      </x:c>
    </x:row>
    <x:row r="102">
      <x:c r="A102" s="5">
        <x:v>2018</x:v>
      </x:c>
      <x:c r="B102" s="15" t="s">
        <x:v>835</x:v>
      </x:c>
      <x:c r="C102" s="15" t="s">
        <x:v>846</x:v>
      </x:c>
      <x:c r="D102" s="8">
        <x:v>1035444</x:v>
      </x:c>
      <x:c r="E102" s="6">
        <x:v>3827790</x:v>
      </x:c>
      <x:c r="F102" s="6">
        <x:v>81760</x:v>
      </x:c>
      <x:c r="G102" s="8">
        <x:v>0</x:v>
      </x:c>
      <x:c r="H102" s="15" t="s">
        <x:v>837</x:v>
      </x:c>
      <x:c r="I102" s="9">
        <x:f t="shared" si="1"/>
        <x:v>1.2239905460670732E-4</x:v>
      </x:c>
    </x:row>
    <x:row r="103">
      <x:c r="A103" s="5">
        <x:v>2018</x:v>
      </x:c>
      <x:c r="B103" s="15" t="s">
        <x:v>835</x:v>
      </x:c>
      <x:c r="C103" s="15" t="s">
        <x:v>838</x:v>
      </x:c>
      <x:c r="D103" s="8">
        <x:v>13025183</x:v>
      </x:c>
      <x:c r="E103" s="6">
        <x:v>3827790</x:v>
      </x:c>
      <x:c r="F103" s="6">
        <x:v>11950</x:v>
      </x:c>
      <x:c r="G103" s="8">
        <x:v>3</x:v>
      </x:c>
      <x:c r="H103" s="15" t="s">
        <x:v>837</x:v>
      </x:c>
      <x:c r="I103" s="9">
        <x:f t="shared" si="1"/>
        <x:v>1.5396970625928162E-3</x:v>
      </x:c>
    </x:row>
    <x:row r="104">
      <x:c r="A104" s="5">
        <x:v>2018</x:v>
      </x:c>
      <x:c r="B104" s="15" t="s">
        <x:v>835</x:v>
      </x:c>
      <x:c r="C104" s="15" t="s">
        <x:v>842</x:v>
      </x:c>
      <x:c r="D104" s="8">
        <x:v>72514464</x:v>
      </x:c>
      <x:c r="E104" s="6">
        <x:v>3827790</x:v>
      </x:c>
      <x:c r="F104" s="6">
        <x:v>121490</x:v>
      </x:c>
      <x:c r="G104" s="8">
        <x:v>19</x:v>
      </x:c>
      <x:c r="H104" s="15" t="s">
        <x:v>837</x:v>
      </x:c>
      <x:c r="I104" s="9">
        <x:f t="shared" si="1"/>
        <x:v>8.5718801199409257E-3</x:v>
      </x:c>
    </x:row>
    <x:row r="105">
      <x:c r="A105" s="5">
        <x:v>2018</x:v>
      </x:c>
      <x:c r="B105" s="15" t="s">
        <x:v>835</x:v>
      </x:c>
      <x:c r="C105" s="15" t="s">
        <x:v>839</x:v>
      </x:c>
      <x:c r="D105" s="8">
        <x:v>0</x:v>
      </x:c>
      <x:c r="E105" s="6">
        <x:v>3827790</x:v>
      </x:c>
      <x:c r="F105" s="6">
        <x:v>22130</x:v>
      </x:c>
      <x:c r="G105" s="8">
        <x:v>0</x:v>
      </x:c>
      <x:c r="H105" s="15" t="s">
        <x:v>837</x:v>
      </x:c>
      <x:c r="I105" s="9">
        <x:f t="shared" si="1"/>
        <x:v>0</x:v>
      </x:c>
    </x:row>
    <x:row r="106">
      <x:c r="A106" s="5">
        <x:v>2018</x:v>
      </x:c>
      <x:c r="B106" s="15" t="s">
        <x:v>835</x:v>
      </x:c>
      <x:c r="C106" s="15" t="s">
        <x:v>847</x:v>
      </x:c>
      <x:c r="D106" s="8">
        <x:v>2425796</x:v>
      </x:c>
      <x:c r="E106" s="6">
        <x:v>3827790</x:v>
      </x:c>
      <x:c r="F106" s="6">
        <x:v>118630</x:v>
      </x:c>
      <x:c r="G106" s="8">
        <x:v>1</x:v>
      </x:c>
      <x:c r="H106" s="15" t="s">
        <x:v>837</x:v>
      </x:c>
      <x:c r="I106" s="9">
        <x:f t="shared" si="1"/>
        <x:v>2.8675151632413939E-4</x:v>
      </x:c>
    </x:row>
    <x:row r="107">
      <x:c r="A107" s="5">
        <x:v>2018</x:v>
      </x:c>
      <x:c r="B107" s="15" t="s">
        <x:v>835</x:v>
      </x:c>
      <x:c r="C107" s="15" t="s">
        <x:v>844</x:v>
      </x:c>
      <x:c r="D107" s="8">
        <x:v>54820956</x:v>
      </x:c>
      <x:c r="E107" s="6">
        <x:v>3827790</x:v>
      </x:c>
      <x:c r="F107" s="6">
        <x:v>691450</x:v>
      </x:c>
      <x:c r="G107" s="8">
        <x:v>14</x:v>
      </x:c>
      <x:c r="H107" s="15" t="s">
        <x:v>837</x:v>
      </x:c>
      <x:c r="I107" s="9">
        <x:f t="shared" si="1"/>
        <x:v>6.4803438786027057E-3</x:v>
      </x:c>
    </x:row>
    <x:row r="108">
      <x:c r="A108" s="5">
        <x:v>2018</x:v>
      </x:c>
      <x:c r="B108" s="15" t="s">
        <x:v>835</x:v>
      </x:c>
      <x:c r="C108" s="15" t="s">
        <x:v>840</x:v>
      </x:c>
      <x:c r="D108" s="8">
        <x:v>393559538</x:v>
      </x:c>
      <x:c r="E108" s="6">
        <x:v>3827790</x:v>
      </x:c>
      <x:c r="F108" s="6">
        <x:v>931360</x:v>
      </x:c>
      <x:c r="G108" s="8">
        <x:v>103</x:v>
      </x:c>
      <x:c r="H108" s="15" t="s">
        <x:v>837</x:v>
      </x:c>
      <x:c r="I108" s="9">
        <x:f t="shared" si="1"/>
        <x:v>4.6522376277860038E-2</x:v>
      </x:c>
    </x:row>
    <x:row r="109">
      <x:c r="A109" s="5">
        <x:v>2018</x:v>
      </x:c>
      <x:c r="B109" s="15" t="s">
        <x:v>835</x:v>
      </x:c>
      <x:c r="C109" s="15" t="s">
        <x:v>848</x:v>
      </x:c>
      <x:c r="D109" s="8">
        <x:v>740481898</x:v>
      </x:c>
      <x:c r="E109" s="6">
        <x:v>3827790</x:v>
      </x:c>
      <x:c r="F109" s="6">
        <x:v>2320370</x:v>
      </x:c>
      <x:c r="G109" s="8">
        <x:v>193</x:v>
      </x:c>
      <x:c r="H109" s="15" t="s">
        <x:v>834</x:v>
      </x:c>
      <x:c r="I109" s="9">
        <x:f t="shared" si="1"/>
        <x:v>8.7531806904651802E-2</x:v>
      </x:c>
    </x:row>
    <x:row r="110">
      <x:c r="A110" s="5">
        <x:v>2018</x:v>
      </x:c>
      <x:c r="B110" s="15" t="s">
        <x:v>849</x:v>
      </x:c>
      <x:c r="C110" s="15" t="s">
        <x:v>853</x:v>
      </x:c>
      <x:c r="D110" s="8">
        <x:v>319089587</x:v>
      </x:c>
      <x:c r="E110" s="6">
        <x:v>3827790</x:v>
      </x:c>
      <x:c r="F110" s="6">
        <x:v>197950</x:v>
      </x:c>
      <x:c r="G110" s="8">
        <x:v>83</x:v>
      </x:c>
      <x:c r="H110" s="15" t="s">
        <x:v>837</x:v>
      </x:c>
      <x:c r="I110" s="9">
        <x:f t="shared" si="1"/>
        <x:v>3.7719339513913534E-2</x:v>
      </x:c>
    </x:row>
    <x:row r="111">
      <x:c r="A111" s="5">
        <x:v>2018</x:v>
      </x:c>
      <x:c r="B111" s="15" t="s">
        <x:v>849</x:v>
      </x:c>
      <x:c r="C111" s="15" t="s">
        <x:v>852</x:v>
      </x:c>
      <x:c r="D111" s="8">
        <x:v>845297617</x:v>
      </x:c>
      <x:c r="E111" s="6">
        <x:v>3827790</x:v>
      </x:c>
      <x:c r="F111" s="6">
        <x:v>496500</x:v>
      </x:c>
      <x:c r="G111" s="8">
        <x:v>221</x:v>
      </x:c>
      <x:c r="H111" s="15" t="s">
        <x:v>834</x:v>
      </x:c>
      <x:c r="I111" s="9">
        <x:f t="shared" si="1"/>
        <x:v>9.9921994025850336E-2</x:v>
      </x:c>
    </x:row>
    <x:row r="112">
      <x:c r="A112" s="5">
        <x:v>2018</x:v>
      </x:c>
      <x:c r="B112" s="15" t="s">
        <x:v>849</x:v>
      </x:c>
      <x:c r="C112" s="15" t="s">
        <x:v>850</x:v>
      </x:c>
      <x:c r="D112" s="8">
        <x:v>0</x:v>
      </x:c>
      <x:c r="E112" s="6">
        <x:v>3827790</x:v>
      </x:c>
      <x:c r="F112" s="6">
        <x:v>6900</x:v>
      </x:c>
      <x:c r="G112" s="8">
        <x:v>0</x:v>
      </x:c>
      <x:c r="H112" s="15" t="s">
        <x:v>837</x:v>
      </x:c>
      <x:c r="I112" s="9">
        <x:f t="shared" si="1"/>
        <x:v>0</x:v>
      </x:c>
    </x:row>
    <x:row r="113">
      <x:c r="A113" s="5">
        <x:v>2018</x:v>
      </x:c>
      <x:c r="B113" s="15" t="s">
        <x:v>849</x:v>
      </x:c>
      <x:c r="C113" s="15" t="s">
        <x:v>854</x:v>
      </x:c>
      <x:c r="D113" s="8">
        <x:v>202283985</x:v>
      </x:c>
      <x:c r="E113" s="6">
        <x:v>3827790</x:v>
      </x:c>
      <x:c r="F113" s="6">
        <x:v>218340</x:v>
      </x:c>
      <x:c r="G113" s="8">
        <x:v>53</x:v>
      </x:c>
      <x:c r="H113" s="15" t="s">
        <x:v>837</x:v>
      </x:c>
      <x:c r="I113" s="9">
        <x:f t="shared" si="1"/>
        <x:v>2.3911837362597461E-2</x:v>
      </x:c>
    </x:row>
    <x:row r="114">
      <x:c r="A114" s="5">
        <x:v>2018</x:v>
      </x:c>
      <x:c r="B114" s="15" t="s">
        <x:v>849</x:v>
      </x:c>
      <x:c r="C114" s="15" t="s">
        <x:v>851</x:v>
      </x:c>
      <x:c r="D114" s="8">
        <x:v>323924045</x:v>
      </x:c>
      <x:c r="E114" s="6">
        <x:v>3827790</x:v>
      </x:c>
      <x:c r="F114" s="6">
        <x:v>116660</x:v>
      </x:c>
      <x:c r="G114" s="8">
        <x:v>85</x:v>
      </x:c>
      <x:c r="H114" s="15" t="s">
        <x:v>837</x:v>
      </x:c>
      <x:c r="I114" s="9">
        <x:f t="shared" si="1"/>
        <x:v>3.8290817149339337E-2</x:v>
      </x:c>
    </x:row>
    <x:row r="115">
      <x:c r="A115" s="5">
        <x:v>2018</x:v>
      </x:c>
      <x:c r="B115" s="15" t="s">
        <x:v>855</x:v>
      </x:c>
      <x:c r="C115" s="15" t="s">
        <x:v>856</x:v>
      </x:c>
      <x:c r="D115" s="8">
        <x:v>21138888</x:v>
      </x:c>
      <x:c r="E115" s="6">
        <x:v>3827790</x:v>
      </x:c>
      <x:c r="F115" s="6">
        <x:v>325180</x:v>
      </x:c>
      <x:c r="G115" s="8">
        <x:v>6</x:v>
      </x:c>
      <x:c r="H115" s="15" t="s">
        <x:v>837</x:v>
      </x:c>
      <x:c r="I115" s="9">
        <x:f t="shared" si="1"/>
        <x:v>2.4988120136261063E-3</x:v>
      </x:c>
    </x:row>
    <x:row r="116">
      <x:c r="A116" s="5">
        <x:v>2018</x:v>
      </x:c>
      <x:c r="B116" s="15" t="s">
        <x:v>855</x:v>
      </x:c>
      <x:c r="C116" s="15" t="s">
        <x:v>866</x:v>
      </x:c>
      <x:c r="D116" s="8">
        <x:v>342230545</x:v>
      </x:c>
      <x:c r="E116" s="6">
        <x:v>3827790</x:v>
      </x:c>
      <x:c r="F116" s="6">
        <x:v>3048400</x:v>
      </x:c>
      <x:c r="G116" s="8">
        <x:v>89</x:v>
      </x:c>
      <x:c r="H116" s="15" t="s">
        <x:v>837</x:v>
      </x:c>
      <x:c r="I116" s="9">
        <x:f t="shared" si="1"/>
        <x:v>4.0454814712855752E-2</x:v>
      </x:c>
    </x:row>
    <x:row r="117">
      <x:c r="A117" s="5">
        <x:v>2018</x:v>
      </x:c>
      <x:c r="B117" s="15" t="s">
        <x:v>855</x:v>
      </x:c>
      <x:c r="C117" s="15" t="s">
        <x:v>857</x:v>
      </x:c>
      <x:c r="D117" s="8">
        <x:v>19066973</x:v>
      </x:c>
      <x:c r="E117" s="6">
        <x:v>3827790</x:v>
      </x:c>
      <x:c r="F117" s="6">
        <x:v>629370</x:v>
      </x:c>
      <x:c r="G117" s="8">
        <x:v>5</x:v>
      </x:c>
      <x:c r="H117" s="15" t="s">
        <x:v>837</x:v>
      </x:c>
      <x:c r="I117" s="9">
        <x:f t="shared" si="1"/>
        <x:v>2.253892503516959E-3</x:v>
      </x:c>
    </x:row>
    <x:row r="118">
      <x:c r="A118" s="5">
        <x:v>2018</x:v>
      </x:c>
      <x:c r="B118" s="15" t="s">
        <x:v>855</x:v>
      </x:c>
      <x:c r="C118" s="15" t="s">
        <x:v>858</x:v>
      </x:c>
      <x:c r="D118" s="8">
        <x:v>0</x:v>
      </x:c>
      <x:c r="E118" s="6">
        <x:v>3827790</x:v>
      </x:c>
      <x:c r="F118" s="6">
        <x:v>22960</x:v>
      </x:c>
      <x:c r="G118" s="8">
        <x:v>0</x:v>
      </x:c>
      <x:c r="H118" s="15" t="s">
        <x:v>837</x:v>
      </x:c>
      <x:c r="I118" s="9">
        <x:f t="shared" si="1"/>
        <x:v>0</x:v>
      </x:c>
    </x:row>
    <x:row r="119">
      <x:c r="A119" s="5">
        <x:v>2018</x:v>
      </x:c>
      <x:c r="B119" s="15" t="s">
        <x:v>855</x:v>
      </x:c>
      <x:c r="C119" s="15" t="s">
        <x:v>864</x:v>
      </x:c>
      <x:c r="D119" s="8">
        <x:v>97797687</x:v>
      </x:c>
      <x:c r="E119" s="6">
        <x:v>3827790</x:v>
      </x:c>
      <x:c r="F119" s="6">
        <x:v>1410040</x:v>
      </x:c>
      <x:c r="G119" s="8">
        <x:v>26</x:v>
      </x:c>
      <x:c r="H119" s="15" t="s">
        <x:v>837</x:v>
      </x:c>
      <x:c r="I119" s="9">
        <x:f t="shared" si="1"/>
        <x:v>1.1560590849454603E-2</x:v>
      </x:c>
    </x:row>
    <x:row r="120">
      <x:c r="A120" s="5">
        <x:v>2018</x:v>
      </x:c>
      <x:c r="B120" s="15" t="s">
        <x:v>855</x:v>
      </x:c>
      <x:c r="C120" s="15" t="s">
        <x:v>868</x:v>
      </x:c>
      <x:c r="D120" s="8">
        <x:v>111456308</x:v>
      </x:c>
      <x:c r="E120" s="6">
        <x:v>3827790</x:v>
      </x:c>
      <x:c r="F120" s="6">
        <x:v>992050</x:v>
      </x:c>
      <x:c r="G120" s="8">
        <x:v>29</x:v>
      </x:c>
      <x:c r="H120" s="15" t="s">
        <x:v>837</x:v>
      </x:c>
      <x:c r="I120" s="9">
        <x:f t="shared" si="1"/>
        <x:v>1.3175166140471132E-2</x:v>
      </x:c>
    </x:row>
    <x:row r="121">
      <x:c r="A121" s="5">
        <x:v>2018</x:v>
      </x:c>
      <x:c r="B121" s="15" t="s">
        <x:v>855</x:v>
      </x:c>
      <x:c r="C121" s="15" t="s">
        <x:v>862</x:v>
      </x:c>
      <x:c r="D121" s="8">
        <x:v>357286191</x:v>
      </x:c>
      <x:c r="E121" s="6">
        <x:v>3827790</x:v>
      </x:c>
      <x:c r="F121" s="6">
        <x:v>3691160</x:v>
      </x:c>
      <x:c r="G121" s="8">
        <x:v>93</x:v>
      </x:c>
      <x:c r="H121" s="15" t="s">
        <x:v>837</x:v>
      </x:c>
      <x:c r="I121" s="9">
        <x:f t="shared" si="1"/>
        <x:v>4.2234531275888859E-2</x:v>
      </x:c>
    </x:row>
    <x:row r="122">
      <x:c r="A122" s="5">
        <x:v>2018</x:v>
      </x:c>
      <x:c r="B122" s="15" t="s">
        <x:v>855</x:v>
      </x:c>
      <x:c r="C122" s="15" t="s">
        <x:v>859</x:v>
      </x:c>
      <x:c r="D122" s="8">
        <x:v>6873795629</x:v>
      </x:c>
      <x:c r="E122" s="6">
        <x:v>3827790</x:v>
      </x:c>
      <x:c r="F122" s="6">
        <x:v>3820930</x:v>
      </x:c>
      <x:c r="G122" s="8">
        <x:v>1796</x:v>
      </x:c>
      <x:c r="H122" s="15" t="s">
        <x:v>834</x:v>
      </x:c>
      <x:c r="I122" s="9">
        <x:f t="shared" si="1"/>
        <x:v>0.81254619906949788</x:v>
      </x:c>
    </x:row>
    <x:row r="123">
      <x:c r="A123" s="5">
        <x:v>2018</x:v>
      </x:c>
      <x:c r="B123" s="15" t="s">
        <x:v>855</x:v>
      </x:c>
      <x:c r="C123" s="15" t="s">
        <x:v>865</x:v>
      </x:c>
      <x:c r="D123" s="8">
        <x:v>1592187782</x:v>
      </x:c>
      <x:c r="E123" s="6">
        <x:v>3827790</x:v>
      </x:c>
      <x:c r="F123" s="6">
        <x:v>3041020</x:v>
      </x:c>
      <x:c r="G123" s="8">
        <x:v>416</x:v>
      </x:c>
      <x:c r="H123" s="15" t="s">
        <x:v>837</x:v>
      </x:c>
      <x:c r="I123" s="9">
        <x:f t="shared" si="1"/>
        <x:v>0.188211317341305</x:v>
      </x:c>
    </x:row>
    <x:row r="124">
      <x:c r="A124" s="5">
        <x:v>2018</x:v>
      </x:c>
      <x:c r="B124" s="15" t="s">
        <x:v>855</x:v>
      </x:c>
      <x:c r="C124" s="15" t="s">
        <x:v>860</x:v>
      </x:c>
      <x:c r="D124" s="8">
        <x:v>235426630</x:v>
      </x:c>
      <x:c r="E124" s="6">
        <x:v>3827790</x:v>
      </x:c>
      <x:c r="F124" s="6">
        <x:v>3552180</x:v>
      </x:c>
      <x:c r="G124" s="8">
        <x:v>62</x:v>
      </x:c>
      <x:c r="H124" s="15" t="s">
        <x:v>837</x:v>
      </x:c>
      <x:c r="I124" s="9">
        <x:f t="shared" si="1"/>
        <x:v>2.7829604441421345E-2</x:v>
      </x:c>
    </x:row>
    <x:row r="125">
      <x:c r="A125" s="5">
        <x:v>2018</x:v>
      </x:c>
      <x:c r="B125" s="15" t="s">
        <x:v>855</x:v>
      </x:c>
      <x:c r="C125" s="15" t="s">
        <x:v>861</x:v>
      </x:c>
      <x:c r="D125" s="8">
        <x:v>2415550429</x:v>
      </x:c>
      <x:c r="E125" s="6">
        <x:v>3827790</x:v>
      </x:c>
      <x:c r="F125" s="6">
        <x:v>3787520</x:v>
      </x:c>
      <x:c r="G125" s="8">
        <x:v>631</x:v>
      </x:c>
      <x:c r="H125" s="15" t="s">
        <x:v>837</x:v>
      </x:c>
      <x:c r="I125" s="9">
        <x:f t="shared" si="1"/>
        <x:v>0.28554039510048473</x:v>
      </x:c>
    </x:row>
    <x:row r="126">
      <x:c r="A126" s="5">
        <x:v>2018</x:v>
      </x:c>
      <x:c r="B126" s="15" t="s">
        <x:v>855</x:v>
      </x:c>
      <x:c r="C126" s="15" t="s">
        <x:v>863</x:v>
      </x:c>
      <x:c r="D126" s="8">
        <x:v>136068556</x:v>
      </x:c>
      <x:c r="E126" s="6">
        <x:v>3827790</x:v>
      </x:c>
      <x:c r="F126" s="6">
        <x:v>911780</x:v>
      </x:c>
      <x:c r="G126" s="8">
        <x:v>36</x:v>
      </x:c>
      <x:c r="H126" s="15" t="s">
        <x:v>837</x:v>
      </x:c>
      <x:c r="I126" s="9">
        <x:f t="shared" si="1"/>
        <x:v>1.6084561421090677E-2</x:v>
      </x:c>
    </x:row>
    <x:row r="127">
      <x:c r="A127" s="5">
        <x:v>2018</x:v>
      </x:c>
      <x:c r="B127" s="15" t="s">
        <x:v>855</x:v>
      </x:c>
      <x:c r="C127" s="15" t="s">
        <x:v>867</x:v>
      </x:c>
      <x:c r="D127" s="8">
        <x:v>1545585640</x:v>
      </x:c>
      <x:c r="E127" s="6">
        <x:v>3827790</x:v>
      </x:c>
      <x:c r="F127" s="6">
        <x:v>2674810</x:v>
      </x:c>
      <x:c r="G127" s="8">
        <x:v>404</x:v>
      </x:c>
      <x:c r="H127" s="15" t="s">
        <x:v>837</x:v>
      </x:c>
      <x:c r="I127" s="9">
        <x:f t="shared" si="1"/>
        <x:v>0.18270251326938269</x:v>
      </x:c>
    </x:row>
    <x:row r="128">
      <x:c r="A128" s="5">
        <x:v>2019</x:v>
      </x:c>
      <x:c r="B128" s="15" t="s">
        <x:v>832</x:v>
      </x:c>
      <x:c r="C128" s="15" t="s">
        <x:v>833</x:v>
      </x:c>
      <x:c r="D128" s="8">
        <x:v>8774207275</x:v>
      </x:c>
      <x:c r="E128" s="6">
        <x:v>3923870</x:v>
      </x:c>
      <x:c r="F128" s="6">
        <x:v>3923850</x:v>
      </x:c>
      <x:c r="G128" s="8">
        <x:v>2236</x:v>
      </x:c>
      <x:c r="H128" s="15" t="s">
        <x:v>834</x:v>
      </x:c>
      <x:c r="I128" s="9">
        <x:f t="shared" si="1"/>
        <x:v>1</x:v>
      </x:c>
    </x:row>
    <x:row r="129">
      <x:c r="A129" s="5">
        <x:v>2019</x:v>
      </x:c>
      <x:c r="B129" s="15" t="s">
        <x:v>835</x:v>
      </x:c>
      <x:c r="C129" s="15" t="s">
        <x:v>836</x:v>
      </x:c>
      <x:c r="D129" s="8">
        <x:v>181759058</x:v>
      </x:c>
      <x:c r="E129" s="6">
        <x:v>3923870</x:v>
      </x:c>
      <x:c r="F129" s="6">
        <x:v>1924940</x:v>
      </x:c>
      <x:c r="G129" s="8">
        <x:v>46</x:v>
      </x:c>
      <x:c r="H129" s="15" t="s">
        <x:v>837</x:v>
      </x:c>
      <x:c r="I129" s="9">
        <x:f t="shared" si="1"/>
        <x:v>2.0715154349940975E-2</x:v>
      </x:c>
    </x:row>
    <x:row r="130">
      <x:c r="A130" s="5">
        <x:v>2019</x:v>
      </x:c>
      <x:c r="B130" s="15" t="s">
        <x:v>835</x:v>
      </x:c>
      <x:c r="C130" s="15" t="s">
        <x:v>842</x:v>
      </x:c>
      <x:c r="D130" s="8">
        <x:v>72478997</x:v>
      </x:c>
      <x:c r="E130" s="6">
        <x:v>3923870</x:v>
      </x:c>
      <x:c r="F130" s="6">
        <x:v>122700</x:v>
      </x:c>
      <x:c r="G130" s="8">
        <x:v>18</x:v>
      </x:c>
      <x:c r="H130" s="15" t="s">
        <x:v>837</x:v>
      </x:c>
      <x:c r="I130" s="9">
        <x:f t="shared" si="1"/>
        <x:v>8.2604609998799001E-3</x:v>
      </x:c>
    </x:row>
    <x:row r="131">
      <x:c r="A131" s="5">
        <x:v>2019</x:v>
      </x:c>
      <x:c r="B131" s="15" t="s">
        <x:v>835</x:v>
      </x:c>
      <x:c r="C131" s="15" t="s">
        <x:v>846</x:v>
      </x:c>
      <x:c r="D131" s="8">
        <x:v>1031149</x:v>
      </x:c>
      <x:c r="E131" s="6">
        <x:v>3923870</x:v>
      </x:c>
      <x:c r="F131" s="6">
        <x:v>88920</x:v>
      </x:c>
      <x:c r="G131" s="8">
        <x:v>0</x:v>
      </x:c>
      <x:c r="H131" s="15" t="s">
        <x:v>837</x:v>
      </x:c>
      <x:c r="I131" s="9">
        <x:f t="shared" si="1"/>
        <x:v>1.175204742356625E-4</x:v>
      </x:c>
    </x:row>
    <x:row r="132">
      <x:c r="A132" s="5">
        <x:v>2019</x:v>
      </x:c>
      <x:c r="B132" s="15" t="s">
        <x:v>835</x:v>
      </x:c>
      <x:c r="C132" s="15" t="s">
        <x:v>844</x:v>
      </x:c>
      <x:c r="D132" s="8">
        <x:v>57908509</x:v>
      </x:c>
      <x:c r="E132" s="6">
        <x:v>3923870</x:v>
      </x:c>
      <x:c r="F132" s="6">
        <x:v>729070</x:v>
      </x:c>
      <x:c r="G132" s="8">
        <x:v>15</x:v>
      </x:c>
      <x:c r="H132" s="15" t="s">
        <x:v>837</x:v>
      </x:c>
      <x:c r="I132" s="9" t="n">
        <x:f t="shared" ref="I132:I195" si="2">IFERROR(D132/SUMIFS($D$4:$D$313,$A$4:$A$313,A132,$C$4:$C$313,"Total des dépenses remboursées"),"")</x:f>
        <x:v>0.006599856509544334</x:v>
      </x:c>
    </x:row>
    <x:row r="133">
      <x:c r="A133" s="5">
        <x:v>2019</x:v>
      </x:c>
      <x:c r="B133" s="15" t="s">
        <x:v>835</x:v>
      </x:c>
      <x:c r="C133" s="15" t="s">
        <x:v>848</x:v>
      </x:c>
      <x:c r="D133" s="8">
        <x:v>765722192</x:v>
      </x:c>
      <x:c r="E133" s="6">
        <x:v>3923870</x:v>
      </x:c>
      <x:c r="F133" s="6">
        <x:v>2408370</x:v>
      </x:c>
      <x:c r="G133" s="8">
        <x:v>195</x:v>
      </x:c>
      <x:c r="H133" s="15" t="s">
        <x:v>834</x:v>
      </x:c>
      <x:c r="I133" s="9">
        <x:f t="shared" si="2"/>
        <x:v>8.7269672119752839E-2</x:v>
      </x:c>
    </x:row>
    <x:row r="134">
      <x:c r="A134" s="5">
        <x:v>2019</x:v>
      </x:c>
      <x:c r="B134" s="15" t="s">
        <x:v>835</x:v>
      </x:c>
      <x:c r="C134" s="15" t="s">
        <x:v>841</x:v>
      </x:c>
      <x:c r="D134" s="8">
        <x:v>10138446</x:v>
      </x:c>
      <x:c r="E134" s="6">
        <x:v>3923870</x:v>
      </x:c>
      <x:c r="F134" s="6">
        <x:v>12320</x:v>
      </x:c>
      <x:c r="G134" s="8">
        <x:v>3</x:v>
      </x:c>
      <x:c r="H134" s="15" t="s">
        <x:v>837</x:v>
      </x:c>
      <x:c r="I134" s="9">
        <x:f t="shared" si="2"/>
        <x:v>1.155482846739565E-3</x:v>
      </x:c>
    </x:row>
    <x:row r="135">
      <x:c r="A135" s="5">
        <x:v>2019</x:v>
      </x:c>
      <x:c r="B135" s="15" t="s">
        <x:v>835</x:v>
      </x:c>
      <x:c r="C135" s="15" t="s">
        <x:v>838</x:v>
      </x:c>
      <x:c r="D135" s="8">
        <x:v>13468299</x:v>
      </x:c>
      <x:c r="E135" s="6">
        <x:v>3923870</x:v>
      </x:c>
      <x:c r="F135" s="6">
        <x:v>12790</x:v>
      </x:c>
      <x:c r="G135" s="8">
        <x:v>3</x:v>
      </x:c>
      <x:c r="H135" s="15" t="s">
        <x:v>837</x:v>
      </x:c>
      <x:c r="I135" s="9">
        <x:f t="shared" si="2"/>
        <x:v>1.5349875581780121E-3</x:v>
      </x:c>
    </x:row>
    <x:row r="136">
      <x:c r="A136" s="5">
        <x:v>2019</x:v>
      </x:c>
      <x:c r="B136" s="15" t="s">
        <x:v>835</x:v>
      </x:c>
      <x:c r="C136" s="15" t="s">
        <x:v>845</x:v>
      </x:c>
      <x:c r="D136" s="8">
        <x:v>30703158</x:v>
      </x:c>
      <x:c r="E136" s="6">
        <x:v>3923870</x:v>
      </x:c>
      <x:c r="F136" s="6">
        <x:v>81360</x:v>
      </x:c>
      <x:c r="G136" s="8">
        <x:v>8</x:v>
      </x:c>
      <x:c r="H136" s="15" t="s">
        <x:v>837</x:v>
      </x:c>
      <x:c r="I136" s="9">
        <x:f t="shared" si="2"/>
        <x:v>3.4992515036066322E-3</x:v>
      </x:c>
    </x:row>
    <x:row r="137">
      <x:c r="A137" s="5">
        <x:v>2019</x:v>
      </x:c>
      <x:c r="B137" s="15" t="s">
        <x:v>835</x:v>
      </x:c>
      <x:c r="C137" s="15" t="s">
        <x:v>847</x:v>
      </x:c>
      <x:c r="D137" s="8">
        <x:v>2249740</x:v>
      </x:c>
      <x:c r="E137" s="6">
        <x:v>3923870</x:v>
      </x:c>
      <x:c r="F137" s="6">
        <x:v>126350</x:v>
      </x:c>
      <x:c r="G137" s="8">
        <x:v>1</x:v>
      </x:c>
      <x:c r="H137" s="15" t="s">
        <x:v>837</x:v>
      </x:c>
      <x:c r="I137" s="9">
        <x:f t="shared" si="2"/>
        <x:v>2.5640379005065163E-4</x:v>
      </x:c>
    </x:row>
    <x:row r="138">
      <x:c r="A138" s="5">
        <x:v>2019</x:v>
      </x:c>
      <x:c r="B138" s="15" t="s">
        <x:v>835</x:v>
      </x:c>
      <x:c r="C138" s="15" t="s">
        <x:v>840</x:v>
      </x:c>
      <x:c r="D138" s="8">
        <x:v>395984837</x:v>
      </x:c>
      <x:c r="E138" s="6">
        <x:v>3923870</x:v>
      </x:c>
      <x:c r="F138" s="6">
        <x:v>955830</x:v>
      </x:c>
      <x:c r="G138" s="8">
        <x:v>101</x:v>
      </x:c>
      <x:c r="H138" s="15" t="s">
        <x:v>837</x:v>
      </x:c>
      <x:c r="I138" s="9">
        <x:f t="shared" si="2"/>
        <x:v>4.5130554201547511E-2</x:v>
      </x:c>
    </x:row>
    <x:row r="139">
      <x:c r="A139" s="5">
        <x:v>2019</x:v>
      </x:c>
      <x:c r="B139" s="15" t="s">
        <x:v>835</x:v>
      </x:c>
      <x:c r="C139" s="15" t="s">
        <x:v>843</x:v>
      </x:c>
      <x:c r="D139" s="8">
        <x:v>0</x:v>
      </x:c>
      <x:c r="E139" s="6">
        <x:v>3923870</x:v>
      </x:c>
      <x:c r="F139" s="6">
        <x:v>8710</x:v>
      </x:c>
      <x:c r="G139" s="8">
        <x:v>0</x:v>
      </x:c>
      <x:c r="H139" s="15" t="s">
        <x:v>837</x:v>
      </x:c>
      <x:c r="I139" s="9">
        <x:f t="shared" si="2"/>
        <x:v>0</x:v>
      </x:c>
    </x:row>
    <x:row r="140">
      <x:c r="A140" s="5">
        <x:v>2019</x:v>
      </x:c>
      <x:c r="B140" s="15" t="s">
        <x:v>835</x:v>
      </x:c>
      <x:c r="C140" s="15" t="s">
        <x:v>839</x:v>
      </x:c>
      <x:c r="D140" s="8">
        <x:v>0</x:v>
      </x:c>
      <x:c r="E140" s="6">
        <x:v>3923870</x:v>
      </x:c>
      <x:c r="F140" s="6">
        <x:v>21740</x:v>
      </x:c>
      <x:c r="G140" s="8">
        <x:v>0</x:v>
      </x:c>
      <x:c r="H140" s="15" t="s">
        <x:v>837</x:v>
      </x:c>
      <x:c r="I140" s="9">
        <x:f t="shared" si="2"/>
        <x:v>0</x:v>
      </x:c>
    </x:row>
    <x:row r="141">
      <x:c r="A141" s="5">
        <x:v>2019</x:v>
      </x:c>
      <x:c r="B141" s="15" t="s">
        <x:v>849</x:v>
      </x:c>
      <x:c r="C141" s="15" t="s">
        <x:v>851</x:v>
      </x:c>
      <x:c r="D141" s="8">
        <x:v>333308708</x:v>
      </x:c>
      <x:c r="E141" s="6">
        <x:v>3923870</x:v>
      </x:c>
      <x:c r="F141" s="6">
        <x:v>117810</x:v>
      </x:c>
      <x:c r="G141" s="8">
        <x:v>85</x:v>
      </x:c>
      <x:c r="H141" s="15" t="s">
        <x:v>837</x:v>
      </x:c>
      <x:c r="I141" s="9">
        <x:f t="shared" si="2"/>
        <x:v>3.7987330086181492E-2</x:v>
      </x:c>
    </x:row>
    <x:row r="142">
      <x:c r="A142" s="5">
        <x:v>2019</x:v>
      </x:c>
      <x:c r="B142" s="15" t="s">
        <x:v>849</x:v>
      </x:c>
      <x:c r="C142" s="15" t="s">
        <x:v>853</x:v>
      </x:c>
      <x:c r="D142" s="8">
        <x:v>328195188</x:v>
      </x:c>
      <x:c r="E142" s="6">
        <x:v>3923870</x:v>
      </x:c>
      <x:c r="F142" s="6">
        <x:v>205220</x:v>
      </x:c>
      <x:c r="G142" s="8">
        <x:v>84</x:v>
      </x:c>
      <x:c r="H142" s="15" t="s">
        <x:v>837</x:v>
      </x:c>
      <x:c r="I142" s="9">
        <x:f t="shared" si="2"/>
        <x:v>3.7404540115562747E-2</x:v>
      </x:c>
    </x:row>
    <x:row r="143">
      <x:c r="A143" s="5">
        <x:v>2019</x:v>
      </x:c>
      <x:c r="B143" s="15" t="s">
        <x:v>849</x:v>
      </x:c>
      <x:c r="C143" s="15" t="s">
        <x:v>854</x:v>
      </x:c>
      <x:c r="D143" s="8">
        <x:v>221027383</x:v>
      </x:c>
      <x:c r="E143" s="6">
        <x:v>3923870</x:v>
      </x:c>
      <x:c r="F143" s="6">
        <x:v>226150</x:v>
      </x:c>
      <x:c r="G143" s="8">
        <x:v>56</x:v>
      </x:c>
      <x:c r="H143" s="15" t="s">
        <x:v>837</x:v>
      </x:c>
      <x:c r="I143" s="9">
        <x:f t="shared" si="2"/>
        <x:v>2.5190581447712607E-2</x:v>
      </x:c>
    </x:row>
    <x:row r="144">
      <x:c r="A144" s="5">
        <x:v>2019</x:v>
      </x:c>
      <x:c r="B144" s="15" t="s">
        <x:v>849</x:v>
      </x:c>
      <x:c r="C144" s="15" t="s">
        <x:v>850</x:v>
      </x:c>
      <x:c r="D144" s="8">
        <x:v>0</x:v>
      </x:c>
      <x:c r="E144" s="6">
        <x:v>3923870</x:v>
      </x:c>
      <x:c r="F144" s="6">
        <x:v>7210</x:v>
      </x:c>
      <x:c r="G144" s="8">
        <x:v>0</x:v>
      </x:c>
      <x:c r="H144" s="15" t="s">
        <x:v>837</x:v>
      </x:c>
      <x:c r="I144" s="9">
        <x:f t="shared" si="2"/>
        <x:v>0</x:v>
      </x:c>
    </x:row>
    <x:row r="145">
      <x:c r="A145" s="5">
        <x:v>2019</x:v>
      </x:c>
      <x:c r="B145" s="15" t="s">
        <x:v>849</x:v>
      </x:c>
      <x:c r="C145" s="15" t="s">
        <x:v>852</x:v>
      </x:c>
      <x:c r="D145" s="8">
        <x:v>882531280</x:v>
      </x:c>
      <x:c r="E145" s="6">
        <x:v>3923870</x:v>
      </x:c>
      <x:c r="F145" s="6">
        <x:v>511620</x:v>
      </x:c>
      <x:c r="G145" s="8">
        <x:v>225</x:v>
      </x:c>
      <x:c r="H145" s="15" t="s">
        <x:v>834</x:v>
      </x:c>
      <x:c r="I145" s="9">
        <x:f t="shared" si="2"/>
        <x:v>0.10058245176342726</x:v>
      </x:c>
    </x:row>
    <x:row r="146">
      <x:c r="A146" s="5">
        <x:v>2019</x:v>
      </x:c>
      <x:c r="B146" s="15" t="s">
        <x:v>855</x:v>
      </x:c>
      <x:c r="C146" s="15" t="s">
        <x:v>866</x:v>
      </x:c>
      <x:c r="D146" s="8">
        <x:v>365277448</x:v>
      </x:c>
      <x:c r="E146" s="6">
        <x:v>3923870</x:v>
      </x:c>
      <x:c r="F146" s="6">
        <x:v>3137050</x:v>
      </x:c>
      <x:c r="G146" s="8">
        <x:v>93</x:v>
      </x:c>
      <x:c r="H146" s="15" t="s">
        <x:v>837</x:v>
      </x:c>
      <x:c r="I146" s="9">
        <x:f t="shared" si="2"/>
        <x:v>4.1630820489136439E-2</x:v>
      </x:c>
    </x:row>
    <x:row r="147">
      <x:c r="A147" s="5">
        <x:v>2019</x:v>
      </x:c>
      <x:c r="B147" s="15" t="s">
        <x:v>855</x:v>
      </x:c>
      <x:c r="C147" s="15" t="s">
        <x:v>863</x:v>
      </x:c>
      <x:c r="D147" s="8">
        <x:v>147291383</x:v>
      </x:c>
      <x:c r="E147" s="6">
        <x:v>3923870</x:v>
      </x:c>
      <x:c r="F147" s="6">
        <x:v>947630</x:v>
      </x:c>
      <x:c r="G147" s="8">
        <x:v>38</x:v>
      </x:c>
      <x:c r="H147" s="15" t="s">
        <x:v>837</x:v>
      </x:c>
      <x:c r="I147" s="9">
        <x:f t="shared" si="2"/>
        <x:v>1.6786859300631236E-2</x:v>
      </x:c>
    </x:row>
    <x:row r="148">
      <x:c r="A148" s="5">
        <x:v>2019</x:v>
      </x:c>
      <x:c r="B148" s="15" t="s">
        <x:v>855</x:v>
      </x:c>
      <x:c r="C148" s="15" t="s">
        <x:v>868</x:v>
      </x:c>
      <x:c r="D148" s="8">
        <x:v>118072715</x:v>
      </x:c>
      <x:c r="E148" s="6">
        <x:v>3923870</x:v>
      </x:c>
      <x:c r="F148" s="6">
        <x:v>1004610</x:v>
      </x:c>
      <x:c r="G148" s="8">
        <x:v>30</x:v>
      </x:c>
      <x:c r="H148" s="15" t="s">
        <x:v>837</x:v>
      </x:c>
      <x:c r="I148" s="9">
        <x:f t="shared" si="2"/>
        <x:v>1.3456795730871312E-2</x:v>
      </x:c>
    </x:row>
    <x:row r="149">
      <x:c r="A149" s="5">
        <x:v>2019</x:v>
      </x:c>
      <x:c r="B149" s="15" t="s">
        <x:v>855</x:v>
      </x:c>
      <x:c r="C149" s="15" t="s">
        <x:v>860</x:v>
      </x:c>
      <x:c r="D149" s="8">
        <x:v>241502360</x:v>
      </x:c>
      <x:c r="E149" s="6">
        <x:v>3923870</x:v>
      </x:c>
      <x:c r="F149" s="6">
        <x:v>3640440</x:v>
      </x:c>
      <x:c r="G149" s="8">
        <x:v>62</x:v>
      </x:c>
      <x:c r="H149" s="15" t="s">
        <x:v>837</x:v>
      </x:c>
      <x:c r="I149" s="9">
        <x:f t="shared" si="2"/>
        <x:v>2.7524122969844019E-2</x:v>
      </x:c>
    </x:row>
    <x:row r="150">
      <x:c r="A150" s="5">
        <x:v>2019</x:v>
      </x:c>
      <x:c r="B150" s="15" t="s">
        <x:v>855</x:v>
      </x:c>
      <x:c r="C150" s="15" t="s">
        <x:v>862</x:v>
      </x:c>
      <x:c r="D150" s="8">
        <x:v>362765718</x:v>
      </x:c>
      <x:c r="E150" s="6">
        <x:v>3923870</x:v>
      </x:c>
      <x:c r="F150" s="6">
        <x:v>3777820</x:v>
      </x:c>
      <x:c r="G150" s="8">
        <x:v>92</x:v>
      </x:c>
      <x:c r="H150" s="15" t="s">
        <x:v>837</x:v>
      </x:c>
      <x:c r="I150" s="9">
        <x:f t="shared" si="2"/>
        <x:v>4.1344557591386513E-2</x:v>
      </x:c>
    </x:row>
    <x:row r="151">
      <x:c r="A151" s="5">
        <x:v>2019</x:v>
      </x:c>
      <x:c r="B151" s="15" t="s">
        <x:v>855</x:v>
      </x:c>
      <x:c r="C151" s="15" t="s">
        <x:v>858</x:v>
      </x:c>
      <x:c r="D151" s="8">
        <x:v>0</x:v>
      </x:c>
      <x:c r="E151" s="6">
        <x:v>3923870</x:v>
      </x:c>
      <x:c r="F151" s="6">
        <x:v>26950</x:v>
      </x:c>
      <x:c r="G151" s="8">
        <x:v>0</x:v>
      </x:c>
      <x:c r="H151" s="15" t="s">
        <x:v>837</x:v>
      </x:c>
      <x:c r="I151" s="9">
        <x:f t="shared" si="2"/>
        <x:v>0</x:v>
      </x:c>
    </x:row>
    <x:row r="152">
      <x:c r="A152" s="5">
        <x:v>2019</x:v>
      </x:c>
      <x:c r="B152" s="15" t="s">
        <x:v>855</x:v>
      </x:c>
      <x:c r="C152" s="15" t="s">
        <x:v>867</x:v>
      </x:c>
      <x:c r="D152" s="8">
        <x:v>1610074833</x:v>
      </x:c>
      <x:c r="E152" s="6">
        <x:v>3923870</x:v>
      </x:c>
      <x:c r="F152" s="6">
        <x:v>2778430</x:v>
      </x:c>
      <x:c r="G152" s="8">
        <x:v>410</x:v>
      </x:c>
      <x:c r="H152" s="15" t="s">
        <x:v>837</x:v>
      </x:c>
      <x:c r="I152" s="9">
        <x:f t="shared" si="2"/>
        <x:v>0.18350088874553058</x:v>
      </x:c>
    </x:row>
    <x:row r="153">
      <x:c r="A153" s="5">
        <x:v>2019</x:v>
      </x:c>
      <x:c r="B153" s="15" t="s">
        <x:v>855</x:v>
      </x:c>
      <x:c r="C153" s="15" t="s">
        <x:v>856</x:v>
      </x:c>
      <x:c r="D153" s="8">
        <x:v>20462311</x:v>
      </x:c>
      <x:c r="E153" s="6">
        <x:v>3923870</x:v>
      </x:c>
      <x:c r="F153" s="6">
        <x:v>363680</x:v>
      </x:c>
      <x:c r="G153" s="8">
        <x:v>5</x:v>
      </x:c>
      <x:c r="H153" s="15" t="s">
        <x:v>837</x:v>
      </x:c>
      <x:c r="I153" s="9">
        <x:f t="shared" si="2"/>
        <x:v>2.3320979729191545E-3</x:v>
      </x:c>
    </x:row>
    <x:row r="154">
      <x:c r="A154" s="5">
        <x:v>2019</x:v>
      </x:c>
      <x:c r="B154" s="15" t="s">
        <x:v>855</x:v>
      </x:c>
      <x:c r="C154" s="15" t="s">
        <x:v>865</x:v>
      </x:c>
      <x:c r="D154" s="8">
        <x:v>1662918062</x:v>
      </x:c>
      <x:c r="E154" s="6">
        <x:v>3923870</x:v>
      </x:c>
      <x:c r="F154" s="6">
        <x:v>3130970</x:v>
      </x:c>
      <x:c r="G154" s="8">
        <x:v>424</x:v>
      </x:c>
      <x:c r="H154" s="15" t="s">
        <x:v>837</x:v>
      </x:c>
      <x:c r="I154" s="9">
        <x:f t="shared" si="2"/>
        <x:v>0.18952345321703151</x:v>
      </x:c>
    </x:row>
    <x:row r="155">
      <x:c r="A155" s="5">
        <x:v>2019</x:v>
      </x:c>
      <x:c r="B155" s="15" t="s">
        <x:v>855</x:v>
      </x:c>
      <x:c r="C155" s="15" t="s">
        <x:v>861</x:v>
      </x:c>
      <x:c r="D155" s="8">
        <x:v>2469257693</x:v>
      </x:c>
      <x:c r="E155" s="6">
        <x:v>3923870</x:v>
      </x:c>
      <x:c r="F155" s="6">
        <x:v>3881960</x:v>
      </x:c>
      <x:c r="G155" s="8">
        <x:v>629</x:v>
      </x:c>
      <x:c r="H155" s="15" t="s">
        <x:v>837</x:v>
      </x:c>
      <x:c r="I155" s="9">
        <x:f t="shared" si="2"/>
        <x:v>0.2814223115101871</x:v>
      </x:c>
    </x:row>
    <x:row r="156">
      <x:c r="A156" s="5">
        <x:v>2019</x:v>
      </x:c>
      <x:c r="B156" s="15" t="s">
        <x:v>855</x:v>
      </x:c>
      <x:c r="C156" s="15" t="s">
        <x:v>857</x:v>
      </x:c>
      <x:c r="D156" s="8">
        <x:v>23142695</x:v>
      </x:c>
      <x:c r="E156" s="6">
        <x:v>3923870</x:v>
      </x:c>
      <x:c r="F156" s="6">
        <x:v>750820</x:v>
      </x:c>
      <x:c r="G156" s="8">
        <x:v>6</x:v>
      </x:c>
      <x:c r="H156" s="15" t="s">
        <x:v>837</x:v>
      </x:c>
      <x:c r="I156" s="9">
        <x:f t="shared" si="2"/>
        <x:v>2.6375824361865217E-3</x:v>
      </x:c>
    </x:row>
    <x:row r="157">
      <x:c r="A157" s="5">
        <x:v>2019</x:v>
      </x:c>
      <x:c r="B157" s="15" t="s">
        <x:v>855</x:v>
      </x:c>
      <x:c r="C157" s="15" t="s">
        <x:v>864</x:v>
      </x:c>
      <x:c r="D157" s="8">
        <x:v>105188586</x:v>
      </x:c>
      <x:c r="E157" s="6">
        <x:v>3923870</x:v>
      </x:c>
      <x:c r="F157" s="6">
        <x:v>1460780</x:v>
      </x:c>
      <x:c r="G157" s="8">
        <x:v>27</x:v>
      </x:c>
      <x:c r="H157" s="15" t="s">
        <x:v>837</x:v>
      </x:c>
      <x:c r="I157" s="9">
        <x:f t="shared" si="2"/>
        <x:v>1.1988386267065932E-2</x:v>
      </x:c>
    </x:row>
    <x:row r="158">
      <x:c r="A158" s="5">
        <x:v>2019</x:v>
      </x:c>
      <x:c r="B158" s="15" t="s">
        <x:v>855</x:v>
      </x:c>
      <x:c r="C158" s="15" t="s">
        <x:v>859</x:v>
      </x:c>
      <x:c r="D158" s="8">
        <x:v>7125953804</x:v>
      </x:c>
      <x:c r="E158" s="6">
        <x:v>3923870</x:v>
      </x:c>
      <x:c r="F158" s="6">
        <x:v>3916420</x:v>
      </x:c>
      <x:c r="G158" s="8">
        <x:v>1816</x:v>
      </x:c>
      <x:c r="H158" s="15" t="s">
        <x:v>834</x:v>
      </x:c>
      <x:c r="I158" s="9">
        <x:f t="shared" si="2"/>
        <x:v>0.81214787623079032</x:v>
      </x:c>
    </x:row>
    <x:row r="159">
      <x:c r="A159" s="5">
        <x:v>2020</x:v>
      </x:c>
      <x:c r="B159" s="15" t="s">
        <x:v>832</x:v>
      </x:c>
      <x:c r="C159" s="15" t="s">
        <x:v>833</x:v>
      </x:c>
      <x:c r="D159" s="8">
        <x:v>9164276841</x:v>
      </x:c>
      <x:c r="E159" s="6">
        <x:v>4020400</x:v>
      </x:c>
      <x:c r="F159" s="6">
        <x:v>4020390</x:v>
      </x:c>
      <x:c r="G159" s="8">
        <x:v>2279</x:v>
      </x:c>
      <x:c r="H159" s="15" t="s">
        <x:v>834</x:v>
      </x:c>
      <x:c r="I159" s="9">
        <x:f t="shared" si="2"/>
        <x:v>1</x:v>
      </x:c>
    </x:row>
    <x:row r="160">
      <x:c r="A160" s="5">
        <x:v>2020</x:v>
      </x:c>
      <x:c r="B160" s="15" t="s">
        <x:v>835</x:v>
      </x:c>
      <x:c r="C160" s="15" t="s">
        <x:v>840</x:v>
      </x:c>
      <x:c r="D160" s="8">
        <x:v>329110212</x:v>
      </x:c>
      <x:c r="E160" s="6">
        <x:v>4020400</x:v>
      </x:c>
      <x:c r="F160" s="6">
        <x:v>894720</x:v>
      </x:c>
      <x:c r="G160" s="8">
        <x:v>82</x:v>
      </x:c>
      <x:c r="H160" s="15" t="s">
        <x:v>837</x:v>
      </x:c>
      <x:c r="I160" s="9">
        <x:f t="shared" si="2"/>
        <x:v>3.5912294849888851E-2</x:v>
      </x:c>
    </x:row>
    <x:row r="161">
      <x:c r="A161" s="5">
        <x:v>2020</x:v>
      </x:c>
      <x:c r="B161" s="15" t="s">
        <x:v>835</x:v>
      </x:c>
      <x:c r="C161" s="15" t="s">
        <x:v>848</x:v>
      </x:c>
      <x:c r="D161" s="8">
        <x:v>667933322</x:v>
      </x:c>
      <x:c r="E161" s="6">
        <x:v>4020400</x:v>
      </x:c>
      <x:c r="F161" s="6">
        <x:v>2304860</x:v>
      </x:c>
      <x:c r="G161" s="8">
        <x:v>166</x:v>
      </x:c>
      <x:c r="H161" s="15" t="s">
        <x:v>834</x:v>
      </x:c>
      <x:c r="I161" s="9">
        <x:f t="shared" si="2"/>
        <x:v>7.2884454888108283E-2</x:v>
      </x:c>
    </x:row>
    <x:row r="162">
      <x:c r="A162" s="5">
        <x:v>2020</x:v>
      </x:c>
      <x:c r="B162" s="15" t="s">
        <x:v>835</x:v>
      </x:c>
      <x:c r="C162" s="15" t="s">
        <x:v>836</x:v>
      </x:c>
      <x:c r="D162" s="8">
        <x:v>156989543</x:v>
      </x:c>
      <x:c r="E162" s="6">
        <x:v>4020400</x:v>
      </x:c>
      <x:c r="F162" s="6">
        <x:v>1810570</x:v>
      </x:c>
      <x:c r="G162" s="8">
        <x:v>39</x:v>
      </x:c>
      <x:c r="H162" s="15" t="s">
        <x:v>837</x:v>
      </x:c>
      <x:c r="I162" s="9">
        <x:f t="shared" si="2"/>
        <x:v>1.713059805195381E-2</x:v>
      </x:c>
    </x:row>
    <x:row r="163">
      <x:c r="A163" s="5">
        <x:v>2020</x:v>
      </x:c>
      <x:c r="B163" s="15" t="s">
        <x:v>835</x:v>
      </x:c>
      <x:c r="C163" s="15" t="s">
        <x:v>838</x:v>
      </x:c>
      <x:c r="D163" s="8">
        <x:v>13268679</x:v>
      </x:c>
      <x:c r="E163" s="6">
        <x:v>4020400</x:v>
      </x:c>
      <x:c r="F163" s="6">
        <x:v>14740</x:v>
      </x:c>
      <x:c r="G163" s="8">
        <x:v>3</x:v>
      </x:c>
      <x:c r="H163" s="15" t="s">
        <x:v>837</x:v>
      </x:c>
      <x:c r="I163" s="9">
        <x:f t="shared" si="2"/>
        <x:v>1.4478697261345642E-3</x:v>
      </x:c>
    </x:row>
    <x:row r="164">
      <x:c r="A164" s="5">
        <x:v>2020</x:v>
      </x:c>
      <x:c r="B164" s="15" t="s">
        <x:v>835</x:v>
      </x:c>
      <x:c r="C164" s="15" t="s">
        <x:v>845</x:v>
      </x:c>
      <x:c r="D164" s="8">
        <x:v>27113751</x:v>
      </x:c>
      <x:c r="E164" s="6">
        <x:v>4020400</x:v>
      </x:c>
      <x:c r="F164" s="6">
        <x:v>67780</x:v>
      </x:c>
      <x:c r="G164" s="8">
        <x:v>7</x:v>
      </x:c>
      <x:c r="H164" s="15" t="s">
        <x:v>837</x:v>
      </x:c>
      <x:c r="I164" s="9">
        <x:f t="shared" si="2"/>
        <x:v>2.9586350860436646E-3</x:v>
      </x:c>
    </x:row>
    <x:row r="165">
      <x:c r="A165" s="5">
        <x:v>2020</x:v>
      </x:c>
      <x:c r="B165" s="15" t="s">
        <x:v>835</x:v>
      </x:c>
      <x:c r="C165" s="15" t="s">
        <x:v>842</x:v>
      </x:c>
      <x:c r="D165" s="8">
        <x:v>71380023</x:v>
      </x:c>
      <x:c r="E165" s="6">
        <x:v>4020400</x:v>
      </x:c>
      <x:c r="F165" s="6">
        <x:v>107230</x:v>
      </x:c>
      <x:c r="G165" s="8">
        <x:v>18</x:v>
      </x:c>
      <x:c r="H165" s="15" t="s">
        <x:v>837</x:v>
      </x:c>
      <x:c r="I165" s="9">
        <x:f t="shared" si="2"/>
        <x:v>7.7889422415365461E-3</x:v>
      </x:c>
    </x:row>
    <x:row r="166">
      <x:c r="A166" s="5">
        <x:v>2020</x:v>
      </x:c>
      <x:c r="B166" s="15" t="s">
        <x:v>835</x:v>
      </x:c>
      <x:c r="C166" s="15" t="s">
        <x:v>843</x:v>
      </x:c>
      <x:c r="D166" s="8">
        <x:v>0</x:v>
      </x:c>
      <x:c r="E166" s="6">
        <x:v>4020400</x:v>
      </x:c>
      <x:c r="F166" s="6">
        <x:v>8080</x:v>
      </x:c>
      <x:c r="G166" s="8">
        <x:v>0</x:v>
      </x:c>
      <x:c r="H166" s="15" t="s">
        <x:v>837</x:v>
      </x:c>
      <x:c r="I166" s="9">
        <x:f t="shared" si="2"/>
        <x:v>0</x:v>
      </x:c>
    </x:row>
    <x:row r="167">
      <x:c r="A167" s="5">
        <x:v>2020</x:v>
      </x:c>
      <x:c r="B167" s="15" t="s">
        <x:v>835</x:v>
      </x:c>
      <x:c r="C167" s="15" t="s">
        <x:v>839</x:v>
      </x:c>
      <x:c r="D167" s="8">
        <x:v>0</x:v>
      </x:c>
      <x:c r="E167" s="6">
        <x:v>4020400</x:v>
      </x:c>
      <x:c r="F167" s="6">
        <x:v>20670</x:v>
      </x:c>
      <x:c r="G167" s="8">
        <x:v>0</x:v>
      </x:c>
      <x:c r="H167" s="15" t="s">
        <x:v>837</x:v>
      </x:c>
      <x:c r="I167" s="9">
        <x:f t="shared" si="2"/>
        <x:v>0</x:v>
      </x:c>
    </x:row>
    <x:row r="168">
      <x:c r="A168" s="5">
        <x:v>2020</x:v>
      </x:c>
      <x:c r="B168" s="15" t="s">
        <x:v>835</x:v>
      </x:c>
      <x:c r="C168" s="15" t="s">
        <x:v>847</x:v>
      </x:c>
      <x:c r="D168" s="8">
        <x:v>2152087</x:v>
      </x:c>
      <x:c r="E168" s="6">
        <x:v>4020400</x:v>
      </x:c>
      <x:c r="F168" s="6">
        <x:v>123660</x:v>
      </x:c>
      <x:c r="G168" s="8">
        <x:v>1</x:v>
      </x:c>
      <x:c r="H168" s="15" t="s">
        <x:v>837</x:v>
      </x:c>
      <x:c r="I168" s="9">
        <x:f t="shared" si="2"/>
        <x:v>2.3483435052636031E-4</x:v>
      </x:c>
    </x:row>
    <x:row r="169">
      <x:c r="A169" s="5">
        <x:v>2020</x:v>
      </x:c>
      <x:c r="B169" s="15" t="s">
        <x:v>835</x:v>
      </x:c>
      <x:c r="C169" s="15" t="s">
        <x:v>841</x:v>
      </x:c>
      <x:c r="D169" s="8">
        <x:v>10255927</x:v>
      </x:c>
      <x:c r="E169" s="6">
        <x:v>4020400</x:v>
      </x:c>
      <x:c r="F169" s="6">
        <x:v>15100</x:v>
      </x:c>
      <x:c r="G169" s="8">
        <x:v>3</x:v>
      </x:c>
      <x:c r="H169" s="15" t="s">
        <x:v>837</x:v>
      </x:c>
      <x:c r="I169" s="9">
        <x:f t="shared" si="2"/>
        <x:v>1.1191201638645477E-3</x:v>
      </x:c>
    </x:row>
    <x:row r="170">
      <x:c r="A170" s="5">
        <x:v>2020</x:v>
      </x:c>
      <x:c r="B170" s="15" t="s">
        <x:v>835</x:v>
      </x:c>
      <x:c r="C170" s="15" t="s">
        <x:v>846</x:v>
      </x:c>
      <x:c r="D170" s="8">
        <x:v>1121109</x:v>
      </x:c>
      <x:c r="E170" s="6">
        <x:v>4020400</x:v>
      </x:c>
      <x:c r="F170" s="6">
        <x:v>85470</x:v>
      </x:c>
      <x:c r="G170" s="8">
        <x:v>0</x:v>
      </x:c>
      <x:c r="H170" s="15" t="s">
        <x:v>837</x:v>
      </x:c>
      <x:c r="I170" s="9">
        <x:f t="shared" si="2"/>
        <x:v>1.2233469366445561E-4</x:v>
      </x:c>
    </x:row>
    <x:row r="171">
      <x:c r="A171" s="5">
        <x:v>2020</x:v>
      </x:c>
      <x:c r="B171" s="15" t="s">
        <x:v>835</x:v>
      </x:c>
      <x:c r="C171" s="15" t="s">
        <x:v>844</x:v>
      </x:c>
      <x:c r="D171" s="8">
        <x:v>56541990</x:v>
      </x:c>
      <x:c r="E171" s="6">
        <x:v>4020400</x:v>
      </x:c>
      <x:c r="F171" s="6">
        <x:v>674110</x:v>
      </x:c>
      <x:c r="G171" s="8">
        <x:v>14</x:v>
      </x:c>
      <x:c r="H171" s="15" t="s">
        <x:v>837</x:v>
      </x:c>
      <x:c r="I171" s="9">
        <x:f t="shared" si="2"/>
        <x:v>6.1698256153761254E-3</x:v>
      </x:c>
    </x:row>
    <x:row r="172">
      <x:c r="A172" s="5">
        <x:v>2020</x:v>
      </x:c>
      <x:c r="B172" s="15" t="s">
        <x:v>849</x:v>
      </x:c>
      <x:c r="C172" s="15" t="s">
        <x:v>854</x:v>
      </x:c>
      <x:c r="D172" s="8">
        <x:v>320245525</x:v>
      </x:c>
      <x:c r="E172" s="6">
        <x:v>4020400</x:v>
      </x:c>
      <x:c r="F172" s="6">
        <x:v>270350</x:v>
      </x:c>
      <x:c r="G172" s="8">
        <x:v>80</x:v>
      </x:c>
      <x:c r="H172" s="15" t="s">
        <x:v>837</x:v>
      </x:c>
      <x:c r="I172" s="9">
        <x:f t="shared" si="2"/>
        <x:v>3.4944985900824774E-2</x:v>
      </x:c>
    </x:row>
    <x:row r="173">
      <x:c r="A173" s="5">
        <x:v>2020</x:v>
      </x:c>
      <x:c r="B173" s="15" t="s">
        <x:v>849</x:v>
      </x:c>
      <x:c r="C173" s="15" t="s">
        <x:v>851</x:v>
      </x:c>
      <x:c r="D173" s="8">
        <x:v>361572623</x:v>
      </x:c>
      <x:c r="E173" s="6">
        <x:v>4020400</x:v>
      </x:c>
      <x:c r="F173" s="6">
        <x:v>122230</x:v>
      </x:c>
      <x:c r="G173" s="8">
        <x:v>90</x:v>
      </x:c>
      <x:c r="H173" s="15" t="s">
        <x:v>837</x:v>
      </x:c>
      <x:c r="I173" s="9">
        <x:f t="shared" si="2"/>
        <x:v>3.9454572278127015E-2</x:v>
      </x:c>
    </x:row>
    <x:row r="174">
      <x:c r="A174" s="5">
        <x:v>2020</x:v>
      </x:c>
      <x:c r="B174" s="15" t="s">
        <x:v>849</x:v>
      </x:c>
      <x:c r="C174" s="15" t="s">
        <x:v>853</x:v>
      </x:c>
      <x:c r="D174" s="8">
        <x:v>335230028</x:v>
      </x:c>
      <x:c r="E174" s="6">
        <x:v>4020400</x:v>
      </x:c>
      <x:c r="F174" s="6">
        <x:v>208090</x:v>
      </x:c>
      <x:c r="G174" s="8">
        <x:v>83</x:v>
      </x:c>
      <x:c r="H174" s="15" t="s">
        <x:v>837</x:v>
      </x:c>
      <x:c r="I174" s="9">
        <x:f t="shared" si="2"/>
        <x:v>3.6580085239264759E-2</x:v>
      </x:c>
    </x:row>
    <x:row r="175">
      <x:c r="A175" s="5">
        <x:v>2020</x:v>
      </x:c>
      <x:c r="B175" s="15" t="s">
        <x:v>849</x:v>
      </x:c>
      <x:c r="C175" s="15" t="s">
        <x:v>852</x:v>
      </x:c>
      <x:c r="D175" s="8">
        <x:v>1017048175</x:v>
      </x:c>
      <x:c r="E175" s="6">
        <x:v>4020400</x:v>
      </x:c>
      <x:c r="F175" s="6">
        <x:v>562580</x:v>
      </x:c>
      <x:c r="G175" s="8">
        <x:v>253</x:v>
      </x:c>
      <x:c r="H175" s="15" t="s">
        <x:v>834</x:v>
      </x:c>
      <x:c r="I175" s="9">
        <x:f t="shared" si="2"/>
        <x:v>0.1109796433090972</x:v>
      </x:c>
    </x:row>
    <x:row r="176">
      <x:c r="A176" s="5">
        <x:v>2020</x:v>
      </x:c>
      <x:c r="B176" s="15" t="s">
        <x:v>849</x:v>
      </x:c>
      <x:c r="C176" s="15" t="s">
        <x:v>850</x:v>
      </x:c>
      <x:c r="D176" s="8">
        <x:v>0</x:v>
      </x:c>
      <x:c r="E176" s="6">
        <x:v>4020400</x:v>
      </x:c>
      <x:c r="F176" s="6">
        <x:v>7580</x:v>
      </x:c>
      <x:c r="G176" s="8">
        <x:v>0</x:v>
      </x:c>
      <x:c r="H176" s="15" t="s">
        <x:v>837</x:v>
      </x:c>
      <x:c r="I176" s="9">
        <x:f t="shared" si="2"/>
        <x:v>0</x:v>
      </x:c>
    </x:row>
    <x:row r="177">
      <x:c r="A177" s="5">
        <x:v>2020</x:v>
      </x:c>
      <x:c r="B177" s="15" t="s">
        <x:v>855</x:v>
      </x:c>
      <x:c r="C177" s="15" t="s">
        <x:v>856</x:v>
      </x:c>
      <x:c r="D177" s="8">
        <x:v>7652014</x:v>
      </x:c>
      <x:c r="E177" s="6">
        <x:v>4020400</x:v>
      </x:c>
      <x:c r="F177" s="6">
        <x:v>264020</x:v>
      </x:c>
      <x:c r="G177" s="8">
        <x:v>2</x:v>
      </x:c>
      <x:c r="H177" s="15" t="s">
        <x:v>837</x:v>
      </x:c>
      <x:c r="I177" s="9">
        <x:f t="shared" si="2"/>
        <x:v>8.3498285055790802E-4</x:v>
      </x:c>
    </x:row>
    <x:row r="178">
      <x:c r="A178" s="5">
        <x:v>2020</x:v>
      </x:c>
      <x:c r="B178" s="15" t="s">
        <x:v>855</x:v>
      </x:c>
      <x:c r="C178" s="15" t="s">
        <x:v>861</x:v>
      </x:c>
      <x:c r="D178" s="8">
        <x:v>2576214099</x:v>
      </x:c>
      <x:c r="E178" s="6">
        <x:v>4020400</x:v>
      </x:c>
      <x:c r="F178" s="6">
        <x:v>3974620</x:v>
      </x:c>
      <x:c r="G178" s="8">
        <x:v>641</x:v>
      </x:c>
      <x:c r="H178" s="15" t="s">
        <x:v>837</x:v>
      </x:c>
      <x:c r="I178" s="9">
        <x:f t="shared" si="2"/>
        <x:v>0.28111482702860874</x:v>
      </x:c>
    </x:row>
    <x:row r="179">
      <x:c r="A179" s="5">
        <x:v>2020</x:v>
      </x:c>
      <x:c r="B179" s="15" t="s">
        <x:v>855</x:v>
      </x:c>
      <x:c r="C179" s="15" t="s">
        <x:v>866</x:v>
      </x:c>
      <x:c r="D179" s="8">
        <x:v>354262164</x:v>
      </x:c>
      <x:c r="E179" s="6">
        <x:v>4020400</x:v>
      </x:c>
      <x:c r="F179" s="6">
        <x:v>3104050</x:v>
      </x:c>
      <x:c r="G179" s="8">
        <x:v>88</x:v>
      </x:c>
      <x:c r="H179" s="15" t="s">
        <x:v>837</x:v>
      </x:c>
      <x:c r="I179" s="9">
        <x:f t="shared" si="2"/>
        <x:v>3.8656859689688634E-2</x:v>
      </x:c>
    </x:row>
    <x:row r="180">
      <x:c r="A180" s="5">
        <x:v>2020</x:v>
      </x:c>
      <x:c r="B180" s="15" t="s">
        <x:v>855</x:v>
      </x:c>
      <x:c r="C180" s="15" t="s">
        <x:v>868</x:v>
      </x:c>
      <x:c r="D180" s="8">
        <x:v>110274220</x:v>
      </x:c>
      <x:c r="E180" s="6">
        <x:v>4020400</x:v>
      </x:c>
      <x:c r="F180" s="6">
        <x:v>1011810</x:v>
      </x:c>
      <x:c r="G180" s="8">
        <x:v>27</x:v>
      </x:c>
      <x:c r="H180" s="15" t="s">
        <x:v>837</x:v>
      </x:c>
      <x:c r="I180" s="9">
        <x:f t="shared" si="2"/>
        <x:v>1.2033052025081222E-2</x:v>
      </x:c>
    </x:row>
    <x:row r="181">
      <x:c r="A181" s="5">
        <x:v>2020</x:v>
      </x:c>
      <x:c r="B181" s="15" t="s">
        <x:v>855</x:v>
      </x:c>
      <x:c r="C181" s="15" t="s">
        <x:v>857</x:v>
      </x:c>
      <x:c r="D181" s="8">
        <x:v>24497074</x:v>
      </x:c>
      <x:c r="E181" s="6">
        <x:v>4020400</x:v>
      </x:c>
      <x:c r="F181" s="6">
        <x:v>809670</x:v>
      </x:c>
      <x:c r="G181" s="8">
        <x:v>6</x:v>
      </x:c>
      <x:c r="H181" s="15" t="s">
        <x:v>837</x:v>
      </x:c>
      <x:c r="I181" s="9">
        <x:f t="shared" si="2"/>
        <x:v>2.6731049732590679E-3</x:v>
      </x:c>
    </x:row>
    <x:row r="182">
      <x:c r="A182" s="5">
        <x:v>2020</x:v>
      </x:c>
      <x:c r="B182" s="15" t="s">
        <x:v>855</x:v>
      </x:c>
      <x:c r="C182" s="15" t="s">
        <x:v>863</x:v>
      </x:c>
      <x:c r="D182" s="8">
        <x:v>140046157</x:v>
      </x:c>
      <x:c r="E182" s="6">
        <x:v>4020400</x:v>
      </x:c>
      <x:c r="F182" s="6">
        <x:v>909610</x:v>
      </x:c>
      <x:c r="G182" s="8">
        <x:v>35</x:v>
      </x:c>
      <x:c r="H182" s="15" t="s">
        <x:v>837</x:v>
      </x:c>
      <x:c r="I182" s="9">
        <x:f t="shared" si="2"/>
        <x:v>1.5281746659316139E-2</x:v>
      </x:c>
    </x:row>
    <x:row r="183">
      <x:c r="A183" s="5">
        <x:v>2020</x:v>
      </x:c>
      <x:c r="B183" s="15" t="s">
        <x:v>855</x:v>
      </x:c>
      <x:c r="C183" s="15" t="s">
        <x:v>858</x:v>
      </x:c>
      <x:c r="D183" s="8">
        <x:v>0</x:v>
      </x:c>
      <x:c r="E183" s="6">
        <x:v>4020400</x:v>
      </x:c>
      <x:c r="F183" s="6">
        <x:v>30410</x:v>
      </x:c>
      <x:c r="G183" s="8">
        <x:v>0</x:v>
      </x:c>
      <x:c r="H183" s="15" t="s">
        <x:v>837</x:v>
      </x:c>
      <x:c r="I183" s="9">
        <x:f t="shared" si="2"/>
        <x:v>0</x:v>
      </x:c>
    </x:row>
    <x:row r="184">
      <x:c r="A184" s="5">
        <x:v>2020</x:v>
      </x:c>
      <x:c r="B184" s="15" t="s">
        <x:v>855</x:v>
      </x:c>
      <x:c r="C184" s="15" t="s">
        <x:v>865</x:v>
      </x:c>
      <x:c r="D184" s="8">
        <x:v>1790054649</x:v>
      </x:c>
      <x:c r="E184" s="6">
        <x:v>4020400</x:v>
      </x:c>
      <x:c r="F184" s="6">
        <x:v>3159900</x:v>
      </x:c>
      <x:c r="G184" s="8">
        <x:v>445</x:v>
      </x:c>
      <x:c r="H184" s="15" t="s">
        <x:v>837</x:v>
      </x:c>
      <x:c r="I184" s="9">
        <x:f t="shared" si="2"/>
        <x:v>0.19532961302429078</x:v>
      </x:c>
    </x:row>
    <x:row r="185">
      <x:c r="A185" s="5">
        <x:v>2020</x:v>
      </x:c>
      <x:c r="B185" s="15" t="s">
        <x:v>855</x:v>
      </x:c>
      <x:c r="C185" s="15" t="s">
        <x:v>860</x:v>
      </x:c>
      <x:c r="D185" s="8">
        <x:v>265389919</x:v>
      </x:c>
      <x:c r="E185" s="6">
        <x:v>4020400</x:v>
      </x:c>
      <x:c r="F185" s="6">
        <x:v>3735710</x:v>
      </x:c>
      <x:c r="G185" s="8">
        <x:v>66</x:v>
      </x:c>
      <x:c r="H185" s="15" t="s">
        <x:v>837</x:v>
      </x:c>
      <x:c r="I185" s="9">
        <x:f t="shared" si="2"/>
        <x:v>2.8959177423871978E-2</x:v>
      </x:c>
    </x:row>
    <x:row r="186">
      <x:c r="A186" s="5">
        <x:v>2020</x:v>
      </x:c>
      <x:c r="B186" s="15" t="s">
        <x:v>855</x:v>
      </x:c>
      <x:c r="C186" s="15" t="s">
        <x:v>862</x:v>
      </x:c>
      <x:c r="D186" s="8">
        <x:v>375864905</x:v>
      </x:c>
      <x:c r="E186" s="6">
        <x:v>4020400</x:v>
      </x:c>
      <x:c r="F186" s="6">
        <x:v>3859020</x:v>
      </x:c>
      <x:c r="G186" s="8">
        <x:v>93</x:v>
      </x:c>
      <x:c r="H186" s="15" t="s">
        <x:v>837</x:v>
      </x:c>
      <x:c r="I186" s="9">
        <x:f t="shared" si="2"/>
        <x:v>4.10141369058626E-2</x:v>
      </x:c>
    </x:row>
    <x:row r="187">
      <x:c r="A187" s="5">
        <x:v>2020</x:v>
      </x:c>
      <x:c r="B187" s="15" t="s">
        <x:v>855</x:v>
      </x:c>
      <x:c r="C187" s="15" t="s">
        <x:v>864</x:v>
      </x:c>
      <x:c r="D187" s="8">
        <x:v>109419120</x:v>
      </x:c>
      <x:c r="E187" s="6">
        <x:v>4020400</x:v>
      </x:c>
      <x:c r="F187" s="6">
        <x:v>1330860</x:v>
      </x:c>
      <x:c r="G187" s="8">
        <x:v>27</x:v>
      </x:c>
      <x:c r="H187" s="15" t="s">
        <x:v>837</x:v>
      </x:c>
      <x:c r="I187" s="9">
        <x:f t="shared" si="2"/>
        <x:v>1.1939744062561543E-2</x:v>
      </x:c>
    </x:row>
    <x:row r="188">
      <x:c r="A188" s="5">
        <x:v>2020</x:v>
      </x:c>
      <x:c r="B188" s="15" t="s">
        <x:v>855</x:v>
      </x:c>
      <x:c r="C188" s="15" t="s">
        <x:v>867</x:v>
      </x:c>
      <x:c r="D188" s="8">
        <x:v>1725621023</x:v>
      </x:c>
      <x:c r="E188" s="6">
        <x:v>4020400</x:v>
      </x:c>
      <x:c r="F188" s="6">
        <x:v>3091470</x:v>
      </x:c>
      <x:c r="G188" s="8">
        <x:v>429</x:v>
      </x:c>
      <x:c r="H188" s="15" t="s">
        <x:v>837</x:v>
      </x:c>
      <x:c r="I188" s="9">
        <x:f t="shared" si="2"/>
        <x:v>0.1882986571596959</x:v>
      </x:c>
    </x:row>
    <x:row r="189">
      <x:c r="A189" s="5">
        <x:v>2020</x:v>
      </x:c>
      <x:c r="B189" s="15" t="s">
        <x:v>855</x:v>
      </x:c>
      <x:c r="C189" s="15" t="s">
        <x:v>859</x:v>
      </x:c>
      <x:c r="D189" s="8">
        <x:v>7479295344</x:v>
      </x:c>
      <x:c r="E189" s="6">
        <x:v>4020400</x:v>
      </x:c>
      <x:c r="F189" s="6">
        <x:v>4012230</x:v>
      </x:c>
      <x:c r="G189" s="8">
        <x:v>1860</x:v>
      </x:c>
      <x:c r="H189" s="15" t="s">
        <x:v>834</x:v>
      </x:c>
      <x:c r="I189" s="9">
        <x:f t="shared" si="2"/>
        <x:v>0.81613590180279449</x:v>
      </x:c>
    </x:row>
    <x:row r="190">
      <x:c r="A190" s="5">
        <x:v>2021</x:v>
      </x:c>
      <x:c r="B190" s="15" t="s">
        <x:v>832</x:v>
      </x:c>
      <x:c r="C190" s="15" t="s">
        <x:v>833</x:v>
      </x:c>
      <x:c r="D190" s="8">
        <x:v>9829794537</x:v>
      </x:c>
      <x:c r="E190" s="6">
        <x:v>4145680</x:v>
      </x:c>
      <x:c r="F190" s="6">
        <x:v>4145670</x:v>
      </x:c>
      <x:c r="G190" s="8">
        <x:v>2371</x:v>
      </x:c>
      <x:c r="H190" s="15" t="s">
        <x:v>834</x:v>
      </x:c>
      <x:c r="I190" s="9">
        <x:f t="shared" si="2"/>
        <x:v>1</x:v>
      </x:c>
    </x:row>
    <x:row r="191">
      <x:c r="A191" s="5">
        <x:v>2021</x:v>
      </x:c>
      <x:c r="B191" s="15" t="s">
        <x:v>835</x:v>
      </x:c>
      <x:c r="C191" s="15" t="s">
        <x:v>838</x:v>
      </x:c>
      <x:c r="D191" s="8">
        <x:v>13325177</x:v>
      </x:c>
      <x:c r="E191" s="6">
        <x:v>4145680</x:v>
      </x:c>
      <x:c r="F191" s="6">
        <x:v>15070</x:v>
      </x:c>
      <x:c r="G191" s="8">
        <x:v>3</x:v>
      </x:c>
      <x:c r="H191" s="15" t="s">
        <x:v>837</x:v>
      </x:c>
      <x:c r="I191" s="9">
        <x:f t="shared" si="2"/>
        <x:v>1.3555905924425122E-3</x:v>
      </x:c>
    </x:row>
    <x:row r="192">
      <x:c r="A192" s="5">
        <x:v>2021</x:v>
      </x:c>
      <x:c r="B192" s="15" t="s">
        <x:v>835</x:v>
      </x:c>
      <x:c r="C192" s="15" t="s">
        <x:v>845</x:v>
      </x:c>
      <x:c r="D192" s="8">
        <x:v>27277846</x:v>
      </x:c>
      <x:c r="E192" s="6">
        <x:v>4145680</x:v>
      </x:c>
      <x:c r="F192" s="6">
        <x:v>72120</x:v>
      </x:c>
      <x:c r="G192" s="8">
        <x:v>7</x:v>
      </x:c>
      <x:c r="H192" s="15" t="s">
        <x:v>837</x:v>
      </x:c>
      <x:c r="I192" s="9">
        <x:f t="shared" si="2"/>
        <x:v>2.7750169036925821E-3</x:v>
      </x:c>
    </x:row>
    <x:row r="193">
      <x:c r="A193" s="5">
        <x:v>2021</x:v>
      </x:c>
      <x:c r="B193" s="15" t="s">
        <x:v>835</x:v>
      </x:c>
      <x:c r="C193" s="15" t="s">
        <x:v>840</x:v>
      </x:c>
      <x:c r="D193" s="8">
        <x:v>386587651</x:v>
      </x:c>
      <x:c r="E193" s="6">
        <x:v>4145680</x:v>
      </x:c>
      <x:c r="F193" s="6">
        <x:v>982760</x:v>
      </x:c>
      <x:c r="G193" s="8">
        <x:v>93</x:v>
      </x:c>
      <x:c r="H193" s="15" t="s">
        <x:v>837</x:v>
      </x:c>
      <x:c r="I193" s="9">
        <x:f t="shared" si="2"/>
        <x:v>3.9328151727369108E-2</x:v>
      </x:c>
    </x:row>
    <x:row r="194">
      <x:c r="A194" s="5">
        <x:v>2021</x:v>
      </x:c>
      <x:c r="B194" s="15" t="s">
        <x:v>835</x:v>
      </x:c>
      <x:c r="C194" s="15" t="s">
        <x:v>848</x:v>
      </x:c>
      <x:c r="D194" s="8">
        <x:v>763190150</x:v>
      </x:c>
      <x:c r="E194" s="6">
        <x:v>4145680</x:v>
      </x:c>
      <x:c r="F194" s="6">
        <x:v>2458720</x:v>
      </x:c>
      <x:c r="G194" s="8">
        <x:v>184</x:v>
      </x:c>
      <x:c r="H194" s="15" t="s">
        <x:v>834</x:v>
      </x:c>
      <x:c r="I194" s="9">
        <x:f t="shared" si="2"/>
        <x:v>7.7640498702928287E-2</x:v>
      </x:c>
    </x:row>
    <x:row r="195">
      <x:c r="A195" s="5">
        <x:v>2021</x:v>
      </x:c>
      <x:c r="B195" s="15" t="s">
        <x:v>835</x:v>
      </x:c>
      <x:c r="C195" s="15" t="s">
        <x:v>836</x:v>
      </x:c>
      <x:c r="D195" s="8">
        <x:v>184185379</x:v>
      </x:c>
      <x:c r="E195" s="6">
        <x:v>4145680</x:v>
      </x:c>
      <x:c r="F195" s="6">
        <x:v>1943840</x:v>
      </x:c>
      <x:c r="G195" s="8">
        <x:v>44</x:v>
      </x:c>
      <x:c r="H195" s="15" t="s">
        <x:v>837</x:v>
      </x:c>
      <x:c r="I195" s="9">
        <x:f t="shared" si="2"/>
        <x:v>1.873745970037461E-2</x:v>
      </x:c>
    </x:row>
    <x:row r="196">
      <x:c r="A196" s="5">
        <x:v>2021</x:v>
      </x:c>
      <x:c r="B196" s="15" t="s">
        <x:v>835</x:v>
      </x:c>
      <x:c r="C196" s="15" t="s">
        <x:v>841</x:v>
      </x:c>
      <x:c r="D196" s="8">
        <x:v>10811801</x:v>
      </x:c>
      <x:c r="E196" s="6">
        <x:v>4145680</x:v>
      </x:c>
      <x:c r="F196" s="6">
        <x:v>16300</x:v>
      </x:c>
      <x:c r="G196" s="8">
        <x:v>3</x:v>
      </x:c>
      <x:c r="H196" s="15" t="s">
        <x:v>837</x:v>
      </x:c>
      <x:c r="I196" s="9" t="n">
        <x:f t="shared" ref="I196:I259" si="3">IFERROR(D196/SUMIFS($D$4:$D$313,$A$4:$A$313,A196,$C$4:$C$313,"Total des dépenses remboursées"),"")</x:f>
        <x:v>0.0010999010161711583</x:v>
      </x:c>
    </x:row>
    <x:row r="197">
      <x:c r="A197" s="5">
        <x:v>2021</x:v>
      </x:c>
      <x:c r="B197" s="15" t="s">
        <x:v>835</x:v>
      </x:c>
      <x:c r="C197" s="15" t="s">
        <x:v>842</x:v>
      </x:c>
      <x:c r="D197" s="8">
        <x:v>72390843</x:v>
      </x:c>
      <x:c r="E197" s="6">
        <x:v>4145680</x:v>
      </x:c>
      <x:c r="F197" s="6">
        <x:v>108480</x:v>
      </x:c>
      <x:c r="G197" s="8">
        <x:v>17</x:v>
      </x:c>
      <x:c r="H197" s="15" t="s">
        <x:v>837</x:v>
      </x:c>
      <x:c r="I197" s="9">
        <x:f t="shared" si="3"/>
        <x:v>7.3644309377491109E-3</x:v>
      </x:c>
    </x:row>
    <x:row r="198">
      <x:c r="A198" s="5">
        <x:v>2021</x:v>
      </x:c>
      <x:c r="B198" s="15" t="s">
        <x:v>835</x:v>
      </x:c>
      <x:c r="C198" s="15" t="s">
        <x:v>843</x:v>
      </x:c>
      <x:c r="D198" s="8">
        <x:v>0</x:v>
      </x:c>
      <x:c r="E198" s="6">
        <x:v>4145680</x:v>
      </x:c>
      <x:c r="F198" s="6">
        <x:v>8740</x:v>
      </x:c>
      <x:c r="G198" s="8">
        <x:v>0</x:v>
      </x:c>
      <x:c r="H198" s="15" t="s">
        <x:v>837</x:v>
      </x:c>
      <x:c r="I198" s="9">
        <x:f t="shared" si="3"/>
        <x:v>0</x:v>
      </x:c>
    </x:row>
    <x:row r="199">
      <x:c r="A199" s="5">
        <x:v>2021</x:v>
      </x:c>
      <x:c r="B199" s="15" t="s">
        <x:v>835</x:v>
      </x:c>
      <x:c r="C199" s="15" t="s">
        <x:v>839</x:v>
      </x:c>
      <x:c r="D199" s="8">
        <x:v>0</x:v>
      </x:c>
      <x:c r="E199" s="6">
        <x:v>4145680</x:v>
      </x:c>
      <x:c r="F199" s="6">
        <x:v>20650</x:v>
      </x:c>
      <x:c r="G199" s="8">
        <x:v>0</x:v>
      </x:c>
      <x:c r="H199" s="15" t="s">
        <x:v>837</x:v>
      </x:c>
      <x:c r="I199" s="9">
        <x:f t="shared" si="3"/>
        <x:v>0</x:v>
      </x:c>
    </x:row>
    <x:row r="200">
      <x:c r="A200" s="5">
        <x:v>2021</x:v>
      </x:c>
      <x:c r="B200" s="15" t="s">
        <x:v>835</x:v>
      </x:c>
      <x:c r="C200" s="15" t="s">
        <x:v>846</x:v>
      </x:c>
      <x:c r="D200" s="8">
        <x:v>1402189</x:v>
      </x:c>
      <x:c r="E200" s="6">
        <x:v>4145680</x:v>
      </x:c>
      <x:c r="F200" s="6">
        <x:v>97680</x:v>
      </x:c>
      <x:c r="G200" s="8">
        <x:v>0</x:v>
      </x:c>
      <x:c r="H200" s="15" t="s">
        <x:v>837</x:v>
      </x:c>
      <x:c r="I200" s="9">
        <x:f t="shared" si="3"/>
        <x:v>1.4264682692217699E-4</x:v>
      </x:c>
    </x:row>
    <x:row r="201">
      <x:c r="A201" s="5">
        <x:v>2021</x:v>
      </x:c>
      <x:c r="B201" s="15" t="s">
        <x:v>835</x:v>
      </x:c>
      <x:c r="C201" s="15" t="s">
        <x:v>847</x:v>
      </x:c>
      <x:c r="D201" s="8">
        <x:v>2300779</x:v>
      </x:c>
      <x:c r="E201" s="6">
        <x:v>4145680</x:v>
      </x:c>
      <x:c r="F201" s="6">
        <x:v>141050</x:v>
      </x:c>
      <x:c r="G201" s="8">
        <x:v>1</x:v>
      </x:c>
      <x:c r="H201" s="15" t="s">
        <x:v>837</x:v>
      </x:c>
      <x:c r="I201" s="9">
        <x:f t="shared" si="3"/>
        <x:v>2.340617590062249E-4</x:v>
      </x:c>
    </x:row>
    <x:row r="202">
      <x:c r="A202" s="5">
        <x:v>2021</x:v>
      </x:c>
      <x:c r="B202" s="15" t="s">
        <x:v>835</x:v>
      </x:c>
      <x:c r="C202" s="15" t="s">
        <x:v>844</x:v>
      </x:c>
      <x:c r="D202" s="8">
        <x:v>64908485</x:v>
      </x:c>
      <x:c r="E202" s="6">
        <x:v>4145680</x:v>
      </x:c>
      <x:c r="F202" s="6">
        <x:v>756230</x:v>
      </x:c>
      <x:c r="G202" s="8">
        <x:v>16</x:v>
      </x:c>
      <x:c r="H202" s="15" t="s">
        <x:v>837</x:v>
      </x:c>
      <x:c r="I202" s="9">
        <x:f t="shared" si="3"/>
        <x:v>6.6032392392007941E-3</x:v>
      </x:c>
    </x:row>
    <x:row r="203">
      <x:c r="A203" s="5">
        <x:v>2021</x:v>
      </x:c>
      <x:c r="B203" s="15" t="s">
        <x:v>849</x:v>
      </x:c>
      <x:c r="C203" s="15" t="s">
        <x:v>854</x:v>
      </x:c>
      <x:c r="D203" s="8">
        <x:v>294639150</x:v>
      </x:c>
      <x:c r="E203" s="6">
        <x:v>4145680</x:v>
      </x:c>
      <x:c r="F203" s="6">
        <x:v>257230</x:v>
      </x:c>
      <x:c r="G203" s="8">
        <x:v>71</x:v>
      </x:c>
      <x:c r="H203" s="15" t="s">
        <x:v>837</x:v>
      </x:c>
      <x:c r="I203" s="9">
        <x:f t="shared" si="3"/>
        <x:v>2.9974090393340234E-2</x:v>
      </x:c>
    </x:row>
    <x:row r="204">
      <x:c r="A204" s="5">
        <x:v>2021</x:v>
      </x:c>
      <x:c r="B204" s="15" t="s">
        <x:v>849</x:v>
      </x:c>
      <x:c r="C204" s="15" t="s">
        <x:v>850</x:v>
      </x:c>
      <x:c r="D204" s="8">
        <x:v>0</x:v>
      </x:c>
      <x:c r="E204" s="6">
        <x:v>4145680</x:v>
      </x:c>
      <x:c r="F204" s="6">
        <x:v>8980</x:v>
      </x:c>
      <x:c r="G204" s="8">
        <x:v>0</x:v>
      </x:c>
      <x:c r="H204" s="15" t="s">
        <x:v>837</x:v>
      </x:c>
      <x:c r="I204" s="9">
        <x:f t="shared" si="3"/>
        <x:v>0</x:v>
      </x:c>
    </x:row>
    <x:row r="205">
      <x:c r="A205" s="5">
        <x:v>2021</x:v>
      </x:c>
      <x:c r="B205" s="15" t="s">
        <x:v>849</x:v>
      </x:c>
      <x:c r="C205" s="15" t="s">
        <x:v>851</x:v>
      </x:c>
      <x:c r="D205" s="8">
        <x:v>369445372</x:v>
      </x:c>
      <x:c r="E205" s="6">
        <x:v>4145680</x:v>
      </x:c>
      <x:c r="F205" s="6">
        <x:v>124440</x:v>
      </x:c>
      <x:c r="G205" s="8">
        <x:v>89</x:v>
      </x:c>
      <x:c r="H205" s="15" t="s">
        <x:v>837</x:v>
      </x:c>
      <x:c r="I205" s="9">
        <x:f t="shared" si="3"/>
        <x:v>3.7584241522992473E-2</x:v>
      </x:c>
    </x:row>
    <x:row r="206">
      <x:c r="A206" s="5">
        <x:v>2021</x:v>
      </x:c>
      <x:c r="B206" s="15" t="s">
        <x:v>849</x:v>
      </x:c>
      <x:c r="C206" s="15" t="s">
        <x:v>853</x:v>
      </x:c>
      <x:c r="D206" s="8">
        <x:v>340392189</x:v>
      </x:c>
      <x:c r="E206" s="6">
        <x:v>4145680</x:v>
      </x:c>
      <x:c r="F206" s="6">
        <x:v>211570</x:v>
      </x:c>
      <x:c r="G206" s="8">
        <x:v>82</x:v>
      </x:c>
      <x:c r="H206" s="15" t="s">
        <x:v>837</x:v>
      </x:c>
      <x:c r="I206" s="9">
        <x:f t="shared" si="3"/>
        <x:v>3.4628616876857518E-2</x:v>
      </x:c>
    </x:row>
    <x:row r="207">
      <x:c r="A207" s="5">
        <x:v>2021</x:v>
      </x:c>
      <x:c r="B207" s="15" t="s">
        <x:v>849</x:v>
      </x:c>
      <x:c r="C207" s="15" t="s">
        <x:v>852</x:v>
      </x:c>
      <x:c r="D207" s="8">
        <x:v>1004476711</x:v>
      </x:c>
      <x:c r="E207" s="6">
        <x:v>4145680</x:v>
      </x:c>
      <x:c r="F207" s="6">
        <x:v>553860</x:v>
      </x:c>
      <x:c r="G207" s="8">
        <x:v>242</x:v>
      </x:c>
      <x:c r="H207" s="15" t="s">
        <x:v>834</x:v>
      </x:c>
      <x:c r="I207" s="9">
        <x:f t="shared" si="3"/>
        <x:v>0.10218694879319022</x:v>
      </x:c>
    </x:row>
    <x:row r="208">
      <x:c r="A208" s="5">
        <x:v>2021</x:v>
      </x:c>
      <x:c r="B208" s="15" t="s">
        <x:v>855</x:v>
      </x:c>
      <x:c r="C208" s="15" t="s">
        <x:v>865</x:v>
      </x:c>
      <x:c r="D208" s="8">
        <x:v>1882986794</x:v>
      </x:c>
      <x:c r="E208" s="6">
        <x:v>4145680</x:v>
      </x:c>
      <x:c r="F208" s="6">
        <x:v>3326480</x:v>
      </x:c>
      <x:c r="G208" s="8">
        <x:v>454</x:v>
      </x:c>
      <x:c r="H208" s="15" t="s">
        <x:v>837</x:v>
      </x:c>
      <x:c r="I208" s="9">
        <x:f t="shared" si="3"/>
        <x:v>0.19155912027584224</x:v>
      </x:c>
    </x:row>
    <x:row r="209">
      <x:c r="A209" s="5">
        <x:v>2021</x:v>
      </x:c>
      <x:c r="B209" s="15" t="s">
        <x:v>855</x:v>
      </x:c>
      <x:c r="C209" s="15" t="s">
        <x:v>866</x:v>
      </x:c>
      <x:c r="D209" s="8">
        <x:v>414327999</x:v>
      </x:c>
      <x:c r="E209" s="6">
        <x:v>4145680</x:v>
      </x:c>
      <x:c r="F209" s="6">
        <x:v>3290130</x:v>
      </x:c>
      <x:c r="G209" s="8">
        <x:v>100</x:v>
      </x:c>
      <x:c r="H209" s="15" t="s">
        <x:v>837</x:v>
      </x:c>
      <x:c r="I209" s="9">
        <x:f t="shared" si="3"/>
        <x:v>4.2150219665369595E-2</x:v>
      </x:c>
    </x:row>
    <x:row r="210">
      <x:c r="A210" s="5">
        <x:v>2021</x:v>
      </x:c>
      <x:c r="B210" s="15" t="s">
        <x:v>855</x:v>
      </x:c>
      <x:c r="C210" s="15" t="s">
        <x:v>862</x:v>
      </x:c>
      <x:c r="D210" s="8">
        <x:v>387807911</x:v>
      </x:c>
      <x:c r="E210" s="6">
        <x:v>4145680</x:v>
      </x:c>
      <x:c r="F210" s="6">
        <x:v>3983960</x:v>
      </x:c>
      <x:c r="G210" s="8">
        <x:v>94</x:v>
      </x:c>
      <x:c r="H210" s="15" t="s">
        <x:v>837</x:v>
      </x:c>
      <x:c r="I210" s="9">
        <x:f t="shared" si="3"/>
        <x:v>3.9452290639470158E-2</x:v>
      </x:c>
    </x:row>
    <x:row r="211">
      <x:c r="A211" s="5">
        <x:v>2021</x:v>
      </x:c>
      <x:c r="B211" s="15" t="s">
        <x:v>855</x:v>
      </x:c>
      <x:c r="C211" s="15" t="s">
        <x:v>859</x:v>
      </x:c>
      <x:c r="D211" s="8">
        <x:v>8062127676</x:v>
      </x:c>
      <x:c r="E211" s="6">
        <x:v>4145680</x:v>
      </x:c>
      <x:c r="F211" s="6">
        <x:v>4137980</x:v>
      </x:c>
      <x:c r="G211" s="8">
        <x:v>1945</x:v>
      </x:c>
      <x:c r="H211" s="15" t="s">
        <x:v>834</x:v>
      </x:c>
      <x:c r="I211" s="9">
        <x:f t="shared" si="3"/>
        <x:v>0.82017255250388155</x:v>
      </x:c>
    </x:row>
    <x:row r="212">
      <x:c r="A212" s="5">
        <x:v>2021</x:v>
      </x:c>
      <x:c r="B212" s="15" t="s">
        <x:v>855</x:v>
      </x:c>
      <x:c r="C212" s="15" t="s">
        <x:v>858</x:v>
      </x:c>
      <x:c r="D212" s="8">
        <x:v>0</x:v>
      </x:c>
      <x:c r="E212" s="6">
        <x:v>4145680</x:v>
      </x:c>
      <x:c r="F212" s="6">
        <x:v>41420</x:v>
      </x:c>
      <x:c r="G212" s="8">
        <x:v>0</x:v>
      </x:c>
      <x:c r="H212" s="15" t="s">
        <x:v>837</x:v>
      </x:c>
      <x:c r="I212" s="9">
        <x:f t="shared" si="3"/>
        <x:v>0</x:v>
      </x:c>
    </x:row>
    <x:row r="213">
      <x:c r="A213" s="5">
        <x:v>2021</x:v>
      </x:c>
      <x:c r="B213" s="15" t="s">
        <x:v>855</x:v>
      </x:c>
      <x:c r="C213" s="15" t="s">
        <x:v>868</x:v>
      </x:c>
      <x:c r="D213" s="8">
        <x:v>147004403</x:v>
      </x:c>
      <x:c r="E213" s="6">
        <x:v>4145680</x:v>
      </x:c>
      <x:c r="F213" s="6">
        <x:v>1103950</x:v>
      </x:c>
      <x:c r="G213" s="8">
        <x:v>35</x:v>
      </x:c>
      <x:c r="H213" s="15" t="s">
        <x:v>837</x:v>
      </x:c>
      <x:c r="I213" s="9">
        <x:f t="shared" si="3"/>
        <x:v>1.4954982268110047E-2</x:v>
      </x:c>
    </x:row>
    <x:row r="214">
      <x:c r="A214" s="5">
        <x:v>2021</x:v>
      </x:c>
      <x:c r="B214" s="15" t="s">
        <x:v>855</x:v>
      </x:c>
      <x:c r="C214" s="15" t="s">
        <x:v>856</x:v>
      </x:c>
      <x:c r="D214" s="8">
        <x:v>33962903</x:v>
      </x:c>
      <x:c r="E214" s="6">
        <x:v>4145680</x:v>
      </x:c>
      <x:c r="F214" s="6">
        <x:v>1889550</x:v>
      </x:c>
      <x:c r="G214" s="8">
        <x:v>8</x:v>
      </x:c>
      <x:c r="H214" s="15" t="s">
        <x:v>837</x:v>
      </x:c>
      <x:c r="I214" s="9">
        <x:f t="shared" si="3"/>
        <x:v>3.4550979547091627E-3</x:v>
      </x:c>
    </x:row>
    <x:row r="215">
      <x:c r="A215" s="5">
        <x:v>2021</x:v>
      </x:c>
      <x:c r="B215" s="15" t="s">
        <x:v>855</x:v>
      </x:c>
      <x:c r="C215" s="15" t="s">
        <x:v>860</x:v>
      </x:c>
      <x:c r="D215" s="8">
        <x:v>292972455</x:v>
      </x:c>
      <x:c r="E215" s="6">
        <x:v>4145680</x:v>
      </x:c>
      <x:c r="F215" s="6">
        <x:v>3923010</x:v>
      </x:c>
      <x:c r="G215" s="8">
        <x:v>71</x:v>
      </x:c>
      <x:c r="H215" s="15" t="s">
        <x:v>837</x:v>
      </x:c>
      <x:c r="I215" s="9">
        <x:f t="shared" si="3"/>
        <x:v>2.9804534967361952E-2</x:v>
      </x:c>
    </x:row>
    <x:row r="216">
      <x:c r="A216" s="5">
        <x:v>2021</x:v>
      </x:c>
      <x:c r="B216" s="15" t="s">
        <x:v>855</x:v>
      </x:c>
      <x:c r="C216" s="15" t="s">
        <x:v>861</x:v>
      </x:c>
      <x:c r="D216" s="8">
        <x:v>2728018569</x:v>
      </x:c>
      <x:c r="E216" s="6">
        <x:v>4145680</x:v>
      </x:c>
      <x:c r="F216" s="6">
        <x:v>4098530</x:v>
      </x:c>
      <x:c r="G216" s="8">
        <x:v>658</x:v>
      </x:c>
      <x:c r="H216" s="15" t="s">
        <x:v>837</x:v>
      </x:c>
      <x:c r="I216" s="9">
        <x:f t="shared" si="3"/>
        <x:v>0.27752549239270025</x:v>
      </x:c>
    </x:row>
    <x:row r="217">
      <x:c r="A217" s="5">
        <x:v>2021</x:v>
      </x:c>
      <x:c r="B217" s="15" t="s">
        <x:v>855</x:v>
      </x:c>
      <x:c r="C217" s="15" t="s">
        <x:v>857</x:v>
      </x:c>
      <x:c r="D217" s="8">
        <x:v>32774600</x:v>
      </x:c>
      <x:c r="E217" s="6">
        <x:v>4145680</x:v>
      </x:c>
      <x:c r="F217" s="6">
        <x:v>982380</x:v>
      </x:c>
      <x:c r="G217" s="8">
        <x:v>8</x:v>
      </x:c>
      <x:c r="H217" s="15" t="s">
        <x:v>837</x:v>
      </x:c>
      <x:c r="I217" s="9">
        <x:f t="shared" si="3"/>
        <x:v>3.3342100769893235E-3</x:v>
      </x:c>
    </x:row>
    <x:row r="218">
      <x:c r="A218" s="5">
        <x:v>2021</x:v>
      </x:c>
      <x:c r="B218" s="15" t="s">
        <x:v>855</x:v>
      </x:c>
      <x:c r="C218" s="15" t="s">
        <x:v>863</x:v>
      </x:c>
      <x:c r="D218" s="8">
        <x:v>179059055</x:v>
      </x:c>
      <x:c r="E218" s="6">
        <x:v>4145680</x:v>
      </x:c>
      <x:c r="F218" s="6">
        <x:v>983740</x:v>
      </x:c>
      <x:c r="G218" s="8">
        <x:v>43</x:v>
      </x:c>
      <x:c r="H218" s="15" t="s">
        <x:v>837</x:v>
      </x:c>
      <x:c r="I218" s="9">
        <x:f t="shared" si="3"/>
        <x:v>1.8215950936309993E-2</x:v>
      </x:c>
    </x:row>
    <x:row r="219">
      <x:c r="A219" s="5">
        <x:v>2021</x:v>
      </x:c>
      <x:c r="B219" s="15" t="s">
        <x:v>855</x:v>
      </x:c>
      <x:c r="C219" s="15" t="s">
        <x:v>864</x:v>
      </x:c>
      <x:c r="D219" s="8">
        <x:v>147910183</x:v>
      </x:c>
      <x:c r="E219" s="6">
        <x:v>4145680</x:v>
      </x:c>
      <x:c r="F219" s="6">
        <x:v>1538960</x:v>
      </x:c>
      <x:c r="G219" s="8">
        <x:v>36</x:v>
      </x:c>
      <x:c r="H219" s="15" t="s">
        <x:v>837</x:v>
      </x:c>
      <x:c r="I219" s="9">
        <x:f t="shared" si="3"/>
        <x:v>1.504712864986712E-2</x:v>
      </x:c>
    </x:row>
    <x:row r="220">
      <x:c r="A220" s="5">
        <x:v>2021</x:v>
      </x:c>
      <x:c r="B220" s="15" t="s">
        <x:v>855</x:v>
      </x:c>
      <x:c r="C220" s="15" t="s">
        <x:v>867</x:v>
      </x:c>
      <x:c r="D220" s="8">
        <x:v>1815302804</x:v>
      </x:c>
      <x:c r="E220" s="6">
        <x:v>4145680</x:v>
      </x:c>
      <x:c r="F220" s="6">
        <x:v>3372530</x:v>
      </x:c>
      <x:c r="G220" s="8">
        <x:v>438</x:v>
      </x:c>
      <x:c r="H220" s="15" t="s">
        <x:v>837</x:v>
      </x:c>
      <x:c r="I220" s="9">
        <x:f t="shared" si="3"/>
        <x:v>0.18467352467715165</x:v>
      </x:c>
    </x:row>
    <x:row r="221">
      <x:c r="A221" s="5">
        <x:v>2022</x:v>
      </x:c>
      <x:c r="B221" s="15" t="s">
        <x:v>832</x:v>
      </x:c>
      <x:c r="C221" s="15" t="s">
        <x:v>833</x:v>
      </x:c>
      <x:c r="D221" s="8">
        <x:v>10354624311</x:v>
      </x:c>
      <x:c r="E221" s="6">
        <x:v>4251980</x:v>
      </x:c>
      <x:c r="F221" s="6">
        <x:v>4251970</x:v>
      </x:c>
      <x:c r="G221" s="8">
        <x:v>2435</x:v>
      </x:c>
      <x:c r="H221" s="15" t="s">
        <x:v>834</x:v>
      </x:c>
      <x:c r="I221" s="9">
        <x:f t="shared" si="3"/>
        <x:v>1</x:v>
      </x:c>
    </x:row>
    <x:row r="222">
      <x:c r="A222" s="5">
        <x:v>2022</x:v>
      </x:c>
      <x:c r="B222" s="15" t="s">
        <x:v>835</x:v>
      </x:c>
      <x:c r="C222" s="15" t="s">
        <x:v>838</x:v>
      </x:c>
      <x:c r="D222" s="8">
        <x:v>13077496</x:v>
      </x:c>
      <x:c r="E222" s="6">
        <x:v>4251980</x:v>
      </x:c>
      <x:c r="F222" s="6">
        <x:v>15150</x:v>
      </x:c>
      <x:c r="G222" s="8">
        <x:v>3</x:v>
      </x:c>
      <x:c r="H222" s="15" t="s">
        <x:v>837</x:v>
      </x:c>
      <x:c r="I222" s="9">
        <x:f t="shared" si="3"/>
        <x:v>1.2629619006174293E-3</x:v>
      </x:c>
    </x:row>
    <x:row r="223">
      <x:c r="A223" s="5">
        <x:v>2022</x:v>
      </x:c>
      <x:c r="B223" s="15" t="s">
        <x:v>835</x:v>
      </x:c>
      <x:c r="C223" s="15" t="s">
        <x:v>845</x:v>
      </x:c>
      <x:c r="D223" s="8">
        <x:v>26945008</x:v>
      </x:c>
      <x:c r="E223" s="6">
        <x:v>4251980</x:v>
      </x:c>
      <x:c r="F223" s="6">
        <x:v>79400</x:v>
      </x:c>
      <x:c r="G223" s="8">
        <x:v>6</x:v>
      </x:c>
      <x:c r="H223" s="15" t="s">
        <x:v>837</x:v>
      </x:c>
      <x:c r="I223" s="9">
        <x:f t="shared" si="3"/>
        <x:v>2.6022197610178462E-3</x:v>
      </x:c>
    </x:row>
    <x:row r="224">
      <x:c r="A224" s="5">
        <x:v>2022</x:v>
      </x:c>
      <x:c r="B224" s="15" t="s">
        <x:v>835</x:v>
      </x:c>
      <x:c r="C224" s="15" t="s">
        <x:v>843</x:v>
      </x:c>
      <x:c r="D224" s="8">
        <x:v>0</x:v>
      </x:c>
      <x:c r="E224" s="6">
        <x:v>4251980</x:v>
      </x:c>
      <x:c r="F224" s="6">
        <x:v>8770</x:v>
      </x:c>
      <x:c r="G224" s="8">
        <x:v>0</x:v>
      </x:c>
      <x:c r="H224" s="15" t="s">
        <x:v>837</x:v>
      </x:c>
      <x:c r="I224" s="9">
        <x:f t="shared" si="3"/>
        <x:v>0</x:v>
      </x:c>
    </x:row>
    <x:row r="225">
      <x:c r="A225" s="5">
        <x:v>2022</x:v>
      </x:c>
      <x:c r="B225" s="15" t="s">
        <x:v>835</x:v>
      </x:c>
      <x:c r="C225" s="15" t="s">
        <x:v>844</x:v>
      </x:c>
      <x:c r="D225" s="8">
        <x:v>65771870</x:v>
      </x:c>
      <x:c r="E225" s="6">
        <x:v>4251980</x:v>
      </x:c>
      <x:c r="F225" s="6">
        <x:v>793310</x:v>
      </x:c>
      <x:c r="G225" s="8">
        <x:v>15</x:v>
      </x:c>
      <x:c r="H225" s="15" t="s">
        <x:v>837</x:v>
      </x:c>
      <x:c r="I225" s="9">
        <x:f t="shared" si="3"/>
        <x:v>6.3519320474166065E-3</x:v>
      </x:c>
    </x:row>
    <x:row r="226">
      <x:c r="A226" s="5">
        <x:v>2022</x:v>
      </x:c>
      <x:c r="B226" s="15" t="s">
        <x:v>835</x:v>
      </x:c>
      <x:c r="C226" s="15" t="s">
        <x:v>840</x:v>
      </x:c>
      <x:c r="D226" s="8">
        <x:v>402268733</x:v>
      </x:c>
      <x:c r="E226" s="6">
        <x:v>4251980</x:v>
      </x:c>
      <x:c r="F226" s="6">
        <x:v>1011480</x:v>
      </x:c>
      <x:c r="G226" s="8">
        <x:v>95</x:v>
      </x:c>
      <x:c r="H226" s="15" t="s">
        <x:v>837</x:v>
      </x:c>
      <x:c r="I226" s="9">
        <x:f t="shared" si="3"/>
        <x:v>3.8849186693587612E-2</x:v>
      </x:c>
    </x:row>
    <x:row r="227">
      <x:c r="A227" s="5">
        <x:v>2022</x:v>
      </x:c>
      <x:c r="B227" s="15" t="s">
        <x:v>835</x:v>
      </x:c>
      <x:c r="C227" s="15" t="s">
        <x:v>848</x:v>
      </x:c>
      <x:c r="D227" s="8">
        <x:v>799873617</x:v>
      </x:c>
      <x:c r="E227" s="6">
        <x:v>4251980</x:v>
      </x:c>
      <x:c r="F227" s="6">
        <x:v>2574550</x:v>
      </x:c>
      <x:c r="G227" s="8">
        <x:v>188</x:v>
      </x:c>
      <x:c r="H227" s="15" t="s">
        <x:v>834</x:v>
      </x:c>
      <x:c r="I227" s="9">
        <x:f t="shared" si="3"/>
        <x:v>7.7247961198386741E-2</x:v>
      </x:c>
    </x:row>
    <x:row r="228">
      <x:c r="A228" s="5">
        <x:v>2022</x:v>
      </x:c>
      <x:c r="B228" s="15" t="s">
        <x:v>835</x:v>
      </x:c>
      <x:c r="C228" s="15" t="s">
        <x:v>836</x:v>
      </x:c>
      <x:c r="D228" s="8">
        <x:v>199997845</x:v>
      </x:c>
      <x:c r="E228" s="6">
        <x:v>4251980</x:v>
      </x:c>
      <x:c r="F228" s="6">
        <x:v>2051150</x:v>
      </x:c>
      <x:c r="G228" s="8">
        <x:v>47</x:v>
      </x:c>
      <x:c r="H228" s="15" t="s">
        <x:v>837</x:v>
      </x:c>
      <x:c r="I228" s="9">
        <x:f t="shared" si="3"/>
        <x:v>1.9314833546161286E-2</x:v>
      </x:c>
    </x:row>
    <x:row r="229">
      <x:c r="A229" s="5">
        <x:v>2022</x:v>
      </x:c>
      <x:c r="B229" s="15" t="s">
        <x:v>835</x:v>
      </x:c>
      <x:c r="C229" s="15" t="s">
        <x:v>842</x:v>
      </x:c>
      <x:c r="D229" s="8">
        <x:v>76602100</x:v>
      </x:c>
      <x:c r="E229" s="6">
        <x:v>4251980</x:v>
      </x:c>
      <x:c r="F229" s="6">
        <x:v>108280</x:v>
      </x:c>
      <x:c r="G229" s="8">
        <x:v>18</x:v>
      </x:c>
      <x:c r="H229" s="15" t="s">
        <x:v>837</x:v>
      </x:c>
      <x:c r="I229" s="9">
        <x:f t="shared" si="3"/>
        <x:v>7.3978637659140849E-3</x:v>
      </x:c>
    </x:row>
    <x:row r="230">
      <x:c r="A230" s="5">
        <x:v>2022</x:v>
      </x:c>
      <x:c r="B230" s="15" t="s">
        <x:v>835</x:v>
      </x:c>
      <x:c r="C230" s="15" t="s">
        <x:v>839</x:v>
      </x:c>
      <x:c r="D230" s="8">
        <x:v>0</x:v>
      </x:c>
      <x:c r="E230" s="6">
        <x:v>4251980</x:v>
      </x:c>
      <x:c r="F230" s="6">
        <x:v>21210</x:v>
      </x:c>
      <x:c r="G230" s="8">
        <x:v>0</x:v>
      </x:c>
      <x:c r="H230" s="15" t="s">
        <x:v>837</x:v>
      </x:c>
      <x:c r="I230" s="9">
        <x:f t="shared" si="3"/>
        <x:v>0</x:v>
      </x:c>
    </x:row>
    <x:row r="231">
      <x:c r="A231" s="5">
        <x:v>2022</x:v>
      </x:c>
      <x:c r="B231" s="15" t="s">
        <x:v>835</x:v>
      </x:c>
      <x:c r="C231" s="15" t="s">
        <x:v>847</x:v>
      </x:c>
      <x:c r="D231" s="8">
        <x:v>2286160</x:v>
      </x:c>
      <x:c r="E231" s="6">
        <x:v>4251980</x:v>
      </x:c>
      <x:c r="F231" s="6">
        <x:v>145910</x:v>
      </x:c>
      <x:c r="G231" s="8">
        <x:v>1</x:v>
      </x:c>
      <x:c r="H231" s="15" t="s">
        <x:v>837</x:v>
      </x:c>
      <x:c r="I231" s="9">
        <x:f t="shared" si="3"/>
        <x:v>2.2078637827268634E-4</x:v>
      </x:c>
    </x:row>
    <x:row r="232">
      <x:c r="A232" s="5">
        <x:v>2022</x:v>
      </x:c>
      <x:c r="B232" s="15" t="s">
        <x:v>835</x:v>
      </x:c>
      <x:c r="C232" s="15" t="s">
        <x:v>841</x:v>
      </x:c>
      <x:c r="D232" s="8">
        <x:v>11484796</x:v>
      </x:c>
      <x:c r="E232" s="6">
        <x:v>4251980</x:v>
      </x:c>
      <x:c r="F232" s="6">
        <x:v>17090</x:v>
      </x:c>
      <x:c r="G232" s="8">
        <x:v>3</x:v>
      </x:c>
      <x:c r="H232" s="15" t="s">
        <x:v>837</x:v>
      </x:c>
      <x:c r="I232" s="9">
        <x:f t="shared" si="3"/>
        <x:v>1.1091465663123467E-3</x:v>
      </x:c>
    </x:row>
    <x:row r="233">
      <x:c r="A233" s="5">
        <x:v>2022</x:v>
      </x:c>
      <x:c r="B233" s="15" t="s">
        <x:v>835</x:v>
      </x:c>
      <x:c r="C233" s="15" t="s">
        <x:v>846</x:v>
      </x:c>
      <x:c r="D233" s="8">
        <x:v>1439610</x:v>
      </x:c>
      <x:c r="E233" s="6">
        <x:v>4251980</x:v>
      </x:c>
      <x:c r="F233" s="6">
        <x:v>99550</x:v>
      </x:c>
      <x:c r="G233" s="8">
        <x:v>0</x:v>
      </x:c>
      <x:c r="H233" s="15" t="s">
        <x:v>837</x:v>
      </x:c>
      <x:c r="I233" s="9">
        <x:f t="shared" si="3"/>
        <x:v>1.3903063566204552E-4</x:v>
      </x:c>
    </x:row>
    <x:row r="234">
      <x:c r="A234" s="5">
        <x:v>2022</x:v>
      </x:c>
      <x:c r="B234" s="15" t="s">
        <x:v>849</x:v>
      </x:c>
      <x:c r="C234" s="15" t="s">
        <x:v>853</x:v>
      </x:c>
      <x:c r="D234" s="8">
        <x:v>362374275</x:v>
      </x:c>
      <x:c r="E234" s="6">
        <x:v>4251980</x:v>
      </x:c>
      <x:c r="F234" s="6">
        <x:v>214500</x:v>
      </x:c>
      <x:c r="G234" s="8">
        <x:v>85</x:v>
      </x:c>
      <x:c r="H234" s="15" t="s">
        <x:v>837</x:v>
      </x:c>
      <x:c r="I234" s="9">
        <x:f t="shared" si="3"/>
        <x:v>3.4996371101077992E-2</x:v>
      </x:c>
    </x:row>
    <x:row r="235">
      <x:c r="A235" s="5">
        <x:v>2022</x:v>
      </x:c>
      <x:c r="B235" s="15" t="s">
        <x:v>849</x:v>
      </x:c>
      <x:c r="C235" s="15" t="s">
        <x:v>852</x:v>
      </x:c>
      <x:c r="D235" s="8">
        <x:v>1084535014</x:v>
      </x:c>
      <x:c r="E235" s="6">
        <x:v>4251980</x:v>
      </x:c>
      <x:c r="F235" s="6">
        <x:v>584090</x:v>
      </x:c>
      <x:c r="G235" s="8">
        <x:v>255</x:v>
      </x:c>
      <x:c r="H235" s="15" t="s">
        <x:v>834</x:v>
      </x:c>
      <x:c r="I235" s="9">
        <x:f t="shared" si="3"/>
        <x:v>0.10473919491679373</x:v>
      </x:c>
    </x:row>
    <x:row r="236">
      <x:c r="A236" s="5">
        <x:v>2022</x:v>
      </x:c>
      <x:c r="B236" s="15" t="s">
        <x:v>849</x:v>
      </x:c>
      <x:c r="C236" s="15" t="s">
        <x:v>854</x:v>
      </x:c>
      <x:c r="D236" s="8">
        <x:v>318693361</x:v>
      </x:c>
      <x:c r="E236" s="6">
        <x:v>4251980</x:v>
      </x:c>
      <x:c r="F236" s="6">
        <x:v>284510</x:v>
      </x:c>
      <x:c r="G236" s="8">
        <x:v>75</x:v>
      </x:c>
      <x:c r="H236" s="15" t="s">
        <x:v>837</x:v>
      </x:c>
      <x:c r="I236" s="9">
        <x:f t="shared" si="3"/>
        <x:v>3.0777877731541003E-2</x:v>
      </x:c>
    </x:row>
    <x:row r="237">
      <x:c r="A237" s="5">
        <x:v>2022</x:v>
      </x:c>
      <x:c r="B237" s="15" t="s">
        <x:v>849</x:v>
      </x:c>
      <x:c r="C237" s="15" t="s">
        <x:v>850</x:v>
      </x:c>
      <x:c r="D237" s="8">
        <x:v>0</x:v>
      </x:c>
      <x:c r="E237" s="6">
        <x:v>4251980</x:v>
      </x:c>
      <x:c r="F237" s="6">
        <x:v>9270</x:v>
      </x:c>
      <x:c r="G237" s="8">
        <x:v>0</x:v>
      </x:c>
      <x:c r="H237" s="15" t="s">
        <x:v>837</x:v>
      </x:c>
      <x:c r="I237" s="9">
        <x:f t="shared" si="3"/>
        <x:v>0</x:v>
      </x:c>
    </x:row>
    <x:row r="238">
      <x:c r="A238" s="5">
        <x:v>2022</x:v>
      </x:c>
      <x:c r="B238" s="15" t="s">
        <x:v>849</x:v>
      </x:c>
      <x:c r="C238" s="15" t="s">
        <x:v>851</x:v>
      </x:c>
      <x:c r="D238" s="8">
        <x:v>403467379</x:v>
      </x:c>
      <x:c r="E238" s="6">
        <x:v>4251980</x:v>
      </x:c>
      <x:c r="F238" s="6">
        <x:v>127260</x:v>
      </x:c>
      <x:c r="G238" s="8">
        <x:v>95</x:v>
      </x:c>
      <x:c r="H238" s="15" t="s">
        <x:v>837</x:v>
      </x:c>
      <x:c r="I238" s="9">
        <x:f t="shared" si="3"/>
        <x:v>3.896494618074995E-2</x:v>
      </x:c>
    </x:row>
    <x:row r="239">
      <x:c r="A239" s="5">
        <x:v>2022</x:v>
      </x:c>
      <x:c r="B239" s="15" t="s">
        <x:v>855</x:v>
      </x:c>
      <x:c r="C239" s="15" t="s">
        <x:v>860</x:v>
      </x:c>
      <x:c r="D239" s="8">
        <x:v>280673956</x:v>
      </x:c>
      <x:c r="E239" s="6">
        <x:v>4251980</x:v>
      </x:c>
      <x:c r="F239" s="6">
        <x:v>3992830</x:v>
      </x:c>
      <x:c r="G239" s="8">
        <x:v>66</x:v>
      </x:c>
      <x:c r="H239" s="15" t="s">
        <x:v>837</x:v>
      </x:c>
      <x:c r="I239" s="9">
        <x:f t="shared" si="3"/>
        <x:v>2.7106145773133691E-2</x:v>
      </x:c>
    </x:row>
    <x:row r="240">
      <x:c r="A240" s="5">
        <x:v>2022</x:v>
      </x:c>
      <x:c r="B240" s="15" t="s">
        <x:v>855</x:v>
      </x:c>
      <x:c r="C240" s="15" t="s">
        <x:v>864</x:v>
      </x:c>
      <x:c r="D240" s="8">
        <x:v>161636624</x:v>
      </x:c>
      <x:c r="E240" s="6">
        <x:v>4251980</x:v>
      </x:c>
      <x:c r="F240" s="6">
        <x:v>1626220</x:v>
      </x:c>
      <x:c r="G240" s="8">
        <x:v>38</x:v>
      </x:c>
      <x:c r="H240" s="15" t="s">
        <x:v>837</x:v>
      </x:c>
      <x:c r="I240" s="9">
        <x:f t="shared" si="3"/>
        <x:v>1.56100906363439E-2</x:v>
      </x:c>
    </x:row>
    <x:row r="241">
      <x:c r="A241" s="5">
        <x:v>2022</x:v>
      </x:c>
      <x:c r="B241" s="15" t="s">
        <x:v>855</x:v>
      </x:c>
      <x:c r="C241" s="15" t="s">
        <x:v>859</x:v>
      </x:c>
      <x:c r="D241" s="8">
        <x:v>8470215680</x:v>
      </x:c>
      <x:c r="E241" s="6">
        <x:v>4251980</x:v>
      </x:c>
      <x:c r="F241" s="6">
        <x:v>4244240</x:v>
      </x:c>
      <x:c r="G241" s="8">
        <x:v>1992</x:v>
      </x:c>
      <x:c r="H241" s="15" t="s">
        <x:v>834</x:v>
      </x:c>
      <x:c r="I241" s="9">
        <x:f t="shared" si="3"/>
        <x:v>0.81801284388481954</x:v>
      </x:c>
    </x:row>
    <x:row r="242">
      <x:c r="A242" s="5">
        <x:v>2022</x:v>
      </x:c>
      <x:c r="B242" s="15" t="s">
        <x:v>855</x:v>
      </x:c>
      <x:c r="C242" s="15" t="s">
        <x:v>865</x:v>
      </x:c>
      <x:c r="D242" s="8">
        <x:v>1998353550</x:v>
      </x:c>
      <x:c r="E242" s="6">
        <x:v>4251980</x:v>
      </x:c>
      <x:c r="F242" s="6">
        <x:v>3418030</x:v>
      </x:c>
      <x:c r="G242" s="8">
        <x:v>470</x:v>
      </x:c>
      <x:c r="H242" s="15" t="s">
        <x:v>837</x:v>
      </x:c>
      <x:c r="I242" s="9">
        <x:f t="shared" si="3"/>
        <x:v>0.19299141040559961</x:v>
      </x:c>
    </x:row>
    <x:row r="243">
      <x:c r="A243" s="5">
        <x:v>2022</x:v>
      </x:c>
      <x:c r="B243" s="15" t="s">
        <x:v>855</x:v>
      </x:c>
      <x:c r="C243" s="15" t="s">
        <x:v>861</x:v>
      </x:c>
      <x:c r="D243" s="8">
        <x:v>2903780219</x:v>
      </x:c>
      <x:c r="E243" s="6">
        <x:v>4251980</x:v>
      </x:c>
      <x:c r="F243" s="6">
        <x:v>4203360</x:v>
      </x:c>
      <x:c r="G243" s="8">
        <x:v>683</x:v>
      </x:c>
      <x:c r="H243" s="15" t="s">
        <x:v>837</x:v>
      </x:c>
      <x:c r="I243" s="9">
        <x:f t="shared" si="3"/>
        <x:v>0.28043317959061392</x:v>
      </x:c>
    </x:row>
    <x:row r="244">
      <x:c r="A244" s="5">
        <x:v>2022</x:v>
      </x:c>
      <x:c r="B244" s="15" t="s">
        <x:v>855</x:v>
      </x:c>
      <x:c r="C244" s="15" t="s">
        <x:v>866</x:v>
      </x:c>
      <x:c r="D244" s="8">
        <x:v>450300888</x:v>
      </x:c>
      <x:c r="E244" s="6">
        <x:v>4251980</x:v>
      </x:c>
      <x:c r="F244" s="6">
        <x:v>3390850</x:v>
      </x:c>
      <x:c r="G244" s="8">
        <x:v>106</x:v>
      </x:c>
      <x:c r="H244" s="15" t="s">
        <x:v>837</x:v>
      </x:c>
      <x:c r="I244" s="9">
        <x:f t="shared" si="3"/>
        <x:v>4.348790206918788E-2</x:v>
      </x:c>
    </x:row>
    <x:row r="245">
      <x:c r="A245" s="5">
        <x:v>2022</x:v>
      </x:c>
      <x:c r="B245" s="15" t="s">
        <x:v>855</x:v>
      </x:c>
      <x:c r="C245" s="15" t="s">
        <x:v>858</x:v>
      </x:c>
      <x:c r="D245" s="8">
        <x:v>0</x:v>
      </x:c>
      <x:c r="E245" s="6">
        <x:v>4251980</x:v>
      </x:c>
      <x:c r="F245" s="6">
        <x:v>50520</x:v>
      </x:c>
      <x:c r="G245" s="8">
        <x:v>0</x:v>
      </x:c>
      <x:c r="H245" s="15" t="s">
        <x:v>837</x:v>
      </x:c>
      <x:c r="I245" s="9">
        <x:f t="shared" si="3"/>
        <x:v>0</x:v>
      </x:c>
    </x:row>
    <x:row r="246">
      <x:c r="A246" s="5">
        <x:v>2022</x:v>
      </x:c>
      <x:c r="B246" s="15" t="s">
        <x:v>855</x:v>
      </x:c>
      <x:c r="C246" s="15" t="s">
        <x:v>867</x:v>
      </x:c>
      <x:c r="D246" s="8">
        <x:v>1878478959</x:v>
      </x:c>
      <x:c r="E246" s="6">
        <x:v>4251980</x:v>
      </x:c>
      <x:c r="F246" s="6">
        <x:v>3454720</x:v>
      </x:c>
      <x:c r="G246" s="8">
        <x:v>442</x:v>
      </x:c>
      <x:c r="H246" s="15" t="s">
        <x:v>837</x:v>
      </x:c>
      <x:c r="I246" s="9">
        <x:f t="shared" si="3"/>
        <x:v>0.18141449680645974</x:v>
      </x:c>
    </x:row>
    <x:row r="247">
      <x:c r="A247" s="5">
        <x:v>2022</x:v>
      </x:c>
      <x:c r="B247" s="15" t="s">
        <x:v>855</x:v>
      </x:c>
      <x:c r="C247" s="15" t="s">
        <x:v>868</x:v>
      </x:c>
      <x:c r="D247" s="8">
        <x:v>168915260</x:v>
      </x:c>
      <x:c r="E247" s="6">
        <x:v>4251980</x:v>
      </x:c>
      <x:c r="F247" s="6">
        <x:v>1147770</x:v>
      </x:c>
      <x:c r="G247" s="8">
        <x:v>40</x:v>
      </x:c>
      <x:c r="H247" s="15" t="s">
        <x:v>837</x:v>
      </x:c>
      <x:c r="I247" s="9">
        <x:f t="shared" si="3"/>
        <x:v>1.6313026424392502E-2</x:v>
      </x:c>
    </x:row>
    <x:row r="248">
      <x:c r="A248" s="5">
        <x:v>2022</x:v>
      </x:c>
      <x:c r="B248" s="15" t="s">
        <x:v>855</x:v>
      </x:c>
      <x:c r="C248" s="15" t="s">
        <x:v>856</x:v>
      </x:c>
      <x:c r="D248" s="8">
        <x:v>21492181</x:v>
      </x:c>
      <x:c r="E248" s="6">
        <x:v>4251980</x:v>
      </x:c>
      <x:c r="F248" s="6">
        <x:v>1882760</x:v>
      </x:c>
      <x:c r="G248" s="8">
        <x:v>5</x:v>
      </x:c>
      <x:c r="H248" s="15" t="s">
        <x:v>837</x:v>
      </x:c>
      <x:c r="I248" s="9">
        <x:f t="shared" si="3"/>
        <x:v>2.0756118575126158E-3</x:v>
      </x:c>
    </x:row>
    <x:row r="249">
      <x:c r="A249" s="5">
        <x:v>2022</x:v>
      </x:c>
      <x:c r="B249" s="15" t="s">
        <x:v>855</x:v>
      </x:c>
      <x:c r="C249" s="15" t="s">
        <x:v>857</x:v>
      </x:c>
      <x:c r="D249" s="8">
        <x:v>40936778</x:v>
      </x:c>
      <x:c r="E249" s="6">
        <x:v>4251980</x:v>
      </x:c>
      <x:c r="F249" s="6">
        <x:v>1134160</x:v>
      </x:c>
      <x:c r="G249" s="8">
        <x:v>10</x:v>
      </x:c>
      <x:c r="H249" s="15" t="s">
        <x:v>837</x:v>
      </x:c>
      <x:c r="I249" s="9">
        <x:f t="shared" si="3"/>
        <x:v>3.9534778636547679E-3</x:v>
      </x:c>
    </x:row>
    <x:row r="250">
      <x:c r="A250" s="5">
        <x:v>2022</x:v>
      </x:c>
      <x:c r="B250" s="15" t="s">
        <x:v>855</x:v>
      </x:c>
      <x:c r="C250" s="15" t="s">
        <x:v>862</x:v>
      </x:c>
      <x:c r="D250" s="8">
        <x:v>375232387</x:v>
      </x:c>
      <x:c r="E250" s="6">
        <x:v>4251980</x:v>
      </x:c>
      <x:c r="F250" s="6">
        <x:v>4068750</x:v>
      </x:c>
      <x:c r="G250" s="8">
        <x:v>88</x:v>
      </x:c>
      <x:c r="H250" s="15" t="s">
        <x:v>837</x:v>
      </x:c>
      <x:c r="I250" s="9">
        <x:f t="shared" si="3"/>
        <x:v>3.6238145946191444E-2</x:v>
      </x:c>
    </x:row>
    <x:row r="251">
      <x:c r="A251" s="5">
        <x:v>2022</x:v>
      </x:c>
      <x:c r="B251" s="15" t="s">
        <x:v>855</x:v>
      </x:c>
      <x:c r="C251" s="15" t="s">
        <x:v>863</x:v>
      </x:c>
      <x:c r="D251" s="8">
        <x:v>190414878</x:v>
      </x:c>
      <x:c r="E251" s="6">
        <x:v>4251980</x:v>
      </x:c>
      <x:c r="F251" s="6">
        <x:v>1023020</x:v>
      </x:c>
      <x:c r="G251" s="8">
        <x:v>45</x:v>
      </x:c>
      <x:c r="H251" s="15" t="s">
        <x:v>837</x:v>
      </x:c>
      <x:c r="I251" s="9">
        <x:f t="shared" si="3"/>
        <x:v>1.8389356511729456E-2</x:v>
      </x:c>
    </x:row>
    <x:row r="252">
      <x:c r="A252" s="5">
        <x:v>2023</x:v>
      </x:c>
      <x:c r="B252" s="15" t="s">
        <x:v>832</x:v>
      </x:c>
      <x:c r="C252" s="15" t="s">
        <x:v>833</x:v>
      </x:c>
      <x:c r="D252" s="8">
        <x:v>10897724979</x:v>
      </x:c>
      <x:c r="E252" s="6">
        <x:v>4352280</x:v>
      </x:c>
      <x:c r="F252" s="6">
        <x:v>4352270</x:v>
      </x:c>
      <x:c r="G252" s="8">
        <x:v>2504</x:v>
      </x:c>
      <x:c r="H252" s="15" t="s">
        <x:v>834</x:v>
      </x:c>
      <x:c r="I252" s="9">
        <x:f t="shared" si="3"/>
        <x:v>1</x:v>
      </x:c>
    </x:row>
    <x:row r="253">
      <x:c r="A253" s="5">
        <x:v>2023</x:v>
      </x:c>
      <x:c r="B253" s="15" t="s">
        <x:v>835</x:v>
      </x:c>
      <x:c r="C253" s="15" t="s">
        <x:v>841</x:v>
      </x:c>
      <x:c r="D253" s="8">
        <x:v>12979022</x:v>
      </x:c>
      <x:c r="E253" s="6">
        <x:v>4352280</x:v>
      </x:c>
      <x:c r="F253" s="6">
        <x:v>17830</x:v>
      </x:c>
      <x:c r="G253" s="8">
        <x:v>3</x:v>
      </x:c>
      <x:c r="H253" s="15" t="s">
        <x:v>837</x:v>
      </x:c>
      <x:c r="I253" s="9">
        <x:f t="shared" si="3"/>
        <x:v>1.1909845426463482E-3</x:v>
      </x:c>
    </x:row>
    <x:row r="254">
      <x:c r="A254" s="5">
        <x:v>2023</x:v>
      </x:c>
      <x:c r="B254" s="15" t="s">
        <x:v>835</x:v>
      </x:c>
      <x:c r="C254" s="15" t="s">
        <x:v>842</x:v>
      </x:c>
      <x:c r="D254" s="8">
        <x:v>79646574</x:v>
      </x:c>
      <x:c r="E254" s="6">
        <x:v>4352280</x:v>
      </x:c>
      <x:c r="F254" s="6">
        <x:v>113010</x:v>
      </x:c>
      <x:c r="G254" s="8">
        <x:v>18</x:v>
      </x:c>
      <x:c r="H254" s="15" t="s">
        <x:v>837</x:v>
      </x:c>
      <x:c r="I254" s="9">
        <x:f t="shared" si="3"/>
        <x:v>7.3085505601838512E-3</x:v>
      </x:c>
    </x:row>
    <x:row r="255">
      <x:c r="A255" s="5">
        <x:v>2023</x:v>
      </x:c>
      <x:c r="B255" s="15" t="s">
        <x:v>835</x:v>
      </x:c>
      <x:c r="C255" s="15" t="s">
        <x:v>836</x:v>
      </x:c>
      <x:c r="D255" s="8">
        <x:v>221688476</x:v>
      </x:c>
      <x:c r="E255" s="6">
        <x:v>4352280</x:v>
      </x:c>
      <x:c r="F255" s="6">
        <x:v>2172350</x:v>
      </x:c>
      <x:c r="G255" s="8">
        <x:v>51</x:v>
      </x:c>
      <x:c r="H255" s="15" t="s">
        <x:v>837</x:v>
      </x:c>
      <x:c r="I255" s="9">
        <x:f t="shared" si="3"/>
        <x:v>2.0342638158624429E-2</x:v>
      </x:c>
    </x:row>
    <x:row r="256">
      <x:c r="A256" s="5">
        <x:v>2023</x:v>
      </x:c>
      <x:c r="B256" s="15" t="s">
        <x:v>835</x:v>
      </x:c>
      <x:c r="C256" s="15" t="s">
        <x:v>839</x:v>
      </x:c>
      <x:c r="D256" s="8">
        <x:v>0</x:v>
      </x:c>
      <x:c r="E256" s="6">
        <x:v>4352280</x:v>
      </x:c>
      <x:c r="F256" s="6">
        <x:v>21760</x:v>
      </x:c>
      <x:c r="G256" s="8">
        <x:v>0</x:v>
      </x:c>
      <x:c r="H256" s="15" t="s">
        <x:v>837</x:v>
      </x:c>
      <x:c r="I256" s="9">
        <x:f t="shared" si="3"/>
        <x:v>0</x:v>
      </x:c>
    </x:row>
    <x:row r="257">
      <x:c r="A257" s="5">
        <x:v>2023</x:v>
      </x:c>
      <x:c r="B257" s="15" t="s">
        <x:v>835</x:v>
      </x:c>
      <x:c r="C257" s="15" t="s">
        <x:v>846</x:v>
      </x:c>
      <x:c r="D257" s="8">
        <x:v>1473658</x:v>
      </x:c>
      <x:c r="E257" s="6">
        <x:v>4352280</x:v>
      </x:c>
      <x:c r="F257" s="6">
        <x:v>100250</x:v>
      </x:c>
      <x:c r="G257" s="8">
        <x:v>0</x:v>
      </x:c>
      <x:c r="H257" s="15" t="s">
        <x:v>837</x:v>
      </x:c>
      <x:c r="I257" s="9">
        <x:f t="shared" si="3"/>
        <x:v>1.3522620573007212E-4</x:v>
      </x:c>
    </x:row>
    <x:row r="258">
      <x:c r="A258" s="5">
        <x:v>2023</x:v>
      </x:c>
      <x:c r="B258" s="15" t="s">
        <x:v>835</x:v>
      </x:c>
      <x:c r="C258" s="15" t="s">
        <x:v>844</x:v>
      </x:c>
      <x:c r="D258" s="8">
        <x:v>72765879</x:v>
      </x:c>
      <x:c r="E258" s="6">
        <x:v>4352280</x:v>
      </x:c>
      <x:c r="F258" s="6">
        <x:v>839800</x:v>
      </x:c>
      <x:c r="G258" s="8">
        <x:v>17</x:v>
      </x:c>
      <x:c r="H258" s="15" t="s">
        <x:v>837</x:v>
      </x:c>
      <x:c r="I258" s="9">
        <x:f t="shared" si="3"/>
        <x:v>6.6771623563835949E-3</x:v>
      </x:c>
    </x:row>
    <x:row r="259">
      <x:c r="A259" s="5">
        <x:v>2023</x:v>
      </x:c>
      <x:c r="B259" s="15" t="s">
        <x:v>835</x:v>
      </x:c>
      <x:c r="C259" s="15" t="s">
        <x:v>848</x:v>
      </x:c>
      <x:c r="D259" s="8">
        <x:v>880631163</x:v>
      </x:c>
      <x:c r="E259" s="6">
        <x:v>4352280</x:v>
      </x:c>
      <x:c r="F259" s="6">
        <x:v>2702710</x:v>
      </x:c>
      <x:c r="G259" s="8">
        <x:v>202</x:v>
      </x:c>
      <x:c r="H259" s="15" t="s">
        <x:v>834</x:v>
      </x:c>
      <x:c r="I259" s="9">
        <x:f t="shared" si="3"/>
        <x:v>8.0808716011551318E-2</x:v>
      </x:c>
    </x:row>
    <x:row r="260">
      <x:c r="A260" s="5">
        <x:v>2023</x:v>
      </x:c>
      <x:c r="B260" s="15" t="s">
        <x:v>835</x:v>
      </x:c>
      <x:c r="C260" s="15" t="s">
        <x:v>838</x:v>
      </x:c>
      <x:c r="D260" s="8">
        <x:v>13886014</x:v>
      </x:c>
      <x:c r="E260" s="6">
        <x:v>4352280</x:v>
      </x:c>
      <x:c r="F260" s="6">
        <x:v>16200</x:v>
      </x:c>
      <x:c r="G260" s="8">
        <x:v>3</x:v>
      </x:c>
      <x:c r="H260" s="15" t="s">
        <x:v>837</x:v>
      </x:c>
      <x:c r="I260" s="9" t="n">
        <x:f t="shared" ref="I260:I313" si="4">IFERROR(D260/SUMIFS($D$4:$D$313,$A$4:$A$313,A260,$C$4:$C$313,"Total des dépenses remboursées"),"")</x:f>
        <x:v>0.001274212188943881</x:v>
      </x:c>
    </x:row>
    <x:row r="261">
      <x:c r="A261" s="5">
        <x:v>2023</x:v>
      </x:c>
      <x:c r="B261" s="15" t="s">
        <x:v>835</x:v>
      </x:c>
      <x:c r="C261" s="15" t="s">
        <x:v>845</x:v>
      </x:c>
      <x:c r="D261" s="8">
        <x:v>26336548</x:v>
      </x:c>
      <x:c r="E261" s="6">
        <x:v>4352280</x:v>
      </x:c>
      <x:c r="F261" s="6">
        <x:v>85020</x:v>
      </x:c>
      <x:c r="G261" s="8">
        <x:v>6</x:v>
      </x:c>
      <x:c r="H261" s="15" t="s">
        <x:v>837</x:v>
      </x:c>
      <x:c r="I261" s="9">
        <x:f t="shared" si="4"/>
        <x:v>2.4167014721651289E-3</x:v>
      </x:c>
    </x:row>
    <x:row r="262">
      <x:c r="A262" s="5">
        <x:v>2023</x:v>
      </x:c>
      <x:c r="B262" s="15" t="s">
        <x:v>835</x:v>
      </x:c>
      <x:c r="C262" s="15" t="s">
        <x:v>843</x:v>
      </x:c>
      <x:c r="D262" s="8">
        <x:v>0</x:v>
      </x:c>
      <x:c r="E262" s="6">
        <x:v>4352280</x:v>
      </x:c>
      <x:c r="F262" s="6">
        <x:v>9200</x:v>
      </x:c>
      <x:c r="G262" s="8">
        <x:v>0</x:v>
      </x:c>
      <x:c r="H262" s="15" t="s">
        <x:v>837</x:v>
      </x:c>
      <x:c r="I262" s="9">
        <x:f t="shared" si="4"/>
        <x:v>0</x:v>
      </x:c>
    </x:row>
    <x:row r="263">
      <x:c r="A263" s="5">
        <x:v>2023</x:v>
      </x:c>
      <x:c r="B263" s="15" t="s">
        <x:v>835</x:v>
      </x:c>
      <x:c r="C263" s="15" t="s">
        <x:v>847</x:v>
      </x:c>
      <x:c r="D263" s="8">
        <x:v>2102761</x:v>
      </x:c>
      <x:c r="E263" s="6">
        <x:v>4352280</x:v>
      </x:c>
      <x:c r="F263" s="6">
        <x:v>152490</x:v>
      </x:c>
      <x:c r="G263" s="8">
        <x:v>0</x:v>
      </x:c>
      <x:c r="H263" s="15" t="s">
        <x:v>837</x:v>
      </x:c>
      <x:c r="I263" s="9">
        <x:f t="shared" si="4"/>
        <x:v>1.9295412611825281E-4</x:v>
      </x:c>
    </x:row>
    <x:row r="264">
      <x:c r="A264" s="5">
        <x:v>2023</x:v>
      </x:c>
      <x:c r="B264" s="15" t="s">
        <x:v>835</x:v>
      </x:c>
      <x:c r="C264" s="15" t="s">
        <x:v>840</x:v>
      </x:c>
      <x:c r="D264" s="8">
        <x:v>449752231</x:v>
      </x:c>
      <x:c r="E264" s="6">
        <x:v>4352280</x:v>
      </x:c>
      <x:c r="F264" s="6">
        <x:v>1057020</x:v>
      </x:c>
      <x:c r="G264" s="8">
        <x:v>103</x:v>
      </x:c>
      <x:c r="H264" s="15" t="s">
        <x:v>837</x:v>
      </x:c>
      <x:c r="I264" s="9">
        <x:f t="shared" si="4"/>
        <x:v>4.1270286400755758E-2</x:v>
      </x:c>
    </x:row>
    <x:row r="265">
      <x:c r="A265" s="5">
        <x:v>2023</x:v>
      </x:c>
      <x:c r="B265" s="15" t="s">
        <x:v>849</x:v>
      </x:c>
      <x:c r="C265" s="15" t="s">
        <x:v>854</x:v>
      </x:c>
      <x:c r="D265" s="8">
        <x:v>338777706</x:v>
      </x:c>
      <x:c r="E265" s="6">
        <x:v>4352280</x:v>
      </x:c>
      <x:c r="F265" s="6">
        <x:v>284420</x:v>
      </x:c>
      <x:c r="G265" s="8">
        <x:v>78</x:v>
      </x:c>
      <x:c r="H265" s="15" t="s">
        <x:v>837</x:v>
      </x:c>
      <x:c r="I265" s="9">
        <x:f t="shared" si="4"/>
        <x:v>3.1087011890355763E-2</x:v>
      </x:c>
    </x:row>
    <x:row r="266">
      <x:c r="A266" s="5">
        <x:v>2023</x:v>
      </x:c>
      <x:c r="B266" s="15" t="s">
        <x:v>849</x:v>
      </x:c>
      <x:c r="C266" s="15" t="s">
        <x:v>850</x:v>
      </x:c>
      <x:c r="D266" s="8">
        <x:v>0</x:v>
      </x:c>
      <x:c r="E266" s="6">
        <x:v>4352280</x:v>
      </x:c>
      <x:c r="F266" s="6">
        <x:v>8910</x:v>
      </x:c>
      <x:c r="G266" s="8">
        <x:v>0</x:v>
      </x:c>
      <x:c r="H266" s="15" t="s">
        <x:v>837</x:v>
      </x:c>
      <x:c r="I266" s="9">
        <x:f t="shared" si="4"/>
        <x:v>0</x:v>
      </x:c>
    </x:row>
    <x:row r="267">
      <x:c r="A267" s="5">
        <x:v>2023</x:v>
      </x:c>
      <x:c r="B267" s="15" t="s">
        <x:v>849</x:v>
      </x:c>
      <x:c r="C267" s="15" t="s">
        <x:v>851</x:v>
      </x:c>
      <x:c r="D267" s="8">
        <x:v>424945479</x:v>
      </x:c>
      <x:c r="E267" s="6">
        <x:v>4352280</x:v>
      </x:c>
      <x:c r="F267" s="6">
        <x:v>130040</x:v>
      </x:c>
      <x:c r="G267" s="8">
        <x:v>98</x:v>
      </x:c>
      <x:c r="H267" s="15" t="s">
        <x:v>837</x:v>
      </x:c>
      <x:c r="I267" s="9">
        <x:f t="shared" si="4"/>
        <x:v>3.8993962484727154E-2</x:v>
      </x:c>
    </x:row>
    <x:row r="268">
      <x:c r="A268" s="5">
        <x:v>2023</x:v>
      </x:c>
      <x:c r="B268" s="15" t="s">
        <x:v>849</x:v>
      </x:c>
      <x:c r="C268" s="15" t="s">
        <x:v>853</x:v>
      </x:c>
      <x:c r="D268" s="8">
        <x:v>378832496</x:v>
      </x:c>
      <x:c r="E268" s="6">
        <x:v>4352280</x:v>
      </x:c>
      <x:c r="F268" s="6">
        <x:v>216710</x:v>
      </x:c>
      <x:c r="G268" s="8">
        <x:v>87</x:v>
      </x:c>
      <x:c r="H268" s="15" t="s">
        <x:v>837</x:v>
      </x:c>
      <x:c r="I268" s="9">
        <x:f t="shared" si="4"/>
        <x:v>3.4762530411623818E-2</x:v>
      </x:c>
    </x:row>
    <x:row r="269">
      <x:c r="A269" s="5">
        <x:v>2023</x:v>
      </x:c>
      <x:c r="B269" s="15" t="s">
        <x:v>849</x:v>
      </x:c>
      <x:c r="C269" s="15" t="s">
        <x:v>852</x:v>
      </x:c>
      <x:c r="D269" s="8">
        <x:v>1142555680</x:v>
      </x:c>
      <x:c r="E269" s="6">
        <x:v>4352280</x:v>
      </x:c>
      <x:c r="F269" s="6">
        <x:v>588320</x:v>
      </x:c>
      <x:c r="G269" s="8">
        <x:v>263</x:v>
      </x:c>
      <x:c r="H269" s="15" t="s">
        <x:v>834</x:v>
      </x:c>
      <x:c r="I269" s="9">
        <x:f t="shared" si="4"/>
        <x:v>0.10484350469494445</x:v>
      </x:c>
    </x:row>
    <x:row r="270">
      <x:c r="A270" s="5">
        <x:v>2023</x:v>
      </x:c>
      <x:c r="B270" s="15" t="s">
        <x:v>855</x:v>
      </x:c>
      <x:c r="C270" s="15" t="s">
        <x:v>856</x:v>
      </x:c>
      <x:c r="D270" s="8">
        <x:v>21820416</x:v>
      </x:c>
      <x:c r="E270" s="6">
        <x:v>4352280</x:v>
      </x:c>
      <x:c r="F270" s="6">
        <x:v>1301640</x:v>
      </x:c>
      <x:c r="G270" s="8">
        <x:v>5</x:v>
      </x:c>
      <x:c r="H270" s="15" t="s">
        <x:v>837</x:v>
      </x:c>
      <x:c r="I270" s="9">
        <x:f t="shared" si="4"/>
        <x:v>2.0022909407282812E-3</x:v>
      </x:c>
    </x:row>
    <x:row r="271">
      <x:c r="A271" s="5">
        <x:v>2023</x:v>
      </x:c>
      <x:c r="B271" s="15" t="s">
        <x:v>855</x:v>
      </x:c>
      <x:c r="C271" s="15" t="s">
        <x:v>861</x:v>
      </x:c>
      <x:c r="D271" s="8">
        <x:v>3002847573</x:v>
      </x:c>
      <x:c r="E271" s="6">
        <x:v>4352280</x:v>
      </x:c>
      <x:c r="F271" s="6">
        <x:v>4302500</x:v>
      </x:c>
      <x:c r="G271" s="8">
        <x:v>690</x:v>
      </x:c>
      <x:c r="H271" s="15" t="s">
        <x:v>837</x:v>
      </x:c>
      <x:c r="I271" s="9">
        <x:f t="shared" si="4"/>
        <x:v>0.27554811474748264</x:v>
      </x:c>
    </x:row>
    <x:row r="272">
      <x:c r="A272" s="5">
        <x:v>2023</x:v>
      </x:c>
      <x:c r="B272" s="15" t="s">
        <x:v>855</x:v>
      </x:c>
      <x:c r="C272" s="15" t="s">
        <x:v>857</x:v>
      </x:c>
      <x:c r="D272" s="8">
        <x:v>47458818</x:v>
      </x:c>
      <x:c r="E272" s="6">
        <x:v>4352280</x:v>
      </x:c>
      <x:c r="F272" s="6">
        <x:v>1293550</x:v>
      </x:c>
      <x:c r="G272" s="8">
        <x:v>11</x:v>
      </x:c>
      <x:c r="H272" s="15" t="s">
        <x:v>837</x:v>
      </x:c>
      <x:c r="I272" s="9">
        <x:f t="shared" si="4"/>
        <x:v>4.3549289499830021E-3</x:v>
      </x:c>
    </x:row>
    <x:row r="273">
      <x:c r="A273" s="5">
        <x:v>2023</x:v>
      </x:c>
      <x:c r="B273" s="15" t="s">
        <x:v>855</x:v>
      </x:c>
      <x:c r="C273" s="15" t="s">
        <x:v>863</x:v>
      </x:c>
      <x:c r="D273" s="8">
        <x:v>213525136</x:v>
      </x:c>
      <x:c r="E273" s="6">
        <x:v>4352280</x:v>
      </x:c>
      <x:c r="F273" s="6">
        <x:v>1079730</x:v>
      </x:c>
      <x:c r="G273" s="8">
        <x:v>49</x:v>
      </x:c>
      <x:c r="H273" s="15" t="s">
        <x:v>837</x:v>
      </x:c>
      <x:c r="I273" s="9">
        <x:f t="shared" si="4"/>
        <x:v>1.9593551535890711E-2</x:v>
      </x:c>
    </x:row>
    <x:row r="274">
      <x:c r="A274" s="5">
        <x:v>2023</x:v>
      </x:c>
      <x:c r="B274" s="15" t="s">
        <x:v>855</x:v>
      </x:c>
      <x:c r="C274" s="15" t="s">
        <x:v>866</x:v>
      </x:c>
      <x:c r="D274" s="8">
        <x:v>497276653</x:v>
      </x:c>
      <x:c r="E274" s="6">
        <x:v>4352280</x:v>
      </x:c>
      <x:c r="F274" s="6">
        <x:v>3525240</x:v>
      </x:c>
      <x:c r="G274" s="8">
        <x:v>114</x:v>
      </x:c>
      <x:c r="H274" s="15" t="s">
        <x:v>837</x:v>
      </x:c>
      <x:c r="I274" s="9">
        <x:f t="shared" si="4"/>
        <x:v>4.5631235322808744E-2</x:v>
      </x:c>
    </x:row>
    <x:row r="275">
      <x:c r="A275" s="5">
        <x:v>2023</x:v>
      </x:c>
      <x:c r="B275" s="15" t="s">
        <x:v>855</x:v>
      </x:c>
      <x:c r="C275" s="15" t="s">
        <x:v>859</x:v>
      </x:c>
      <x:c r="D275" s="8">
        <x:v>8874538136</x:v>
      </x:c>
      <x:c r="E275" s="6">
        <x:v>4352280</x:v>
      </x:c>
      <x:c r="F275" s="6">
        <x:v>4344200</x:v>
      </x:c>
      <x:c r="G275" s="8">
        <x:v>2039</x:v>
      </x:c>
      <x:c r="H275" s="15" t="s">
        <x:v>834</x:v>
      </x:c>
      <x:c r="I275" s="9">
        <x:f t="shared" si="4"/>
        <x:v>0.81434777929350421</x:v>
      </x:c>
    </x:row>
    <x:row r="276">
      <x:c r="A276" s="5">
        <x:v>2023</x:v>
      </x:c>
      <x:c r="B276" s="15" t="s">
        <x:v>855</x:v>
      </x:c>
      <x:c r="C276" s="15" t="s">
        <x:v>865</x:v>
      </x:c>
      <x:c r="D276" s="8">
        <x:v>2094594183</x:v>
      </x:c>
      <x:c r="E276" s="6">
        <x:v>4352280</x:v>
      </x:c>
      <x:c r="F276" s="6">
        <x:v>3531170</x:v>
      </x:c>
      <x:c r="G276" s="8">
        <x:v>481</x:v>
      </x:c>
      <x:c r="H276" s="15" t="s">
        <x:v>837</x:v>
      </x:c>
      <x:c r="I276" s="9">
        <x:f t="shared" si="4"/>
        <x:v>0.19220472043810052</x:v>
      </x:c>
    </x:row>
    <x:row r="277">
      <x:c r="A277" s="5">
        <x:v>2023</x:v>
      </x:c>
      <x:c r="B277" s="15" t="s">
        <x:v>855</x:v>
      </x:c>
      <x:c r="C277" s="15" t="s">
        <x:v>860</x:v>
      </x:c>
      <x:c r="D277" s="8">
        <x:v>266857308</x:v>
      </x:c>
      <x:c r="E277" s="6">
        <x:v>4352280</x:v>
      </x:c>
      <x:c r="F277" s="6">
        <x:v>4038400</x:v>
      </x:c>
      <x:c r="G277" s="8">
        <x:v>61</x:v>
      </x:c>
      <x:c r="H277" s="15" t="s">
        <x:v>837</x:v>
      </x:c>
      <x:c r="I277" s="9">
        <x:f t="shared" si="4"/>
        <x:v>2.4487432791177616E-2</x:v>
      </x:c>
    </x:row>
    <x:row r="278">
      <x:c r="A278" s="5">
        <x:v>2023</x:v>
      </x:c>
      <x:c r="B278" s="15" t="s">
        <x:v>855</x:v>
      </x:c>
      <x:c r="C278" s="15" t="s">
        <x:v>862</x:v>
      </x:c>
      <x:c r="D278" s="8">
        <x:v>387767141</x:v>
      </x:c>
      <x:c r="E278" s="6">
        <x:v>4352280</x:v>
      </x:c>
      <x:c r="F278" s="6">
        <x:v>4158800</x:v>
      </x:c>
      <x:c r="G278" s="8">
        <x:v>89</x:v>
      </x:c>
      <x:c r="H278" s="15" t="s">
        <x:v>837</x:v>
      </x:c>
      <x:c r="I278" s="9">
        <x:f t="shared" si="4"/>
        <x:v>3.558239373330032E-2</x:v>
      </x:c>
    </x:row>
    <x:row r="279">
      <x:c r="A279" s="5">
        <x:v>2023</x:v>
      </x:c>
      <x:c r="B279" s="15" t="s">
        <x:v>855</x:v>
      </x:c>
      <x:c r="C279" s="15" t="s">
        <x:v>858</x:v>
      </x:c>
      <x:c r="D279" s="8">
        <x:v>0</x:v>
      </x:c>
      <x:c r="E279" s="6">
        <x:v>4352280</x:v>
      </x:c>
      <x:c r="F279" s="6">
        <x:v>59070</x:v>
      </x:c>
      <x:c r="G279" s="8">
        <x:v>0</x:v>
      </x:c>
      <x:c r="H279" s="15" t="s">
        <x:v>837</x:v>
      </x:c>
      <x:c r="I279" s="9">
        <x:f t="shared" si="4"/>
        <x:v>0</x:v>
      </x:c>
    </x:row>
    <x:row r="280">
      <x:c r="A280" s="5">
        <x:v>2023</x:v>
      </x:c>
      <x:c r="B280" s="15" t="s">
        <x:v>855</x:v>
      </x:c>
      <x:c r="C280" s="15" t="s">
        <x:v>864</x:v>
      </x:c>
      <x:c r="D280" s="8">
        <x:v>176888877</x:v>
      </x:c>
      <x:c r="E280" s="6">
        <x:v>4352280</x:v>
      </x:c>
      <x:c r="F280" s="6">
        <x:v>1719920</x:v>
      </x:c>
      <x:c r="G280" s="8">
        <x:v>41</x:v>
      </x:c>
      <x:c r="H280" s="15" t="s">
        <x:v>837</x:v>
      </x:c>
      <x:c r="I280" s="9">
        <x:f t="shared" si="4"/>
        <x:v>1.6231725184923114E-2</x:v>
      </x:c>
    </x:row>
    <x:row r="281">
      <x:c r="A281" s="5">
        <x:v>2023</x:v>
      </x:c>
      <x:c r="B281" s="15" t="s">
        <x:v>855</x:v>
      </x:c>
      <x:c r="C281" s="15" t="s">
        <x:v>867</x:v>
      </x:c>
      <x:c r="D281" s="8">
        <x:v>1975412156</x:v>
      </x:c>
      <x:c r="E281" s="6">
        <x:v>4352280</x:v>
      </x:c>
      <x:c r="F281" s="6">
        <x:v>3453670</x:v>
      </x:c>
      <x:c r="G281" s="8">
        <x:v>454</x:v>
      </x:c>
      <x:c r="H281" s="15" t="s">
        <x:v>837</x:v>
      </x:c>
      <x:c r="I281" s="9">
        <x:f t="shared" si="4"/>
        <x:v>0.18126830689952578</x:v>
      </x:c>
    </x:row>
    <x:row r="282">
      <x:c r="A282" s="5">
        <x:v>2023</x:v>
      </x:c>
      <x:c r="B282" s="15" t="s">
        <x:v>855</x:v>
      </x:c>
      <x:c r="C282" s="15" t="s">
        <x:v>868</x:v>
      </x:c>
      <x:c r="D282" s="8">
        <x:v>190089874</x:v>
      </x:c>
      <x:c r="E282" s="6">
        <x:v>4352280</x:v>
      </x:c>
      <x:c r="F282" s="6">
        <x:v>1185110</x:v>
      </x:c>
      <x:c r="G282" s="8">
        <x:v>44</x:v>
      </x:c>
      <x:c r="H282" s="15" t="s">
        <x:v>837</x:v>
      </x:c>
      <x:c r="I282" s="9">
        <x:f t="shared" si="4"/>
        <x:v>1.7443078657821211E-2</x:v>
      </x:c>
    </x:row>
    <x:row r="283">
      <x:c r="A283" s="5">
        <x:v>2024</x:v>
      </x:c>
      <x:c r="B283" s="15" t="s">
        <x:v>832</x:v>
      </x:c>
      <x:c r="C283" s="15" t="s">
        <x:v>833</x:v>
      </x:c>
      <x:c r="D283" s="8">
        <x:v>11502298775</x:v>
      </x:c>
      <x:c r="E283" s="6">
        <x:v>4471940</x:v>
      </x:c>
      <x:c r="F283" s="6">
        <x:v>4471930</x:v>
      </x:c>
      <x:c r="G283" s="8">
        <x:v>2572</x:v>
      </x:c>
      <x:c r="H283" s="15" t="s">
        <x:v>834</x:v>
      </x:c>
      <x:c r="I283" s="9">
        <x:f t="shared" si="4"/>
        <x:v>1</x:v>
      </x:c>
    </x:row>
    <x:row r="284">
      <x:c r="A284" s="5">
        <x:v>2024</x:v>
      </x:c>
      <x:c r="B284" s="15" t="s">
        <x:v>835</x:v>
      </x:c>
      <x:c r="C284" s="15" t="s">
        <x:v>843</x:v>
      </x:c>
      <x:c r="D284" s="8">
        <x:v>0</x:v>
      </x:c>
      <x:c r="E284" s="6">
        <x:v>4471940</x:v>
      </x:c>
      <x:c r="F284" s="6">
        <x:v>9530</x:v>
      </x:c>
      <x:c r="G284" s="8">
        <x:v>0</x:v>
      </x:c>
      <x:c r="H284" s="15" t="s">
        <x:v>837</x:v>
      </x:c>
      <x:c r="I284" s="9">
        <x:f t="shared" si="4"/>
        <x:v>0</x:v>
      </x:c>
    </x:row>
    <x:row r="285">
      <x:c r="A285" s="5">
        <x:v>2024</x:v>
      </x:c>
      <x:c r="B285" s="15" t="s">
        <x:v>835</x:v>
      </x:c>
      <x:c r="C285" s="15" t="s">
        <x:v>839</x:v>
      </x:c>
      <x:c r="D285" s="8">
        <x:v>0</x:v>
      </x:c>
      <x:c r="E285" s="6">
        <x:v>4471940</x:v>
      </x:c>
      <x:c r="F285" s="6">
        <x:v>22310</x:v>
      </x:c>
      <x:c r="G285" s="8">
        <x:v>0</x:v>
      </x:c>
      <x:c r="H285" s="15" t="s">
        <x:v>837</x:v>
      </x:c>
      <x:c r="I285" s="9">
        <x:f t="shared" si="4"/>
        <x:v>0</x:v>
      </x:c>
    </x:row>
    <x:row r="286">
      <x:c r="A286" s="5">
        <x:v>2024</x:v>
      </x:c>
      <x:c r="B286" s="15" t="s">
        <x:v>835</x:v>
      </x:c>
      <x:c r="C286" s="15" t="s">
        <x:v>846</x:v>
      </x:c>
      <x:c r="D286" s="8">
        <x:v>1475750</x:v>
      </x:c>
      <x:c r="E286" s="6">
        <x:v>4471940</x:v>
      </x:c>
      <x:c r="F286" s="6">
        <x:v>103360</x:v>
      </x:c>
      <x:c r="G286" s="8">
        <x:v>0</x:v>
      </x:c>
      <x:c r="H286" s="15" t="s">
        <x:v>837</x:v>
      </x:c>
      <x:c r="I286" s="9">
        <x:f t="shared" si="4"/>
        <x:v>1.2830044053520077E-4</x:v>
      </x:c>
    </x:row>
    <x:row r="287">
      <x:c r="A287" s="5">
        <x:v>2024</x:v>
      </x:c>
      <x:c r="B287" s="15" t="s">
        <x:v>835</x:v>
      </x:c>
      <x:c r="C287" s="15" t="s">
        <x:v>845</x:v>
      </x:c>
      <x:c r="D287" s="8">
        <x:v>23612029</x:v>
      </x:c>
      <x:c r="E287" s="6">
        <x:v>4471940</x:v>
      </x:c>
      <x:c r="F287" s="6">
        <x:v>90120</x:v>
      </x:c>
      <x:c r="G287" s="8">
        <x:v>5</x:v>
      </x:c>
      <x:c r="H287" s="15" t="s">
        <x:v>837</x:v>
      </x:c>
      <x:c r="I287" s="9">
        <x:f t="shared" si="4"/>
        <x:v>2.0528095697983639E-3</x:v>
      </x:c>
    </x:row>
    <x:row r="288">
      <x:c r="A288" s="5">
        <x:v>2024</x:v>
      </x:c>
      <x:c r="B288" s="15" t="s">
        <x:v>835</x:v>
      </x:c>
      <x:c r="C288" s="15" t="s">
        <x:v>842</x:v>
      </x:c>
      <x:c r="D288" s="8">
        <x:v>73154752</x:v>
      </x:c>
      <x:c r="E288" s="6">
        <x:v>4471940</x:v>
      </x:c>
      <x:c r="F288" s="6">
        <x:v>117680</x:v>
      </x:c>
      <x:c r="G288" s="8">
        <x:v>16</x:v>
      </x:c>
      <x:c r="H288" s="15" t="s">
        <x:v>837</x:v>
      </x:c>
      <x:c r="I288" s="9">
        <x:f t="shared" si="4"/>
        <x:v>6.3600114577966179E-3</x:v>
      </x:c>
    </x:row>
    <x:row r="289">
      <x:c r="A289" s="5">
        <x:v>2024</x:v>
      </x:c>
      <x:c r="B289" s="15" t="s">
        <x:v>835</x:v>
      </x:c>
      <x:c r="C289" s="15" t="s">
        <x:v>844</x:v>
      </x:c>
      <x:c r="D289" s="8">
        <x:v>79042705</x:v>
      </x:c>
      <x:c r="E289" s="6">
        <x:v>4471940</x:v>
      </x:c>
      <x:c r="F289" s="6">
        <x:v>890150</x:v>
      </x:c>
      <x:c r="G289" s="8">
        <x:v>18</x:v>
      </x:c>
      <x:c r="H289" s="15" t="s">
        <x:v>837</x:v>
      </x:c>
      <x:c r="I289" s="9">
        <x:f t="shared" si="4"/>
        <x:v>6.8719050466501206E-3</x:v>
      </x:c>
    </x:row>
    <x:row r="290">
      <x:c r="A290" s="5">
        <x:v>2024</x:v>
      </x:c>
      <x:c r="B290" s="15" t="s">
        <x:v>835</x:v>
      </x:c>
      <x:c r="C290" s="15" t="s">
        <x:v>840</x:v>
      </x:c>
      <x:c r="D290" s="8">
        <x:v>504131533</x:v>
      </x:c>
      <x:c r="E290" s="6">
        <x:v>4471940</x:v>
      </x:c>
      <x:c r="F290" s="6">
        <x:v>1112480</x:v>
      </x:c>
      <x:c r="G290" s="8">
        <x:v>113</x:v>
      </x:c>
      <x:c r="H290" s="15" t="s">
        <x:v>837</x:v>
      </x:c>
      <x:c r="I290" s="9">
        <x:f t="shared" si="4"/>
        <x:v>4.3828763524706826E-2</x:v>
      </x:c>
    </x:row>
    <x:row r="291">
      <x:c r="A291" s="5">
        <x:v>2024</x:v>
      </x:c>
      <x:c r="B291" s="15" t="s">
        <x:v>835</x:v>
      </x:c>
      <x:c r="C291" s="15" t="s">
        <x:v>848</x:v>
      </x:c>
      <x:c r="D291" s="8">
        <x:v>952558801</x:v>
      </x:c>
      <x:c r="E291" s="6">
        <x:v>4471940</x:v>
      </x:c>
      <x:c r="F291" s="6">
        <x:v>2818150</x:v>
      </x:c>
      <x:c r="G291" s="8">
        <x:v>213</x:v>
      </x:c>
      <x:c r="H291" s="15" t="s">
        <x:v>834</x:v>
      </x:c>
      <x:c r="I291" s="9">
        <x:f t="shared" si="4"/>
        <x:v>8.281464597932077E-2</x:v>
      </x:c>
    </x:row>
    <x:row r="292">
      <x:c r="A292" s="5">
        <x:v>2024</x:v>
      </x:c>
      <x:c r="B292" s="15" t="s">
        <x:v>835</x:v>
      </x:c>
      <x:c r="C292" s="15" t="s">
        <x:v>836</x:v>
      </x:c>
      <x:c r="D292" s="8">
        <x:v>240187694</x:v>
      </x:c>
      <x:c r="E292" s="6">
        <x:v>4471940</x:v>
      </x:c>
      <x:c r="F292" s="6">
        <x:v>2278470</x:v>
      </x:c>
      <x:c r="G292" s="8">
        <x:v>54</x:v>
      </x:c>
      <x:c r="H292" s="15" t="s">
        <x:v>837</x:v>
      </x:c>
      <x:c r="I292" s="9">
        <x:f t="shared" si="4"/>
        <x:v>2.0881712316675585E-2</x:v>
      </x:c>
    </x:row>
    <x:row r="293">
      <x:c r="A293" s="5">
        <x:v>2024</x:v>
      </x:c>
      <x:c r="B293" s="15" t="s">
        <x:v>835</x:v>
      </x:c>
      <x:c r="C293" s="15" t="s">
        <x:v>841</x:v>
      </x:c>
      <x:c r="D293" s="8">
        <x:v>13721384</x:v>
      </x:c>
      <x:c r="E293" s="6">
        <x:v>4471940</x:v>
      </x:c>
      <x:c r="F293" s="6">
        <x:v>19830</x:v>
      </x:c>
      <x:c r="G293" s="8">
        <x:v>3</x:v>
      </x:c>
      <x:c r="H293" s="15" t="s">
        <x:v>837</x:v>
      </x:c>
      <x:c r="I293" s="9">
        <x:f t="shared" si="4"/>
        <x:v>1.1929253680858243E-3</x:v>
      </x:c>
    </x:row>
    <x:row r="294">
      <x:c r="A294" s="5">
        <x:v>2024</x:v>
      </x:c>
      <x:c r="B294" s="15" t="s">
        <x:v>835</x:v>
      </x:c>
      <x:c r="C294" s="15" t="s">
        <x:v>838</x:v>
      </x:c>
      <x:c r="D294" s="8">
        <x:v>14623366</x:v>
      </x:c>
      <x:c r="E294" s="6">
        <x:v>4471940</x:v>
      </x:c>
      <x:c r="F294" s="6">
        <x:v>17520</x:v>
      </x:c>
      <x:c r="G294" s="8">
        <x:v>3</x:v>
      </x:c>
      <x:c r="H294" s="15" t="s">
        <x:v>837</x:v>
      </x:c>
      <x:c r="I294" s="9">
        <x:f t="shared" si="4"/>
        <x:v>1.2713429103218543E-3</x:v>
      </x:c>
    </x:row>
    <x:row r="295">
      <x:c r="A295" s="5">
        <x:v>2024</x:v>
      </x:c>
      <x:c r="B295" s="15" t="s">
        <x:v>835</x:v>
      </x:c>
      <x:c r="C295" s="15" t="s">
        <x:v>847</x:v>
      </x:c>
      <x:c r="D295" s="8">
        <x:v>2609588</x:v>
      </x:c>
      <x:c r="E295" s="6">
        <x:v>4471940</x:v>
      </x:c>
      <x:c r="F295" s="6">
        <x:v>159680</x:v>
      </x:c>
      <x:c r="G295" s="8">
        <x:v>1</x:v>
      </x:c>
      <x:c r="H295" s="15" t="s">
        <x:v>837</x:v>
      </x:c>
      <x:c r="I295" s="9">
        <x:f t="shared" si="4"/>
        <x:v>2.2687534475038012E-4</x:v>
      </x:c>
    </x:row>
    <x:row r="296">
      <x:c r="A296" s="5">
        <x:v>2024</x:v>
      </x:c>
      <x:c r="B296" s="15" t="s">
        <x:v>849</x:v>
      </x:c>
      <x:c r="C296" s="15" t="s">
        <x:v>854</x:v>
      </x:c>
      <x:c r="D296" s="8">
        <x:v>376924798</x:v>
      </x:c>
      <x:c r="E296" s="6">
        <x:v>4471940</x:v>
      </x:c>
      <x:c r="F296" s="6">
        <x:v>291570</x:v>
      </x:c>
      <x:c r="G296" s="8">
        <x:v>84</x:v>
      </x:c>
      <x:c r="H296" s="15" t="s">
        <x:v>837</x:v>
      </x:c>
      <x:c r="I296" s="9">
        <x:f t="shared" si="4"/>
        <x:v>3.2769518978174865E-2</x:v>
      </x:c>
    </x:row>
    <x:row r="297">
      <x:c r="A297" s="5">
        <x:v>2024</x:v>
      </x:c>
      <x:c r="B297" s="15" t="s">
        <x:v>849</x:v>
      </x:c>
      <x:c r="C297" s="15" t="s">
        <x:v>851</x:v>
      </x:c>
      <x:c r="D297" s="8">
        <x:v>458326906</x:v>
      </x:c>
      <x:c r="E297" s="6">
        <x:v>4471940</x:v>
      </x:c>
      <x:c r="F297" s="6">
        <x:v>132790</x:v>
      </x:c>
      <x:c r="G297" s="8">
        <x:v>102</x:v>
      </x:c>
      <x:c r="H297" s="15" t="s">
        <x:v>837</x:v>
      </x:c>
      <x:c r="I297" s="9">
        <x:f t="shared" si="4"/>
        <x:v>3.9846548500041025E-2</x:v>
      </x:c>
    </x:row>
    <x:row r="298">
      <x:c r="A298" s="5">
        <x:v>2024</x:v>
      </x:c>
      <x:c r="B298" s="15" t="s">
        <x:v>849</x:v>
      </x:c>
      <x:c r="C298" s="15" t="s">
        <x:v>852</x:v>
      </x:c>
      <x:c r="D298" s="8">
        <x:v>1235943795</x:v>
      </x:c>
      <x:c r="E298" s="6">
        <x:v>4471940</x:v>
      </x:c>
      <x:c r="F298" s="6">
        <x:v>600910</x:v>
      </x:c>
      <x:c r="G298" s="8">
        <x:v>276</x:v>
      </x:c>
      <x:c r="H298" s="15" t="s">
        <x:v>834</x:v>
      </x:c>
      <x:c r="I298" s="9">
        <x:f t="shared" si="4"/>
        <x:v>0.10745189454531448</x:v>
      </x:c>
    </x:row>
    <x:row r="299">
      <x:c r="A299" s="5">
        <x:v>2024</x:v>
      </x:c>
      <x:c r="B299" s="15" t="s">
        <x:v>849</x:v>
      </x:c>
      <x:c r="C299" s="15" t="s">
        <x:v>850</x:v>
      </x:c>
      <x:c r="D299" s="8">
        <x:v>0</x:v>
      </x:c>
      <x:c r="E299" s="6">
        <x:v>4471940</x:v>
      </x:c>
      <x:c r="F299" s="6">
        <x:v>9190</x:v>
      </x:c>
      <x:c r="G299" s="8">
        <x:v>0</x:v>
      </x:c>
      <x:c r="H299" s="15" t="s">
        <x:v>837</x:v>
      </x:c>
      <x:c r="I299" s="9">
        <x:f t="shared" si="4"/>
        <x:v>0</x:v>
      </x:c>
    </x:row>
    <x:row r="300">
      <x:c r="A300" s="5">
        <x:v>2024</x:v>
      </x:c>
      <x:c r="B300" s="15" t="s">
        <x:v>849</x:v>
      </x:c>
      <x:c r="C300" s="15" t="s">
        <x:v>853</x:v>
      </x:c>
      <x:c r="D300" s="8">
        <x:v>400692091</x:v>
      </x:c>
      <x:c r="E300" s="6">
        <x:v>4471940</x:v>
      </x:c>
      <x:c r="F300" s="6">
        <x:v>220660</x:v>
      </x:c>
      <x:c r="G300" s="8">
        <x:v>90</x:v>
      </x:c>
      <x:c r="H300" s="15" t="s">
        <x:v>837</x:v>
      </x:c>
      <x:c r="I300" s="9">
        <x:f t="shared" si="4"/>
        <x:v>3.4835827067098597E-2</x:v>
      </x:c>
    </x:row>
    <x:row r="301">
      <x:c r="A301" s="5">
        <x:v>2024</x:v>
      </x:c>
      <x:c r="B301" s="15" t="s">
        <x:v>855</x:v>
      </x:c>
      <x:c r="C301" s="15" t="s">
        <x:v>856</x:v>
      </x:c>
      <x:c r="D301" s="8">
        <x:v>29945450</x:v>
      </x:c>
      <x:c r="E301" s="6">
        <x:v>4471940</x:v>
      </x:c>
      <x:c r="F301" s="6">
        <x:v>1194930</x:v>
      </x:c>
      <x:c r="G301" s="8">
        <x:v>7</x:v>
      </x:c>
      <x:c r="H301" s="15" t="s">
        <x:v>837</x:v>
      </x:c>
      <x:c r="I301" s="9">
        <x:f t="shared" si="4"/>
        <x:v>2.6034317648821461E-3</x:v>
      </x:c>
    </x:row>
    <x:row r="302">
      <x:c r="A302" s="5">
        <x:v>2024</x:v>
      </x:c>
      <x:c r="B302" s="15" t="s">
        <x:v>855</x:v>
      </x:c>
      <x:c r="C302" s="15" t="s">
        <x:v>866</x:v>
      </x:c>
      <x:c r="D302" s="8">
        <x:v>531013581</x:v>
      </x:c>
      <x:c r="E302" s="6">
        <x:v>4471940</x:v>
      </x:c>
      <x:c r="F302" s="6">
        <x:v>3642680</x:v>
      </x:c>
      <x:c r="G302" s="8">
        <x:v>119</x:v>
      </x:c>
      <x:c r="H302" s="15" t="s">
        <x:v>837</x:v>
      </x:c>
      <x:c r="I302" s="9">
        <x:f t="shared" si="4"/>
        <x:v>4.6165865744519405E-2</x:v>
      </x:c>
    </x:row>
    <x:row r="303">
      <x:c r="A303" s="5">
        <x:v>2024</x:v>
      </x:c>
      <x:c r="B303" s="15" t="s">
        <x:v>855</x:v>
      </x:c>
      <x:c r="C303" s="15" t="s">
        <x:v>862</x:v>
      </x:c>
      <x:c r="D303" s="8">
        <x:v>405471077</x:v>
      </x:c>
      <x:c r="E303" s="6">
        <x:v>4471940</x:v>
      </x:c>
      <x:c r="F303" s="6">
        <x:v>4261960</x:v>
      </x:c>
      <x:c r="G303" s="8">
        <x:v>91</x:v>
      </x:c>
      <x:c r="H303" s="15" t="s">
        <x:v>837</x:v>
      </x:c>
      <x:c r="I303" s="9">
        <x:f t="shared" si="4"/>
        <x:v>3.5251308015166731E-2</x:v>
      </x:c>
    </x:row>
    <x:row r="304">
      <x:c r="A304" s="5">
        <x:v>2024</x:v>
      </x:c>
      <x:c r="B304" s="15" t="s">
        <x:v>855</x:v>
      </x:c>
      <x:c r="C304" s="15" t="s">
        <x:v>859</x:v>
      </x:c>
      <x:c r="D304" s="8">
        <x:v>9313796179</x:v>
      </x:c>
      <x:c r="E304" s="6">
        <x:v>4471940</x:v>
      </x:c>
      <x:c r="F304" s="6">
        <x:v>4463530</x:v>
      </x:c>
      <x:c r="G304" s="8">
        <x:v>2083</x:v>
      </x:c>
      <x:c r="H304" s="15" t="s">
        <x:v>834</x:v>
      </x:c>
      <x:c r="I304" s="9">
        <x:f t="shared" si="4"/>
        <x:v>0.80973345947536479</x:v>
      </x:c>
    </x:row>
    <x:row r="305">
      <x:c r="A305" s="5">
        <x:v>2024</x:v>
      </x:c>
      <x:c r="B305" s="15" t="s">
        <x:v>855</x:v>
      </x:c>
      <x:c r="C305" s="15" t="s">
        <x:v>868</x:v>
      </x:c>
      <x:c r="D305" s="8">
        <x:v>209713177</x:v>
      </x:c>
      <x:c r="E305" s="6">
        <x:v>4471940</x:v>
      </x:c>
      <x:c r="F305" s="6">
        <x:v>1209260</x:v>
      </x:c>
      <x:c r="G305" s="8">
        <x:v>47</x:v>
      </x:c>
      <x:c r="H305" s="15" t="s">
        <x:v>837</x:v>
      </x:c>
      <x:c r="I305" s="9">
        <x:f t="shared" si="4"/>
        <x:v>1.8232283920133173E-2</x:v>
      </x:c>
    </x:row>
    <x:row r="306">
      <x:c r="A306" s="5">
        <x:v>2024</x:v>
      </x:c>
      <x:c r="B306" s="15" t="s">
        <x:v>855</x:v>
      </x:c>
      <x:c r="C306" s="15" t="s">
        <x:v>865</x:v>
      </x:c>
      <x:c r="D306" s="8">
        <x:v>2263563722</x:v>
      </x:c>
      <x:c r="E306" s="6">
        <x:v>4471940</x:v>
      </x:c>
      <x:c r="F306" s="6">
        <x:v>3631070</x:v>
      </x:c>
      <x:c r="G306" s="8">
        <x:v>506</x:v>
      </x:c>
      <x:c r="H306" s="15" t="s">
        <x:v>837</x:v>
      </x:c>
      <x:c r="I306" s="9">
        <x:f t="shared" si="4"/>
        <x:v>0.19679229050455613</x:v>
      </x:c>
    </x:row>
    <x:row r="307">
      <x:c r="A307" s="5">
        <x:v>2024</x:v>
      </x:c>
      <x:c r="B307" s="15" t="s">
        <x:v>855</x:v>
      </x:c>
      <x:c r="C307" s="15" t="s">
        <x:v>860</x:v>
      </x:c>
      <x:c r="D307" s="8">
        <x:v>244499429</x:v>
      </x:c>
      <x:c r="E307" s="6">
        <x:v>4471940</x:v>
      </x:c>
      <x:c r="F307" s="6">
        <x:v>4141750</x:v>
      </x:c>
      <x:c r="G307" s="8">
        <x:v>55</x:v>
      </x:c>
      <x:c r="H307" s="15" t="s">
        <x:v>837</x:v>
      </x:c>
      <x:c r="I307" s="9">
        <x:f t="shared" si="4"/>
        <x:v>2.1256570863157742E-2</x:v>
      </x:c>
    </x:row>
    <x:row r="308">
      <x:c r="A308" s="5">
        <x:v>2024</x:v>
      </x:c>
      <x:c r="B308" s="15" t="s">
        <x:v>855</x:v>
      </x:c>
      <x:c r="C308" s="15" t="s">
        <x:v>857</x:v>
      </x:c>
      <x:c r="D308" s="8">
        <x:v>56862615</x:v>
      </x:c>
      <x:c r="E308" s="6">
        <x:v>4471940</x:v>
      </x:c>
      <x:c r="F308" s="6">
        <x:v>1441380</x:v>
      </x:c>
      <x:c r="G308" s="8">
        <x:v>13</x:v>
      </x:c>
      <x:c r="H308" s="15" t="s">
        <x:v>837</x:v>
      </x:c>
      <x:c r="I308" s="9">
        <x:f t="shared" si="4"/>
        <x:v>4.9435870265854753E-3</x:v>
      </x:c>
    </x:row>
    <x:row r="309">
      <x:c r="A309" s="5">
        <x:v>2024</x:v>
      </x:c>
      <x:c r="B309" s="15" t="s">
        <x:v>855</x:v>
      </x:c>
      <x:c r="C309" s="15" t="s">
        <x:v>858</x:v>
      </x:c>
      <x:c r="D309" s="8">
        <x:v>0</x:v>
      </x:c>
      <x:c r="E309" s="6">
        <x:v>4471940</x:v>
      </x:c>
      <x:c r="F309" s="6">
        <x:v>67960</x:v>
      </x:c>
      <x:c r="G309" s="8">
        <x:v>0</x:v>
      </x:c>
      <x:c r="H309" s="15" t="s">
        <x:v>837</x:v>
      </x:c>
      <x:c r="I309" s="9">
        <x:f t="shared" si="4"/>
        <x:v>0</x:v>
      </x:c>
    </x:row>
    <x:row r="310">
      <x:c r="A310" s="5">
        <x:v>2024</x:v>
      </x:c>
      <x:c r="B310" s="15" t="s">
        <x:v>855</x:v>
      </x:c>
      <x:c r="C310" s="15" t="s">
        <x:v>864</x:v>
      </x:c>
      <x:c r="D310" s="8">
        <x:v>177979258</x:v>
      </x:c>
      <x:c r="E310" s="6">
        <x:v>4471940</x:v>
      </x:c>
      <x:c r="F310" s="6">
        <x:v>1793350</x:v>
      </x:c>
      <x:c r="G310" s="8">
        <x:v>40</x:v>
      </x:c>
      <x:c r="H310" s="15" t="s">
        <x:v>837</x:v>
      </x:c>
      <x:c r="I310" s="9">
        <x:f t="shared" si="4"/>
        <x:v>1.5473364192802408E-2</x:v>
      </x:c>
    </x:row>
    <x:row r="311">
      <x:c r="A311" s="5">
        <x:v>2024</x:v>
      </x:c>
      <x:c r="B311" s="15" t="s">
        <x:v>855</x:v>
      </x:c>
      <x:c r="C311" s="15" t="s">
        <x:v>867</x:v>
      </x:c>
      <x:c r="D311" s="8">
        <x:v>2085575563</x:v>
      </x:c>
      <x:c r="E311" s="6">
        <x:v>4471940</x:v>
      </x:c>
      <x:c r="F311" s="6">
        <x:v>3555180</x:v>
      </x:c>
      <x:c r="G311" s="8">
        <x:v>466</x:v>
      </x:c>
      <x:c r="H311" s="15" t="s">
        <x:v>837</x:v>
      </x:c>
      <x:c r="I311" s="9">
        <x:f t="shared" si="4"/>
        <x:v>0.18131815246644034</x:v>
      </x:c>
    </x:row>
    <x:row r="312">
      <x:c r="A312" s="5">
        <x:v>2024</x:v>
      </x:c>
      <x:c r="B312" s="15" t="s">
        <x:v>855</x:v>
      </x:c>
      <x:c r="C312" s="15" t="s">
        <x:v>861</x:v>
      </x:c>
      <x:c r="D312" s="8">
        <x:v>3074820425</x:v>
      </x:c>
      <x:c r="E312" s="6">
        <x:v>4471940</x:v>
      </x:c>
      <x:c r="F312" s="6">
        <x:v>4420070</x:v>
      </x:c>
      <x:c r="G312" s="8">
        <x:v>688</x:v>
      </x:c>
      <x:c r="H312" s="15" t="s">
        <x:v>837</x:v>
      </x:c>
      <x:c r="I312" s="9">
        <x:f t="shared" si="4"/>
        <x:v>0.26732225315543501</x:v>
      </x:c>
    </x:row>
    <x:row r="313">
      <x:c r="A313" s="10">
        <x:v>2024</x:v>
      </x:c>
      <x:c r="B313" s="16" t="s">
        <x:v>855</x:v>
      </x:c>
      <x:c r="C313" s="16" t="s">
        <x:v>863</x:v>
      </x:c>
      <x:c r="D313" s="13">
        <x:v>234351881</x:v>
      </x:c>
      <x:c r="E313" s="11">
        <x:v>4471940</x:v>
      </x:c>
      <x:c r="F313" s="11">
        <x:v>1131030</x:v>
      </x:c>
      <x:c r="G313" s="13">
        <x:v>52</x:v>
      </x:c>
      <x:c r="H313" s="16" t="s">
        <x:v>837</x:v>
      </x:c>
      <x:c r="I313" s="14">
        <x:f t="shared" si="4"/>
        <x:v>2.037435173474704E-2</x:v>
      </x:c>
    </x:row>
  </x:sheetData>
  <x:mergeCells>
    <x:mergeCell ref="A1:I1"/>
  </x:mergeCells>
  <x:pageMargins left="0.7" right="0.7" top="0.75" bottom="0.75" header="0.3" footer="0.3"/>
</x:worksheet>
</file>

<file path=xl/worksheets/sheet8.xml><?xml version="1.0" encoding="utf-8"?>
<x:worksheet xmlns:x="http://schemas.openxmlformats.org/spreadsheetml/2006/main">
  <x:sheetViews>
    <x:sheetView showGridLines="0" workbookViewId="0"/>
  </x:sheetViews>
  <x:sheetFormatPr baseColWidth="10" defaultColWidth="8.88671875" defaultRowHeight="14.399999618530273"/>
  <x:cols>
    <x:col min="1" max="1" width="19" customWidth="1"/>
    <x:col min="2" max="2" width="58" customWidth="1"/>
    <x:col min="3" max="5" width="19" customWidth="1"/>
  </x:cols>
  <x:sheetData>
    <x:row r="1" ht="25.799999237060547">
      <x:c r="A1" s="58" t="s">
        <x:v>869</x:v>
      </x:c>
      <x:c r="B1" s="58"/>
      <x:c r="C1" s="58"/>
      <x:c r="D1" s="58"/>
      <x:c r="E1" s="58"/>
    </x:row>
    <x:row r="2">
      <x:c r="A2" s="1"/>
      <x:c r="B2" s="1"/>
      <x:c r="C2" s="1"/>
      <x:c r="D2" s="1"/>
      <x:c r="E2" s="1"/>
    </x:row>
    <x:row r="3" ht="28.799999237060547">
      <x:c r="A3" s="2" t="s">
        <x:v>131</x:v>
      </x:c>
      <x:c r="B3" s="3" t="s">
        <x:v>132</x:v>
      </x:c>
      <x:c r="C3" s="3" t="s">
        <x:v>870</x:v>
      </x:c>
      <x:c r="D3" s="3" t="s">
        <x:v>871</x:v>
      </x:c>
      <x:c r="E3" s="4" t="s">
        <x:v>133</x:v>
      </x:c>
    </x:row>
    <x:row r="4">
      <x:c r="A4" s="5">
        <x:v>1</x:v>
      </x:c>
      <x:c r="B4" s="15" t="s">
        <x:v>136</x:v>
      </x:c>
      <x:c r="C4" s="6">
        <x:v>656970</x:v>
      </x:c>
      <x:c r="D4" s="6">
        <x:v>4471940</x:v>
      </x:c>
      <x:c r="E4" s="9">
        <x:v>0.14691000000000001</x:v>
      </x:c>
    </x:row>
    <x:row r="5">
      <x:c r="A5" s="5">
        <x:v>2</x:v>
      </x:c>
      <x:c r="B5" s="15" t="s">
        <x:v>139</x:v>
      </x:c>
      <x:c r="C5" s="6">
        <x:v>557040</x:v>
      </x:c>
      <x:c r="D5" s="6">
        <x:v>4471940</x:v>
      </x:c>
      <x:c r="E5" s="9">
        <x:v>0.12456200000000001</x:v>
      </x:c>
    </x:row>
    <x:row r="6">
      <x:c r="A6" s="5">
        <x:v>3</x:v>
      </x:c>
      <x:c r="B6" s="15" t="s">
        <x:v>142</x:v>
      </x:c>
      <x:c r="C6" s="6">
        <x:v>475780</x:v>
      </x:c>
      <x:c r="D6" s="6">
        <x:v>4471940</x:v>
      </x:c>
      <x:c r="E6" s="9">
        <x:v>0.106392</x:v>
      </x:c>
    </x:row>
    <x:row r="7">
      <x:c r="A7" s="5">
        <x:v>4</x:v>
      </x:c>
      <x:c r="B7" s="15" t="s">
        <x:v>145</x:v>
      </x:c>
      <x:c r="C7" s="6">
        <x:v>447880</x:v>
      </x:c>
      <x:c r="D7" s="6">
        <x:v>4471940</x:v>
      </x:c>
      <x:c r="E7" s="9">
        <x:v>0.10015400000000001</x:v>
      </x:c>
    </x:row>
    <x:row r="8">
      <x:c r="A8" s="5">
        <x:v>5</x:v>
      </x:c>
      <x:c r="B8" s="15" t="s">
        <x:v>148</x:v>
      </x:c>
      <x:c r="C8" s="6">
        <x:v>443450</x:v>
      </x:c>
      <x:c r="D8" s="6">
        <x:v>4471940</x:v>
      </x:c>
      <x:c r="E8" s="9">
        <x:v>9.9162E-2</x:v>
      </x:c>
    </x:row>
    <x:row r="9">
      <x:c r="A9" s="5">
        <x:v>6</x:v>
      </x:c>
      <x:c r="B9" s="15" t="s">
        <x:v>872</x:v>
      </x:c>
      <x:c r="C9" s="6">
        <x:v>286240</x:v>
      </x:c>
      <x:c r="D9" s="6">
        <x:v>4471940</x:v>
      </x:c>
      <x:c r="E9" s="9">
        <x:v>6.4008999999999996E-2</x:v>
      </x:c>
    </x:row>
    <x:row r="10">
      <x:c r="A10" s="5">
        <x:v>7</x:v>
      </x:c>
      <x:c r="B10" s="15" t="s">
        <x:v>873</x:v>
      </x:c>
      <x:c r="C10" s="6">
        <x:v>216850</x:v>
      </x:c>
      <x:c r="D10" s="6">
        <x:v>4471940</x:v>
      </x:c>
      <x:c r="E10" s="9">
        <x:v>4.8490999999999999E-2</x:v>
      </x:c>
    </x:row>
    <x:row r="11">
      <x:c r="A11" s="5">
        <x:v>8</x:v>
      </x:c>
      <x:c r="B11" s="15" t="s">
        <x:v>874</x:v>
      </x:c>
      <x:c r="C11" s="6">
        <x:v>191770</x:v>
      </x:c>
      <x:c r="D11" s="6">
        <x:v>4471940</x:v>
      </x:c>
      <x:c r="E11" s="9">
        <x:v>4.2882000000000003E-2</x:v>
      </x:c>
    </x:row>
    <x:row r="12">
      <x:c r="A12" s="5">
        <x:v>9</x:v>
      </x:c>
      <x:c r="B12" s="15" t="s">
        <x:v>875</x:v>
      </x:c>
      <x:c r="C12" s="6">
        <x:v>189520</x:v>
      </x:c>
      <x:c r="D12" s="6">
        <x:v>4471940</x:v>
      </x:c>
      <x:c r="E12" s="9">
        <x:v>4.2380000000000001E-2</x:v>
      </x:c>
    </x:row>
    <x:row r="13">
      <x:c r="A13" s="5">
        <x:v>10</x:v>
      </x:c>
      <x:c r="B13" s="15" t="s">
        <x:v>876</x:v>
      </x:c>
      <x:c r="C13" s="6">
        <x:v>183720</x:v>
      </x:c>
      <x:c r="D13" s="6">
        <x:v>4471940</x:v>
      </x:c>
      <x:c r="E13" s="9">
        <x:v>4.1082E-2</x:v>
      </x:c>
    </x:row>
    <x:row r="14">
      <x:c r="A14" s="5">
        <x:v>11</x:v>
      </x:c>
      <x:c r="B14" s="15" t="s">
        <x:v>877</x:v>
      </x:c>
      <x:c r="C14" s="6">
        <x:v>179640</x:v>
      </x:c>
      <x:c r="D14" s="6">
        <x:v>4471940</x:v>
      </x:c>
      <x:c r="E14" s="9">
        <x:v>4.0169999999999997E-2</x:v>
      </x:c>
    </x:row>
    <x:row r="15">
      <x:c r="A15" s="5">
        <x:v>12</x:v>
      </x:c>
      <x:c r="B15" s="15" t="s">
        <x:v>878</x:v>
      </x:c>
      <x:c r="C15" s="6">
        <x:v>175280</x:v>
      </x:c>
      <x:c r="D15" s="6">
        <x:v>4471940</x:v>
      </x:c>
      <x:c r="E15" s="9">
        <x:v>3.9196000000000002E-2</x:v>
      </x:c>
    </x:row>
    <x:row r="16">
      <x:c r="A16" s="5">
        <x:v>13</x:v>
      </x:c>
      <x:c r="B16" s="15" t="s">
        <x:v>879</x:v>
      </x:c>
      <x:c r="C16" s="6">
        <x:v>165240</x:v>
      </x:c>
      <x:c r="D16" s="6">
        <x:v>4471940</x:v>
      </x:c>
      <x:c r="E16" s="9">
        <x:v>3.6950999999999998E-2</x:v>
      </x:c>
    </x:row>
    <x:row r="17">
      <x:c r="A17" s="5">
        <x:v>14</x:v>
      </x:c>
      <x:c r="B17" s="15" t="s">
        <x:v>880</x:v>
      </x:c>
      <x:c r="C17" s="6">
        <x:v>155250</x:v>
      </x:c>
      <x:c r="D17" s="6">
        <x:v>4471940</x:v>
      </x:c>
      <x:c r="E17" s="9">
        <x:v>3.4715000000000003E-2</x:v>
      </x:c>
    </x:row>
    <x:row r="18">
      <x:c r="A18" s="5">
        <x:v>15</x:v>
      </x:c>
      <x:c r="B18" s="15" t="s">
        <x:v>881</x:v>
      </x:c>
      <x:c r="C18" s="6">
        <x:v>132590</x:v>
      </x:c>
      <x:c r="D18" s="6">
        <x:v>4471940</x:v>
      </x:c>
      <x:c r="E18" s="9">
        <x:v>2.9649999999999999E-2</x:v>
      </x:c>
    </x:row>
    <x:row r="19">
      <x:c r="A19" s="5">
        <x:v>16</x:v>
      </x:c>
      <x:c r="B19" s="15" t="s">
        <x:v>882</x:v>
      </x:c>
      <x:c r="C19" s="6">
        <x:v>106460</x:v>
      </x:c>
      <x:c r="D19" s="6">
        <x:v>4471940</x:v>
      </x:c>
      <x:c r="E19" s="9">
        <x:v>2.3805E-2</x:v>
      </x:c>
    </x:row>
    <x:row r="20">
      <x:c r="A20" s="5">
        <x:v>17</x:v>
      </x:c>
      <x:c r="B20" s="15" t="s">
        <x:v>883</x:v>
      </x:c>
      <x:c r="C20" s="6">
        <x:v>96830</x:v>
      </x:c>
      <x:c r="D20" s="6">
        <x:v>4471940</x:v>
      </x:c>
      <x:c r="E20" s="9">
        <x:v>2.1652999999999999E-2</x:v>
      </x:c>
    </x:row>
    <x:row r="21">
      <x:c r="A21" s="5">
        <x:v>18</x:v>
      </x:c>
      <x:c r="B21" s="15" t="s">
        <x:v>884</x:v>
      </x:c>
      <x:c r="C21" s="6">
        <x:v>63250</x:v>
      </x:c>
      <x:c r="D21" s="6">
        <x:v>4471940</x:v>
      </x:c>
      <x:c r="E21" s="9">
        <x:v>1.4144E-2</x:v>
      </x:c>
    </x:row>
    <x:row r="22">
      <x:c r="A22" s="5">
        <x:v>19</x:v>
      </x:c>
      <x:c r="B22" s="15" t="s">
        <x:v>885</x:v>
      </x:c>
      <x:c r="C22" s="6">
        <x:v>62740</x:v>
      </x:c>
      <x:c r="D22" s="6">
        <x:v>4471940</x:v>
      </x:c>
      <x:c r="E22" s="9">
        <x:v>1.4030000000000001E-2</x:v>
      </x:c>
    </x:row>
    <x:row r="23">
      <x:c r="A23" s="5">
        <x:v>20</x:v>
      </x:c>
      <x:c r="B23" s="15" t="s">
        <x:v>886</x:v>
      </x:c>
      <x:c r="C23" s="6">
        <x:v>62480</x:v>
      </x:c>
      <x:c r="D23" s="6">
        <x:v>4471940</x:v>
      </x:c>
      <x:c r="E23" s="9">
        <x:v>1.3972E-2</x:v>
      </x:c>
    </x:row>
    <x:row r="24">
      <x:c r="A24" s="5">
        <x:v>21</x:v>
      </x:c>
      <x:c r="B24" s="15" t="s">
        <x:v>887</x:v>
      </x:c>
      <x:c r="C24" s="6">
        <x:v>61920</x:v>
      </x:c>
      <x:c r="D24" s="6">
        <x:v>4471940</x:v>
      </x:c>
      <x:c r="E24" s="9">
        <x:v>1.3847E-2</x:v>
      </x:c>
    </x:row>
    <x:row r="25">
      <x:c r="A25" s="5">
        <x:v>22</x:v>
      </x:c>
      <x:c r="B25" s="15" t="s">
        <x:v>888</x:v>
      </x:c>
      <x:c r="C25" s="6">
        <x:v>59010</x:v>
      </x:c>
      <x:c r="D25" s="6">
        <x:v>4471940</x:v>
      </x:c>
      <x:c r="E25" s="9">
        <x:v>1.3195999999999999E-2</x:v>
      </x:c>
    </x:row>
    <x:row r="26">
      <x:c r="A26" s="5">
        <x:v>23</x:v>
      </x:c>
      <x:c r="B26" s="15" t="s">
        <x:v>889</x:v>
      </x:c>
      <x:c r="C26" s="6">
        <x:v>58690</x:v>
      </x:c>
      <x:c r="D26" s="6">
        <x:v>4471940</x:v>
      </x:c>
      <x:c r="E26" s="9">
        <x:v>1.3124E-2</x:v>
      </x:c>
    </x:row>
    <x:row r="27">
      <x:c r="A27" s="5">
        <x:v>24</x:v>
      </x:c>
      <x:c r="B27" s="15" t="s">
        <x:v>890</x:v>
      </x:c>
      <x:c r="C27" s="6">
        <x:v>56560</x:v>
      </x:c>
      <x:c r="D27" s="6">
        <x:v>4471940</x:v>
      </x:c>
      <x:c r="E27" s="9">
        <x:v>1.2648E-2</x:v>
      </x:c>
    </x:row>
    <x:row r="28">
      <x:c r="A28" s="5">
        <x:v>25</x:v>
      </x:c>
      <x:c r="B28" s="15" t="s">
        <x:v>891</x:v>
      </x:c>
      <x:c r="C28" s="6">
        <x:v>53800</x:v>
      </x:c>
      <x:c r="D28" s="6">
        <x:v>4471940</x:v>
      </x:c>
      <x:c r="E28" s="9">
        <x:v>1.2030000000000001E-2</x:v>
      </x:c>
    </x:row>
    <x:row r="29">
      <x:c r="A29" s="5">
        <x:v>26</x:v>
      </x:c>
      <x:c r="B29" s="15" t="s">
        <x:v>892</x:v>
      </x:c>
      <x:c r="C29" s="6">
        <x:v>52820</x:v>
      </x:c>
      <x:c r="D29" s="6">
        <x:v>4471940</x:v>
      </x:c>
      <x:c r="E29" s="9">
        <x:v>1.1811E-2</x:v>
      </x:c>
    </x:row>
    <x:row r="30">
      <x:c r="A30" s="5">
        <x:v>27</x:v>
      </x:c>
      <x:c r="B30" s="15" t="s">
        <x:v>893</x:v>
      </x:c>
      <x:c r="C30" s="6">
        <x:v>48820</x:v>
      </x:c>
      <x:c r="D30" s="6">
        <x:v>4471940</x:v>
      </x:c>
      <x:c r="E30" s="9">
        <x:v>1.0917E-2</x:v>
      </x:c>
    </x:row>
    <x:row r="31">
      <x:c r="A31" s="5">
        <x:v>28</x:v>
      </x:c>
      <x:c r="B31" s="15" t="s">
        <x:v>894</x:v>
      </x:c>
      <x:c r="C31" s="6">
        <x:v>44840</x:v>
      </x:c>
      <x:c r="D31" s="6">
        <x:v>4471940</x:v>
      </x:c>
      <x:c r="E31" s="9">
        <x:v>1.0026999999999999E-2</x:v>
      </x:c>
    </x:row>
    <x:row r="32">
      <x:c r="A32" s="5">
        <x:v>29</x:v>
      </x:c>
      <x:c r="B32" s="15" t="s">
        <x:v>895</x:v>
      </x:c>
      <x:c r="C32" s="6">
        <x:v>40130</x:v>
      </x:c>
      <x:c r="D32" s="6">
        <x:v>4471940</x:v>
      </x:c>
      <x:c r="E32" s="9">
        <x:v>8.9730000000000001E-3</x:v>
      </x:c>
    </x:row>
    <x:row r="33">
      <x:c r="A33" s="5">
        <x:v>30</x:v>
      </x:c>
      <x:c r="B33" s="15" t="s">
        <x:v>896</x:v>
      </x:c>
      <x:c r="C33" s="6">
        <x:v>30900</x:v>
      </x:c>
      <x:c r="D33" s="6">
        <x:v>4471940</x:v>
      </x:c>
      <x:c r="E33" s="9">
        <x:v>6.9100000000000003E-3</x:v>
      </x:c>
    </x:row>
    <x:row r="34">
      <x:c r="A34" s="5">
        <x:v>31</x:v>
      </x:c>
      <x:c r="B34" s="15" t="s">
        <x:v>897</x:v>
      </x:c>
      <x:c r="C34" s="6">
        <x:v>29740</x:v>
      </x:c>
      <x:c r="D34" s="6">
        <x:v>4471940</x:v>
      </x:c>
      <x:c r="E34" s="9">
        <x:v>6.6499999999999997E-3</x:v>
      </x:c>
    </x:row>
    <x:row r="35">
      <x:c r="A35" s="5">
        <x:v>32</x:v>
      </x:c>
      <x:c r="B35" s="15" t="s">
        <x:v>898</x:v>
      </x:c>
      <x:c r="C35" s="6">
        <x:v>29190</x:v>
      </x:c>
      <x:c r="D35" s="6">
        <x:v>4471940</x:v>
      </x:c>
      <x:c r="E35" s="9">
        <x:v>6.5279999999999999E-3</x:v>
      </x:c>
    </x:row>
    <x:row r="36">
      <x:c r="A36" s="5">
        <x:v>33</x:v>
      </x:c>
      <x:c r="B36" s="15" t="s">
        <x:v>899</x:v>
      </x:c>
      <x:c r="C36" s="6">
        <x:v>28420</x:v>
      </x:c>
      <x:c r="D36" s="6">
        <x:v>4471940</x:v>
      </x:c>
      <x:c r="E36" s="9">
        <x:v>6.3559999999999997E-3</x:v>
      </x:c>
    </x:row>
    <x:row r="37">
      <x:c r="A37" s="5">
        <x:v>34</x:v>
      </x:c>
      <x:c r="B37" s="15" t="s">
        <x:v>900</x:v>
      </x:c>
      <x:c r="C37" s="6">
        <x:v>28030</x:v>
      </x:c>
      <x:c r="D37" s="6">
        <x:v>4471940</x:v>
      </x:c>
      <x:c r="E37" s="9">
        <x:v>6.2680000000000001E-3</x:v>
      </x:c>
    </x:row>
    <x:row r="38">
      <x:c r="A38" s="5">
        <x:v>35</x:v>
      </x:c>
      <x:c r="B38" s="15" t="s">
        <x:v>901</x:v>
      </x:c>
      <x:c r="C38" s="6">
        <x:v>26600</x:v>
      </x:c>
      <x:c r="D38" s="6">
        <x:v>4471940</x:v>
      </x:c>
      <x:c r="E38" s="9">
        <x:v>5.9480000000000002E-3</x:v>
      </x:c>
    </x:row>
    <x:row r="39">
      <x:c r="A39" s="5">
        <x:v>36</x:v>
      </x:c>
      <x:c r="B39" s="15" t="s">
        <x:v>902</x:v>
      </x:c>
      <x:c r="C39" s="6">
        <x:v>25730</x:v>
      </x:c>
      <x:c r="D39" s="6">
        <x:v>4471940</x:v>
      </x:c>
      <x:c r="E39" s="9">
        <x:v>5.7530000000000003E-3</x:v>
      </x:c>
    </x:row>
    <x:row r="40">
      <x:c r="A40" s="5">
        <x:v>37</x:v>
      </x:c>
      <x:c r="B40" s="15" t="s">
        <x:v>903</x:v>
      </x:c>
      <x:c r="C40" s="6">
        <x:v>25180</x:v>
      </x:c>
      <x:c r="D40" s="6">
        <x:v>4471940</x:v>
      </x:c>
      <x:c r="E40" s="9">
        <x:v>5.6309999999999997E-3</x:v>
      </x:c>
    </x:row>
    <x:row r="41">
      <x:c r="A41" s="5">
        <x:v>38</x:v>
      </x:c>
      <x:c r="B41" s="15" t="s">
        <x:v>904</x:v>
      </x:c>
      <x:c r="C41" s="6">
        <x:v>21490</x:v>
      </x:c>
      <x:c r="D41" s="6">
        <x:v>4471940</x:v>
      </x:c>
      <x:c r="E41" s="9">
        <x:v>4.8060000000000004E-3</x:v>
      </x:c>
    </x:row>
    <x:row r="42">
      <x:c r="A42" s="5">
        <x:v>39</x:v>
      </x:c>
      <x:c r="B42" s="15" t="s">
        <x:v>905</x:v>
      </x:c>
      <x:c r="C42" s="6">
        <x:v>20550</x:v>
      </x:c>
      <x:c r="D42" s="6">
        <x:v>4471940</x:v>
      </x:c>
      <x:c r="E42" s="9">
        <x:v>4.5960000000000003E-3</x:v>
      </x:c>
    </x:row>
    <x:row r="43">
      <x:c r="A43" s="5">
        <x:v>40</x:v>
      </x:c>
      <x:c r="B43" s="15" t="s">
        <x:v>906</x:v>
      </x:c>
      <x:c r="C43" s="6">
        <x:v>19020</x:v>
      </x:c>
      <x:c r="D43" s="6">
        <x:v>4471940</x:v>
      </x:c>
      <x:c r="E43" s="9">
        <x:v>4.2529999999999998E-3</x:v>
      </x:c>
    </x:row>
    <x:row r="44">
      <x:c r="A44" s="5">
        <x:v>41</x:v>
      </x:c>
      <x:c r="B44" s="15" t="s">
        <x:v>907</x:v>
      </x:c>
      <x:c r="C44" s="6">
        <x:v>18520</x:v>
      </x:c>
      <x:c r="D44" s="6">
        <x:v>4471940</x:v>
      </x:c>
      <x:c r="E44" s="9">
        <x:v>4.1419999999999998E-3</x:v>
      </x:c>
    </x:row>
    <x:row r="45">
      <x:c r="A45" s="5">
        <x:v>42</x:v>
      </x:c>
      <x:c r="B45" s="15" t="s">
        <x:v>908</x:v>
      </x:c>
      <x:c r="C45" s="6">
        <x:v>16610</x:v>
      </x:c>
      <x:c r="D45" s="6">
        <x:v>4471940</x:v>
      </x:c>
      <x:c r="E45" s="9">
        <x:v>3.7130000000000002E-3</x:v>
      </x:c>
    </x:row>
    <x:row r="46">
      <x:c r="A46" s="5">
        <x:v>43</x:v>
      </x:c>
      <x:c r="B46" s="15" t="s">
        <x:v>909</x:v>
      </x:c>
      <x:c r="C46" s="6">
        <x:v>16240</x:v>
      </x:c>
      <x:c r="D46" s="6">
        <x:v>4471940</x:v>
      </x:c>
      <x:c r="E46" s="9">
        <x:v>3.63E-3</x:v>
      </x:c>
    </x:row>
    <x:row r="47">
      <x:c r="A47" s="5">
        <x:v>44</x:v>
      </x:c>
      <x:c r="B47" s="15" t="s">
        <x:v>910</x:v>
      </x:c>
      <x:c r="C47" s="6">
        <x:v>13660</x:v>
      </x:c>
      <x:c r="D47" s="6">
        <x:v>4471940</x:v>
      </x:c>
      <x:c r="E47" s="9">
        <x:v>3.055E-3</x:v>
      </x:c>
    </x:row>
    <x:row r="48">
      <x:c r="A48" s="5">
        <x:v>45</x:v>
      </x:c>
      <x:c r="B48" s="15" t="s">
        <x:v>911</x:v>
      </x:c>
      <x:c r="C48" s="6">
        <x:v>12980</x:v>
      </x:c>
      <x:c r="D48" s="6">
        <x:v>4471940</x:v>
      </x:c>
      <x:c r="E48" s="9">
        <x:v>2.9020000000000001E-3</x:v>
      </x:c>
    </x:row>
    <x:row r="49">
      <x:c r="A49" s="5">
        <x:v>46</x:v>
      </x:c>
      <x:c r="B49" s="15" t="s">
        <x:v>912</x:v>
      </x:c>
      <x:c r="C49" s="6">
        <x:v>11200</x:v>
      </x:c>
      <x:c r="D49" s="6">
        <x:v>4471940</x:v>
      </x:c>
      <x:c r="E49" s="9">
        <x:v>2.5040000000000001E-3</x:v>
      </x:c>
    </x:row>
    <x:row r="50">
      <x:c r="A50" s="5">
        <x:v>47</x:v>
      </x:c>
      <x:c r="B50" s="15" t="s">
        <x:v>913</x:v>
      </x:c>
      <x:c r="C50" s="6">
        <x:v>10180</x:v>
      </x:c>
      <x:c r="D50" s="6">
        <x:v>4471940</x:v>
      </x:c>
      <x:c r="E50" s="9">
        <x:v>2.2769999999999999E-3</x:v>
      </x:c>
    </x:row>
    <x:row r="51">
      <x:c r="A51" s="5">
        <x:v>48</x:v>
      </x:c>
      <x:c r="B51" s="15" t="s">
        <x:v>914</x:v>
      </x:c>
      <x:c r="C51" s="6">
        <x:v>8310</x:v>
      </x:c>
      <x:c r="D51" s="6">
        <x:v>4471940</x:v>
      </x:c>
      <x:c r="E51" s="9">
        <x:v>1.859E-3</x:v>
      </x:c>
    </x:row>
    <x:row r="52">
      <x:c r="A52" s="5">
        <x:v>49</x:v>
      </x:c>
      <x:c r="B52" s="15" t="s">
        <x:v>915</x:v>
      </x:c>
      <x:c r="C52" s="6">
        <x:v>7700</x:v>
      </x:c>
      <x:c r="D52" s="6">
        <x:v>4471940</x:v>
      </x:c>
      <x:c r="E52" s="9">
        <x:v>1.7210000000000001E-3</x:v>
      </x:c>
    </x:row>
    <x:row r="53">
      <x:c r="A53" s="5">
        <x:v>50</x:v>
      </x:c>
      <x:c r="B53" s="15" t="s">
        <x:v>916</x:v>
      </x:c>
      <x:c r="C53" s="6">
        <x:v>6640</x:v>
      </x:c>
      <x:c r="D53" s="6">
        <x:v>4471940</x:v>
      </x:c>
      <x:c r="E53" s="9">
        <x:v>1.485E-3</x:v>
      </x:c>
    </x:row>
    <x:row r="54">
      <x:c r="A54" s="5">
        <x:v>51</x:v>
      </x:c>
      <x:c r="B54" s="15" t="s">
        <x:v>917</x:v>
      </x:c>
      <x:c r="C54" s="6">
        <x:v>6520</x:v>
      </x:c>
      <x:c r="D54" s="6">
        <x:v>4471940</x:v>
      </x:c>
      <x:c r="E54" s="9">
        <x:v>1.457E-3</x:v>
      </x:c>
    </x:row>
    <x:row r="55">
      <x:c r="A55" s="5">
        <x:v>52</x:v>
      </x:c>
      <x:c r="B55" s="15" t="s">
        <x:v>918</x:v>
      </x:c>
      <x:c r="C55" s="6">
        <x:v>3640</x:v>
      </x:c>
      <x:c r="D55" s="6">
        <x:v>4471940</x:v>
      </x:c>
      <x:c r="E55" s="9">
        <x:v>8.1400000000000005E-4</x:v>
      </x:c>
    </x:row>
    <x:row r="56">
      <x:c r="A56" s="5">
        <x:v>53</x:v>
      </x:c>
      <x:c r="B56" s="15" t="s">
        <x:v>919</x:v>
      </x:c>
      <x:c r="C56" s="6">
        <x:v>1530</x:v>
      </x:c>
      <x:c r="D56" s="6">
        <x:v>4471940</x:v>
      </x:c>
      <x:c r="E56" s="9">
        <x:v>3.4099999999999999E-4</x:v>
      </x:c>
    </x:row>
    <x:row r="57">
      <x:c r="A57" s="10">
        <x:v>54</x:v>
      </x:c>
      <x:c r="B57" s="16" t="s">
        <x:v>920</x:v>
      </x:c>
      <x:c r="C57" s="11">
        <x:v>1260</x:v>
      </x:c>
      <x:c r="D57" s="11">
        <x:v>4471940</x:v>
      </x:c>
      <x:c r="E57" s="14">
        <x:v>2.8299999999999999E-4</x:v>
      </x:c>
    </x:row>
  </x:sheetData>
  <x:mergeCells>
    <x:mergeCell ref="A1:E1"/>
  </x:mergeCells>
  <x:pageMargins left="0.7" right="0.7" top="0.75" bottom="0.75" header="0.3" footer="0.3"/>
</x:worksheet>
</file>

<file path=xl/worksheets/sheet9.xml><?xml version="1.0" encoding="utf-8"?>
<x:worksheet xmlns:x="http://schemas.openxmlformats.org/spreadsheetml/2006/main">
  <x:sheetViews>
    <x:sheetView showGridLines="0" workbookViewId="0"/>
  </x:sheetViews>
  <x:sheetFormatPr baseColWidth="10" defaultColWidth="8.88671875" defaultRowHeight="14.399999618530273"/>
  <x:cols>
    <x:col min="1" max="1" width="16" customWidth="1"/>
    <x:col min="2" max="2" width="45" customWidth="1"/>
    <x:col min="3" max="3" width="65" customWidth="1"/>
    <x:col min="4" max="8" width="16" customWidth="1"/>
  </x:cols>
  <x:sheetData>
    <x:row r="1" ht="25.799999237060547">
      <x:c r="A1" s="58" t="s">
        <x:v>921</x:v>
      </x:c>
      <x:c r="B1" s="58"/>
      <x:c r="C1" s="58"/>
      <x:c r="D1" s="58"/>
      <x:c r="E1" s="58"/>
      <x:c r="F1" s="58"/>
      <x:c r="G1" s="58"/>
      <x:c r="H1" s="58"/>
    </x:row>
    <x:row r="2">
      <x:c r="A2" s="1"/>
      <x:c r="B2" s="1"/>
      <x:c r="C2" s="1"/>
      <x:c r="D2" s="1"/>
      <x:c r="E2" s="1"/>
      <x:c r="F2" s="1"/>
      <x:c r="G2" s="1"/>
      <x:c r="H2" s="1"/>
    </x:row>
    <x:row r="3">
      <x:c r="A3" s="56" t="s">
        <x:v>922</x:v>
      </x:c>
      <x:c r="B3" s="56"/>
      <x:c r="C3" s="56"/>
      <x:c r="D3" s="56"/>
      <x:c r="E3" s="56"/>
      <x:c r="F3" s="56"/>
      <x:c r="G3" s="56"/>
      <x:c r="H3" s="56"/>
    </x:row>
    <x:row r="4" ht="42" customHeight="1">
      <x:c r="A4" s="59" t="s">
        <x:v>923</x:v>
      </x:c>
      <x:c r="B4" s="60"/>
      <x:c r="C4" s="60"/>
      <x:c r="D4" s="60"/>
      <x:c r="E4" s="60"/>
      <x:c r="F4" s="60"/>
      <x:c r="G4" s="60"/>
      <x:c r="H4" s="61"/>
    </x:row>
    <x:row r="5">
      <x:c r="A5" s="1"/>
      <x:c r="B5" s="1"/>
      <x:c r="C5" s="1"/>
      <x:c r="D5" s="1"/>
      <x:c r="E5" s="1"/>
      <x:c r="F5" s="1"/>
      <x:c r="G5" s="1"/>
      <x:c r="H5" s="1"/>
    </x:row>
    <x:row r="6">
      <x:c r="A6" s="56" t="s">
        <x:v>924</x:v>
      </x:c>
      <x:c r="B6" s="56"/>
      <x:c r="C6" s="56"/>
      <x:c r="D6" s="56"/>
      <x:c r="E6" s="56"/>
      <x:c r="F6" s="56"/>
      <x:c r="G6" s="56"/>
      <x:c r="H6" s="56"/>
    </x:row>
    <x:row r="7" ht="42" customHeight="1">
      <x:c r="A7" s="59" t="s">
        <x:v>925</x:v>
      </x:c>
      <x:c r="B7" s="60"/>
      <x:c r="C7" s="60"/>
      <x:c r="D7" s="60"/>
      <x:c r="E7" s="60"/>
      <x:c r="F7" s="60"/>
      <x:c r="G7" s="60"/>
      <x:c r="H7" s="61"/>
    </x:row>
    <x:row r="8">
      <x:c r="A8" s="1"/>
      <x:c r="B8" s="1"/>
      <x:c r="C8" s="1"/>
      <x:c r="D8" s="1"/>
      <x:c r="E8" s="1"/>
      <x:c r="F8" s="1"/>
      <x:c r="G8" s="1"/>
      <x:c r="H8" s="1"/>
    </x:row>
    <x:row r="9">
      <x:c r="A9" s="56" t="s">
        <x:v>926</x:v>
      </x:c>
      <x:c r="B9" s="56"/>
      <x:c r="C9" s="56"/>
      <x:c r="D9" s="56"/>
      <x:c r="E9" s="56"/>
      <x:c r="F9" s="56"/>
      <x:c r="G9" s="56"/>
      <x:c r="H9" s="56"/>
    </x:row>
    <x:row r="10" ht="42" customHeight="1">
      <x:c r="A10" s="59" t="s">
        <x:v>927</x:v>
      </x:c>
      <x:c r="B10" s="60"/>
      <x:c r="C10" s="60"/>
      <x:c r="D10" s="60"/>
      <x:c r="E10" s="60"/>
      <x:c r="F10" s="60"/>
      <x:c r="G10" s="60"/>
      <x:c r="H10" s="61"/>
    </x:row>
    <x:row r="11">
      <x:c r="A11" s="1"/>
      <x:c r="B11" s="1"/>
      <x:c r="C11" s="1"/>
      <x:c r="D11" s="1"/>
      <x:c r="E11" s="1"/>
      <x:c r="F11" s="1"/>
      <x:c r="G11" s="1"/>
      <x:c r="H11" s="1"/>
    </x:row>
    <x:row r="12">
      <x:c r="A12" s="56" t="s">
        <x:v>928</x:v>
      </x:c>
      <x:c r="B12" s="56"/>
      <x:c r="C12" s="56"/>
      <x:c r="D12" s="56"/>
      <x:c r="E12" s="56"/>
      <x:c r="F12" s="56"/>
      <x:c r="G12" s="56"/>
      <x:c r="H12" s="56"/>
    </x:row>
    <x:row r="13" ht="42" customHeight="1">
      <x:c r="A13" s="59" t="s">
        <x:v>929</x:v>
      </x:c>
      <x:c r="B13" s="60"/>
      <x:c r="C13" s="60"/>
      <x:c r="D13" s="60"/>
      <x:c r="E13" s="60"/>
      <x:c r="F13" s="60"/>
      <x:c r="G13" s="60"/>
      <x:c r="H13" s="61"/>
    </x:row>
    <x:row r="14">
      <x:c r="A14" s="1"/>
      <x:c r="B14" s="1"/>
      <x:c r="C14" s="1"/>
      <x:c r="D14" s="1"/>
      <x:c r="E14" s="1"/>
      <x:c r="F14" s="1"/>
      <x:c r="G14" s="1"/>
      <x:c r="H14" s="1"/>
    </x:row>
    <x:row r="15">
      <x:c r="A15" s="56" t="s">
        <x:v>930</x:v>
      </x:c>
      <x:c r="B15" s="56"/>
      <x:c r="C15" s="56"/>
      <x:c r="D15" s="56"/>
      <x:c r="E15" s="56"/>
      <x:c r="F15" s="56"/>
      <x:c r="G15" s="56"/>
      <x:c r="H15" s="56"/>
    </x:row>
    <x:row r="16" ht="42" customHeight="1">
      <x:c r="A16" s="59" t="s">
        <x:v>931</x:v>
      </x:c>
      <x:c r="B16" s="60"/>
      <x:c r="C16" s="60"/>
      <x:c r="D16" s="60"/>
      <x:c r="E16" s="60"/>
      <x:c r="F16" s="60"/>
      <x:c r="G16" s="60"/>
      <x:c r="H16" s="61"/>
    </x:row>
    <x:row r="17">
      <x:c r="A17" s="1"/>
      <x:c r="B17" s="1"/>
      <x:c r="C17" s="1"/>
      <x:c r="D17" s="1"/>
      <x:c r="E17" s="1"/>
      <x:c r="F17" s="1"/>
      <x:c r="G17" s="1"/>
      <x:c r="H17" s="1"/>
    </x:row>
    <x:row r="18">
      <x:c r="A18" s="1"/>
      <x:c r="B18" s="1"/>
      <x:c r="C18" s="1"/>
      <x:c r="D18" s="1"/>
      <x:c r="E18" s="1"/>
      <x:c r="F18" s="1"/>
      <x:c r="G18" s="1"/>
      <x:c r="H18" s="1"/>
    </x:row>
    <x:row r="19">
      <x:c r="A19" s="56" t="s">
        <x:v>932</x:v>
      </x:c>
      <x:c r="B19" s="56"/>
      <x:c r="C19" s="56"/>
      <x:c r="D19" s="56"/>
      <x:c r="E19" s="56"/>
      <x:c r="F19" s="56"/>
      <x:c r="G19" s="56"/>
      <x:c r="H19" s="56"/>
    </x:row>
    <x:row r="20" ht="42" customHeight="1">
      <x:c r="A20" s="59" t="s">
        <x:v>933</x:v>
      </x:c>
      <x:c r="B20" s="60"/>
      <x:c r="C20" s="60"/>
      <x:c r="D20" s="60"/>
      <x:c r="E20" s="60"/>
      <x:c r="F20" s="60"/>
      <x:c r="G20" s="60"/>
      <x:c r="H20" s="61"/>
    </x:row>
    <x:row r="21">
      <x:c r="A21" s="1"/>
      <x:c r="B21" s="1"/>
      <x:c r="C21" s="1"/>
      <x:c r="D21" s="1"/>
      <x:c r="E21" s="1"/>
      <x:c r="F21" s="1"/>
      <x:c r="G21" s="1"/>
      <x:c r="H21" s="1"/>
    </x:row>
    <x:row r="22">
      <x:c r="A22" s="1"/>
      <x:c r="B22" s="1"/>
      <x:c r="C22" s="1"/>
      <x:c r="D22" s="1"/>
      <x:c r="E22" s="1"/>
      <x:c r="F22" s="1"/>
      <x:c r="G22" s="1"/>
      <x:c r="H22" s="1"/>
    </x:row>
    <x:row r="23">
      <x:c r="A23" s="56" t="s">
        <x:v>934</x:v>
      </x:c>
      <x:c r="B23" s="56"/>
      <x:c r="C23" s="56"/>
      <x:c r="D23" s="56"/>
      <x:c r="E23" s="56"/>
      <x:c r="F23" s="56"/>
      <x:c r="G23" s="56"/>
      <x:c r="H23" s="56"/>
    </x:row>
    <x:row r="24" ht="28.799999237060547">
      <x:c r="A24" s="25" t="s">
        <x:v>935</x:v>
      </x:c>
      <x:c r="B24" s="26" t="s">
        <x:v>936</x:v>
      </x:c>
      <x:c r="C24" s="26" t="s">
        <x:v>937</x:v>
      </x:c>
      <x:c r="D24" s="26"/>
      <x:c r="E24" s="26"/>
      <x:c r="F24" s="26"/>
      <x:c r="G24" s="26"/>
      <x:c r="H24" s="26"/>
    </x:row>
    <x:row r="25" ht="28.799999237060547">
      <x:c r="A25" s="25" t="s">
        <x:v>938</x:v>
      </x:c>
      <x:c r="B25" s="26" t="s">
        <x:v>939</x:v>
      </x:c>
      <x:c r="C25" s="26" t="s">
        <x:v>940</x:v>
      </x:c>
      <x:c r="D25" s="26"/>
      <x:c r="E25" s="26"/>
      <x:c r="F25" s="26"/>
      <x:c r="G25" s="26"/>
      <x:c r="H25" s="26"/>
    </x:row>
    <x:row r="26" ht="28.799999237060547">
      <x:c r="A26" s="25" t="s">
        <x:v>832</x:v>
      </x:c>
      <x:c r="B26" s="26" t="s">
        <x:v>941</x:v>
      </x:c>
      <x:c r="C26" s="26" t="s">
        <x:v>942</x:v>
      </x:c>
      <x:c r="D26" s="26"/>
      <x:c r="E26" s="26"/>
      <x:c r="F26" s="26"/>
      <x:c r="G26" s="26"/>
      <x:c r="H26" s="26"/>
    </x:row>
    <x:row r="27">
      <x:c r="A27" s="25" t="s">
        <x:v>943</x:v>
      </x:c>
      <x:c r="B27" s="26" t="s">
        <x:v>944</x:v>
      </x:c>
      <x:c r="C27" s="26" t="s">
        <x:v>945</x:v>
      </x:c>
      <x:c r="D27" s="26"/>
      <x:c r="E27" s="26"/>
      <x:c r="F27" s="26"/>
      <x:c r="G27" s="26"/>
      <x:c r="H27" s="26"/>
    </x:row>
    <x:row r="28" ht="28.799999237060547">
      <x:c r="A28" s="25" t="s">
        <x:v>946</x:v>
      </x:c>
      <x:c r="B28" s="26" t="s">
        <x:v>947</x:v>
      </x:c>
      <x:c r="C28" s="26"/>
      <x:c r="D28" s="26"/>
      <x:c r="E28" s="26"/>
      <x:c r="F28" s="26"/>
      <x:c r="G28" s="26"/>
      <x:c r="H28" s="26"/>
    </x:row>
  </x:sheetData>
  <x:mergeCells>
    <x:mergeCell ref="A16:H16"/>
    <x:mergeCell ref="A19:H19"/>
    <x:mergeCell ref="A20:H20"/>
    <x:mergeCell ref="A23:H23"/>
    <x:mergeCell ref="A9:H9"/>
    <x:mergeCell ref="A10:H10"/>
    <x:mergeCell ref="A12:H12"/>
    <x:mergeCell ref="A13:H13"/>
    <x:mergeCell ref="A15:H15"/>
    <x:mergeCell ref="A1:H1"/>
    <x:mergeCell ref="A3:H3"/>
    <x:mergeCell ref="A4:H4"/>
    <x:mergeCell ref="A6:H6"/>
    <x:mergeCell ref="A7:H7"/>
  </x:mergeCells>
  <x:pageMargins left="0.7" right="0.7" top="0.75" bottom="0.75" header="0.3" footer="0.3"/>
</x:worksheet>
</file>